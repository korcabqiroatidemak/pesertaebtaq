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RCAB\3. EBTAQ [dulu_IMTAS]\"/>
    </mc:Choice>
  </mc:AlternateContent>
  <xr:revisionPtr revIDLastSave="0" documentId="13_ncr:1_{699C48CC-7454-4185-B29B-2CF005CD78F0}" xr6:coauthVersionLast="47" xr6:coauthVersionMax="47" xr10:uidLastSave="{00000000-0000-0000-0000-000000000000}"/>
  <bookViews>
    <workbookView xWindow="-120" yWindow="-120" windowWidth="29040" windowHeight="15720" activeTab="1" xr2:uid="{1CA35DF2-F8F3-454A-AD34-13F379BF432F}"/>
  </bookViews>
  <sheets>
    <sheet name="Lembar1" sheetId="1" r:id="rId1"/>
    <sheet name="Lembar4" sheetId="8" r:id="rId2"/>
    <sheet name="Lembar8" sheetId="9" r:id="rId3"/>
    <sheet name="Lembar3" sheetId="3" r:id="rId4"/>
    <sheet name="Lembar2" sheetId="2" r:id="rId5"/>
    <sheet name="Lembar5" sheetId="5" r:id="rId6"/>
    <sheet name="Lembar6" sheetId="6" r:id="rId7"/>
    <sheet name="Lembar7" sheetId="7" r:id="rId8"/>
    <sheet name="Lembar2 (2)" sheetId="4" r:id="rId9"/>
  </sheets>
  <definedNames>
    <definedName name="_xlnm._FilterDatabase" localSheetId="4" hidden="1">Lembar2!$A$1:$M$468</definedName>
    <definedName name="_xlnm._FilterDatabase" localSheetId="8" hidden="1">'Lembar2 (2)'!$A$1:$Z$469</definedName>
    <definedName name="_xlnm._FilterDatabase" localSheetId="5" hidden="1">Lembar5!$A$1:$A$515</definedName>
    <definedName name="_xlnm._FilterDatabase" localSheetId="6" hidden="1">Lembar6!$A$1:$B$1</definedName>
    <definedName name="FORMGOOGLE">Lembar8!$D$1:$M$805</definedName>
    <definedName name="_xlnm.Print_Area" localSheetId="0">Lembar1!$A$4:$I$178</definedName>
    <definedName name="_xlnm.Print_Titles" localSheetId="0">Lembar1!$1:$3</definedName>
    <definedName name="_xlnm.Print_Titles" localSheetId="1">Lembar4!$1:$1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8" l="1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2" i="8"/>
  <c r="W98" i="4"/>
  <c r="O3" i="4"/>
  <c r="W3" i="4" s="1"/>
  <c r="P3" i="4"/>
  <c r="Q3" i="4"/>
  <c r="R3" i="4"/>
  <c r="S3" i="4"/>
  <c r="T3" i="4"/>
  <c r="U3" i="4"/>
  <c r="O4" i="4"/>
  <c r="W4" i="4" s="1"/>
  <c r="P4" i="4"/>
  <c r="Q4" i="4"/>
  <c r="R4" i="4"/>
  <c r="S4" i="4"/>
  <c r="T4" i="4"/>
  <c r="U4" i="4"/>
  <c r="O5" i="4"/>
  <c r="V5" i="4" s="1"/>
  <c r="P5" i="4"/>
  <c r="Q5" i="4"/>
  <c r="R5" i="4"/>
  <c r="S5" i="4"/>
  <c r="T5" i="4"/>
  <c r="U5" i="4"/>
  <c r="O6" i="4"/>
  <c r="W6" i="4" s="1"/>
  <c r="P6" i="4"/>
  <c r="Q6" i="4"/>
  <c r="R6" i="4"/>
  <c r="S6" i="4"/>
  <c r="T6" i="4"/>
  <c r="U6" i="4"/>
  <c r="V6" i="4"/>
  <c r="O7" i="4"/>
  <c r="V7" i="4" s="1"/>
  <c r="P7" i="4"/>
  <c r="Q7" i="4"/>
  <c r="R7" i="4"/>
  <c r="S7" i="4"/>
  <c r="T7" i="4"/>
  <c r="U7" i="4"/>
  <c r="O8" i="4"/>
  <c r="V8" i="4" s="1"/>
  <c r="P8" i="4"/>
  <c r="Q8" i="4"/>
  <c r="R8" i="4"/>
  <c r="S8" i="4"/>
  <c r="T8" i="4"/>
  <c r="U8" i="4"/>
  <c r="O9" i="4"/>
  <c r="V9" i="4" s="1"/>
  <c r="P9" i="4"/>
  <c r="Q9" i="4"/>
  <c r="R9" i="4"/>
  <c r="S9" i="4"/>
  <c r="T9" i="4"/>
  <c r="U9" i="4"/>
  <c r="O10" i="4"/>
  <c r="W10" i="4" s="1"/>
  <c r="P10" i="4"/>
  <c r="Q10" i="4"/>
  <c r="R10" i="4"/>
  <c r="S10" i="4"/>
  <c r="T10" i="4"/>
  <c r="U10" i="4"/>
  <c r="O11" i="4"/>
  <c r="W11" i="4" s="1"/>
  <c r="P11" i="4"/>
  <c r="Q11" i="4"/>
  <c r="R11" i="4"/>
  <c r="S11" i="4"/>
  <c r="T11" i="4"/>
  <c r="U11" i="4"/>
  <c r="O12" i="4"/>
  <c r="V12" i="4" s="1"/>
  <c r="P12" i="4"/>
  <c r="Q12" i="4"/>
  <c r="R12" i="4"/>
  <c r="S12" i="4"/>
  <c r="T12" i="4"/>
  <c r="U12" i="4"/>
  <c r="O13" i="4"/>
  <c r="W13" i="4" s="1"/>
  <c r="P13" i="4"/>
  <c r="Q13" i="4"/>
  <c r="R13" i="4"/>
  <c r="S13" i="4"/>
  <c r="T13" i="4"/>
  <c r="U13" i="4"/>
  <c r="O14" i="4"/>
  <c r="V14" i="4" s="1"/>
  <c r="P14" i="4"/>
  <c r="Q14" i="4"/>
  <c r="R14" i="4"/>
  <c r="S14" i="4"/>
  <c r="T14" i="4"/>
  <c r="U14" i="4"/>
  <c r="O15" i="4"/>
  <c r="V15" i="4" s="1"/>
  <c r="P15" i="4"/>
  <c r="Q15" i="4"/>
  <c r="R15" i="4"/>
  <c r="S15" i="4"/>
  <c r="T15" i="4"/>
  <c r="U15" i="4"/>
  <c r="O16" i="4"/>
  <c r="V16" i="4" s="1"/>
  <c r="P16" i="4"/>
  <c r="Q16" i="4"/>
  <c r="R16" i="4"/>
  <c r="S16" i="4"/>
  <c r="T16" i="4"/>
  <c r="U16" i="4"/>
  <c r="O17" i="4"/>
  <c r="V17" i="4" s="1"/>
  <c r="P17" i="4"/>
  <c r="Q17" i="4"/>
  <c r="R17" i="4"/>
  <c r="S17" i="4"/>
  <c r="T17" i="4"/>
  <c r="U17" i="4"/>
  <c r="O18" i="4"/>
  <c r="W18" i="4" s="1"/>
  <c r="P18" i="4"/>
  <c r="Q18" i="4"/>
  <c r="R18" i="4"/>
  <c r="S18" i="4"/>
  <c r="T18" i="4"/>
  <c r="U18" i="4"/>
  <c r="O19" i="4"/>
  <c r="W19" i="4" s="1"/>
  <c r="P19" i="4"/>
  <c r="Q19" i="4"/>
  <c r="R19" i="4"/>
  <c r="S19" i="4"/>
  <c r="T19" i="4"/>
  <c r="U19" i="4"/>
  <c r="O20" i="4"/>
  <c r="V20" i="4" s="1"/>
  <c r="P20" i="4"/>
  <c r="Q20" i="4"/>
  <c r="R20" i="4"/>
  <c r="S20" i="4"/>
  <c r="T20" i="4"/>
  <c r="U20" i="4"/>
  <c r="O21" i="4"/>
  <c r="V21" i="4" s="1"/>
  <c r="P21" i="4"/>
  <c r="Q21" i="4"/>
  <c r="R21" i="4"/>
  <c r="S21" i="4"/>
  <c r="T21" i="4"/>
  <c r="U21" i="4"/>
  <c r="O22" i="4"/>
  <c r="W22" i="4" s="1"/>
  <c r="P22" i="4"/>
  <c r="Q22" i="4"/>
  <c r="R22" i="4"/>
  <c r="S22" i="4"/>
  <c r="T22" i="4"/>
  <c r="U22" i="4"/>
  <c r="O23" i="4"/>
  <c r="W23" i="4" s="1"/>
  <c r="P23" i="4"/>
  <c r="Q23" i="4"/>
  <c r="R23" i="4"/>
  <c r="S23" i="4"/>
  <c r="T23" i="4"/>
  <c r="U23" i="4"/>
  <c r="O24" i="4"/>
  <c r="W24" i="4" s="1"/>
  <c r="P24" i="4"/>
  <c r="Q24" i="4"/>
  <c r="R24" i="4"/>
  <c r="S24" i="4"/>
  <c r="T24" i="4"/>
  <c r="U24" i="4"/>
  <c r="O25" i="4"/>
  <c r="V25" i="4" s="1"/>
  <c r="P25" i="4"/>
  <c r="Q25" i="4"/>
  <c r="R25" i="4"/>
  <c r="S25" i="4"/>
  <c r="T25" i="4"/>
  <c r="U25" i="4"/>
  <c r="O26" i="4"/>
  <c r="W26" i="4" s="1"/>
  <c r="P26" i="4"/>
  <c r="Q26" i="4"/>
  <c r="R26" i="4"/>
  <c r="S26" i="4"/>
  <c r="T26" i="4"/>
  <c r="U26" i="4"/>
  <c r="O27" i="4"/>
  <c r="V27" i="4" s="1"/>
  <c r="P27" i="4"/>
  <c r="Q27" i="4"/>
  <c r="R27" i="4"/>
  <c r="S27" i="4"/>
  <c r="T27" i="4"/>
  <c r="U27" i="4"/>
  <c r="O28" i="4"/>
  <c r="V28" i="4" s="1"/>
  <c r="P28" i="4"/>
  <c r="Q28" i="4"/>
  <c r="R28" i="4"/>
  <c r="S28" i="4"/>
  <c r="T28" i="4"/>
  <c r="U28" i="4"/>
  <c r="O29" i="4"/>
  <c r="V29" i="4" s="1"/>
  <c r="P29" i="4"/>
  <c r="Q29" i="4"/>
  <c r="R29" i="4"/>
  <c r="S29" i="4"/>
  <c r="T29" i="4"/>
  <c r="U29" i="4"/>
  <c r="O30" i="4"/>
  <c r="W30" i="4" s="1"/>
  <c r="P30" i="4"/>
  <c r="Q30" i="4"/>
  <c r="R30" i="4"/>
  <c r="S30" i="4"/>
  <c r="T30" i="4"/>
  <c r="U30" i="4"/>
  <c r="O31" i="4"/>
  <c r="V31" i="4" s="1"/>
  <c r="P31" i="4"/>
  <c r="Q31" i="4"/>
  <c r="R31" i="4"/>
  <c r="S31" i="4"/>
  <c r="T31" i="4"/>
  <c r="U31" i="4"/>
  <c r="O32" i="4"/>
  <c r="W32" i="4" s="1"/>
  <c r="P32" i="4"/>
  <c r="Q32" i="4"/>
  <c r="R32" i="4"/>
  <c r="S32" i="4"/>
  <c r="T32" i="4"/>
  <c r="U32" i="4"/>
  <c r="O33" i="4"/>
  <c r="V33" i="4" s="1"/>
  <c r="P33" i="4"/>
  <c r="Q33" i="4"/>
  <c r="R33" i="4"/>
  <c r="S33" i="4"/>
  <c r="T33" i="4"/>
  <c r="U33" i="4"/>
  <c r="O34" i="4"/>
  <c r="V34" i="4" s="1"/>
  <c r="P34" i="4"/>
  <c r="Q34" i="4"/>
  <c r="R34" i="4"/>
  <c r="S34" i="4"/>
  <c r="T34" i="4"/>
  <c r="U34" i="4"/>
  <c r="O35" i="4"/>
  <c r="V35" i="4" s="1"/>
  <c r="P35" i="4"/>
  <c r="Q35" i="4"/>
  <c r="R35" i="4"/>
  <c r="S35" i="4"/>
  <c r="T35" i="4"/>
  <c r="U35" i="4"/>
  <c r="O36" i="4"/>
  <c r="V36" i="4" s="1"/>
  <c r="P36" i="4"/>
  <c r="Q36" i="4"/>
  <c r="R36" i="4"/>
  <c r="S36" i="4"/>
  <c r="T36" i="4"/>
  <c r="U36" i="4"/>
  <c r="O37" i="4"/>
  <c r="V37" i="4" s="1"/>
  <c r="P37" i="4"/>
  <c r="Q37" i="4"/>
  <c r="R37" i="4"/>
  <c r="S37" i="4"/>
  <c r="T37" i="4"/>
  <c r="U37" i="4"/>
  <c r="O38" i="4"/>
  <c r="W38" i="4" s="1"/>
  <c r="P38" i="4"/>
  <c r="Q38" i="4"/>
  <c r="R38" i="4"/>
  <c r="S38" i="4"/>
  <c r="T38" i="4"/>
  <c r="U38" i="4"/>
  <c r="O39" i="4"/>
  <c r="W39" i="4" s="1"/>
  <c r="P39" i="4"/>
  <c r="Q39" i="4"/>
  <c r="R39" i="4"/>
  <c r="S39" i="4"/>
  <c r="T39" i="4"/>
  <c r="U39" i="4"/>
  <c r="O40" i="4"/>
  <c r="V40" i="4" s="1"/>
  <c r="P40" i="4"/>
  <c r="Q40" i="4"/>
  <c r="R40" i="4"/>
  <c r="S40" i="4"/>
  <c r="T40" i="4"/>
  <c r="U40" i="4"/>
  <c r="O41" i="4"/>
  <c r="V41" i="4" s="1"/>
  <c r="P41" i="4"/>
  <c r="Q41" i="4"/>
  <c r="R41" i="4"/>
  <c r="S41" i="4"/>
  <c r="T41" i="4"/>
  <c r="U41" i="4"/>
  <c r="O42" i="4"/>
  <c r="W42" i="4" s="1"/>
  <c r="P42" i="4"/>
  <c r="Q42" i="4"/>
  <c r="R42" i="4"/>
  <c r="S42" i="4"/>
  <c r="T42" i="4"/>
  <c r="U42" i="4"/>
  <c r="O43" i="4"/>
  <c r="W43" i="4" s="1"/>
  <c r="P43" i="4"/>
  <c r="Q43" i="4"/>
  <c r="R43" i="4"/>
  <c r="S43" i="4"/>
  <c r="T43" i="4"/>
  <c r="U43" i="4"/>
  <c r="O361" i="4"/>
  <c r="W361" i="4" s="1"/>
  <c r="P361" i="4"/>
  <c r="Q361" i="4"/>
  <c r="R361" i="4"/>
  <c r="S361" i="4"/>
  <c r="T361" i="4"/>
  <c r="U361" i="4"/>
  <c r="O45" i="4"/>
  <c r="V45" i="4" s="1"/>
  <c r="P45" i="4"/>
  <c r="Q45" i="4"/>
  <c r="R45" i="4"/>
  <c r="S45" i="4"/>
  <c r="T45" i="4"/>
  <c r="U45" i="4"/>
  <c r="O46" i="4"/>
  <c r="V46" i="4" s="1"/>
  <c r="P46" i="4"/>
  <c r="Q46" i="4"/>
  <c r="R46" i="4"/>
  <c r="S46" i="4"/>
  <c r="T46" i="4"/>
  <c r="U46" i="4"/>
  <c r="O47" i="4"/>
  <c r="V47" i="4" s="1"/>
  <c r="P47" i="4"/>
  <c r="Q47" i="4"/>
  <c r="R47" i="4"/>
  <c r="S47" i="4"/>
  <c r="T47" i="4"/>
  <c r="U47" i="4"/>
  <c r="O48" i="4"/>
  <c r="V48" i="4" s="1"/>
  <c r="P48" i="4"/>
  <c r="Q48" i="4"/>
  <c r="R48" i="4"/>
  <c r="S48" i="4"/>
  <c r="T48" i="4"/>
  <c r="U48" i="4"/>
  <c r="O49" i="4"/>
  <c r="V49" i="4" s="1"/>
  <c r="P49" i="4"/>
  <c r="Q49" i="4"/>
  <c r="R49" i="4"/>
  <c r="S49" i="4"/>
  <c r="T49" i="4"/>
  <c r="U49" i="4"/>
  <c r="O50" i="4"/>
  <c r="W50" i="4" s="1"/>
  <c r="P50" i="4"/>
  <c r="Q50" i="4"/>
  <c r="R50" i="4"/>
  <c r="S50" i="4"/>
  <c r="T50" i="4"/>
  <c r="U50" i="4"/>
  <c r="O51" i="4"/>
  <c r="W51" i="4" s="1"/>
  <c r="P51" i="4"/>
  <c r="Q51" i="4"/>
  <c r="R51" i="4"/>
  <c r="S51" i="4"/>
  <c r="T51" i="4"/>
  <c r="U51" i="4"/>
  <c r="O52" i="4"/>
  <c r="V52" i="4" s="1"/>
  <c r="P52" i="4"/>
  <c r="Q52" i="4"/>
  <c r="R52" i="4"/>
  <c r="S52" i="4"/>
  <c r="T52" i="4"/>
  <c r="U52" i="4"/>
  <c r="O53" i="4"/>
  <c r="W53" i="4" s="1"/>
  <c r="P53" i="4"/>
  <c r="Q53" i="4"/>
  <c r="R53" i="4"/>
  <c r="S53" i="4"/>
  <c r="T53" i="4"/>
  <c r="U53" i="4"/>
  <c r="O54" i="4"/>
  <c r="V54" i="4" s="1"/>
  <c r="P54" i="4"/>
  <c r="Q54" i="4"/>
  <c r="R54" i="4"/>
  <c r="S54" i="4"/>
  <c r="T54" i="4"/>
  <c r="U54" i="4"/>
  <c r="O55" i="4"/>
  <c r="V55" i="4" s="1"/>
  <c r="P55" i="4"/>
  <c r="Q55" i="4"/>
  <c r="R55" i="4"/>
  <c r="S55" i="4"/>
  <c r="T55" i="4"/>
  <c r="U55" i="4"/>
  <c r="O56" i="4"/>
  <c r="V56" i="4" s="1"/>
  <c r="P56" i="4"/>
  <c r="Q56" i="4"/>
  <c r="R56" i="4"/>
  <c r="S56" i="4"/>
  <c r="T56" i="4"/>
  <c r="U56" i="4"/>
  <c r="O57" i="4"/>
  <c r="V57" i="4" s="1"/>
  <c r="P57" i="4"/>
  <c r="Q57" i="4"/>
  <c r="R57" i="4"/>
  <c r="S57" i="4"/>
  <c r="T57" i="4"/>
  <c r="U57" i="4"/>
  <c r="O58" i="4"/>
  <c r="W58" i="4" s="1"/>
  <c r="P58" i="4"/>
  <c r="Q58" i="4"/>
  <c r="R58" i="4"/>
  <c r="S58" i="4"/>
  <c r="T58" i="4"/>
  <c r="U58" i="4"/>
  <c r="O59" i="4"/>
  <c r="W59" i="4" s="1"/>
  <c r="P59" i="4"/>
  <c r="Q59" i="4"/>
  <c r="R59" i="4"/>
  <c r="S59" i="4"/>
  <c r="T59" i="4"/>
  <c r="U59" i="4"/>
  <c r="O60" i="4"/>
  <c r="V60" i="4" s="1"/>
  <c r="P60" i="4"/>
  <c r="Q60" i="4"/>
  <c r="R60" i="4"/>
  <c r="S60" i="4"/>
  <c r="T60" i="4"/>
  <c r="U60" i="4"/>
  <c r="O61" i="4"/>
  <c r="V61" i="4" s="1"/>
  <c r="P61" i="4"/>
  <c r="Q61" i="4"/>
  <c r="R61" i="4"/>
  <c r="S61" i="4"/>
  <c r="T61" i="4"/>
  <c r="U61" i="4"/>
  <c r="O62" i="4"/>
  <c r="V62" i="4" s="1"/>
  <c r="P62" i="4"/>
  <c r="Q62" i="4"/>
  <c r="R62" i="4"/>
  <c r="S62" i="4"/>
  <c r="T62" i="4"/>
  <c r="U62" i="4"/>
  <c r="O63" i="4"/>
  <c r="W63" i="4" s="1"/>
  <c r="P63" i="4"/>
  <c r="Q63" i="4"/>
  <c r="R63" i="4"/>
  <c r="S63" i="4"/>
  <c r="T63" i="4"/>
  <c r="U63" i="4"/>
  <c r="O64" i="4"/>
  <c r="W64" i="4" s="1"/>
  <c r="P64" i="4"/>
  <c r="Q64" i="4"/>
  <c r="R64" i="4"/>
  <c r="S64" i="4"/>
  <c r="T64" i="4"/>
  <c r="U64" i="4"/>
  <c r="O65" i="4"/>
  <c r="V65" i="4" s="1"/>
  <c r="P65" i="4"/>
  <c r="Q65" i="4"/>
  <c r="R65" i="4"/>
  <c r="S65" i="4"/>
  <c r="T65" i="4"/>
  <c r="U65" i="4"/>
  <c r="O66" i="4"/>
  <c r="W66" i="4" s="1"/>
  <c r="P66" i="4"/>
  <c r="Q66" i="4"/>
  <c r="R66" i="4"/>
  <c r="S66" i="4"/>
  <c r="T66" i="4"/>
  <c r="U66" i="4"/>
  <c r="O67" i="4"/>
  <c r="V67" i="4" s="1"/>
  <c r="P67" i="4"/>
  <c r="Q67" i="4"/>
  <c r="R67" i="4"/>
  <c r="S67" i="4"/>
  <c r="T67" i="4"/>
  <c r="U67" i="4"/>
  <c r="O68" i="4"/>
  <c r="V68" i="4" s="1"/>
  <c r="P68" i="4"/>
  <c r="Q68" i="4"/>
  <c r="R68" i="4"/>
  <c r="S68" i="4"/>
  <c r="T68" i="4"/>
  <c r="U68" i="4"/>
  <c r="O69" i="4"/>
  <c r="V69" i="4" s="1"/>
  <c r="P69" i="4"/>
  <c r="Q69" i="4"/>
  <c r="R69" i="4"/>
  <c r="S69" i="4"/>
  <c r="T69" i="4"/>
  <c r="U69" i="4"/>
  <c r="O70" i="4"/>
  <c r="V70" i="4" s="1"/>
  <c r="P70" i="4"/>
  <c r="Q70" i="4"/>
  <c r="R70" i="4"/>
  <c r="S70" i="4"/>
  <c r="T70" i="4"/>
  <c r="U70" i="4"/>
  <c r="O71" i="4"/>
  <c r="W71" i="4" s="1"/>
  <c r="P71" i="4"/>
  <c r="Q71" i="4"/>
  <c r="R71" i="4"/>
  <c r="S71" i="4"/>
  <c r="T71" i="4"/>
  <c r="U71" i="4"/>
  <c r="O72" i="4"/>
  <c r="W72" i="4" s="1"/>
  <c r="P72" i="4"/>
  <c r="Q72" i="4"/>
  <c r="R72" i="4"/>
  <c r="S72" i="4"/>
  <c r="T72" i="4"/>
  <c r="U72" i="4"/>
  <c r="O73" i="4"/>
  <c r="V73" i="4" s="1"/>
  <c r="P73" i="4"/>
  <c r="Q73" i="4"/>
  <c r="R73" i="4"/>
  <c r="S73" i="4"/>
  <c r="T73" i="4"/>
  <c r="U73" i="4"/>
  <c r="O74" i="4"/>
  <c r="V74" i="4" s="1"/>
  <c r="P74" i="4"/>
  <c r="Q74" i="4"/>
  <c r="R74" i="4"/>
  <c r="S74" i="4"/>
  <c r="T74" i="4"/>
  <c r="U74" i="4"/>
  <c r="O75" i="4"/>
  <c r="V75" i="4" s="1"/>
  <c r="P75" i="4"/>
  <c r="Q75" i="4"/>
  <c r="R75" i="4"/>
  <c r="S75" i="4"/>
  <c r="T75" i="4"/>
  <c r="U75" i="4"/>
  <c r="O76" i="4"/>
  <c r="V76" i="4" s="1"/>
  <c r="P76" i="4"/>
  <c r="Q76" i="4"/>
  <c r="R76" i="4"/>
  <c r="S76" i="4"/>
  <c r="T76" i="4"/>
  <c r="U76" i="4"/>
  <c r="O459" i="4"/>
  <c r="V459" i="4" s="1"/>
  <c r="P459" i="4"/>
  <c r="Q459" i="4"/>
  <c r="R459" i="4"/>
  <c r="S459" i="4"/>
  <c r="T459" i="4"/>
  <c r="U459" i="4"/>
  <c r="O78" i="4"/>
  <c r="V78" i="4" s="1"/>
  <c r="P78" i="4"/>
  <c r="Q78" i="4"/>
  <c r="R78" i="4"/>
  <c r="S78" i="4"/>
  <c r="T78" i="4"/>
  <c r="U78" i="4"/>
  <c r="O79" i="4"/>
  <c r="W79" i="4" s="1"/>
  <c r="P79" i="4"/>
  <c r="Q79" i="4"/>
  <c r="R79" i="4"/>
  <c r="S79" i="4"/>
  <c r="T79" i="4"/>
  <c r="U79" i="4"/>
  <c r="O80" i="4"/>
  <c r="V80" i="4" s="1"/>
  <c r="P80" i="4"/>
  <c r="Q80" i="4"/>
  <c r="R80" i="4"/>
  <c r="S80" i="4"/>
  <c r="T80" i="4"/>
  <c r="U80" i="4"/>
  <c r="O81" i="4"/>
  <c r="V81" i="4" s="1"/>
  <c r="P81" i="4"/>
  <c r="Q81" i="4"/>
  <c r="R81" i="4"/>
  <c r="S81" i="4"/>
  <c r="T81" i="4"/>
  <c r="U81" i="4"/>
  <c r="O82" i="4"/>
  <c r="W82" i="4" s="1"/>
  <c r="P82" i="4"/>
  <c r="Q82" i="4"/>
  <c r="R82" i="4"/>
  <c r="S82" i="4"/>
  <c r="T82" i="4"/>
  <c r="U82" i="4"/>
  <c r="O83" i="4"/>
  <c r="W83" i="4" s="1"/>
  <c r="P83" i="4"/>
  <c r="Q83" i="4"/>
  <c r="R83" i="4"/>
  <c r="S83" i="4"/>
  <c r="T83" i="4"/>
  <c r="U83" i="4"/>
  <c r="O84" i="4"/>
  <c r="W84" i="4" s="1"/>
  <c r="P84" i="4"/>
  <c r="Q84" i="4"/>
  <c r="R84" i="4"/>
  <c r="S84" i="4"/>
  <c r="T84" i="4"/>
  <c r="U84" i="4"/>
  <c r="O85" i="4"/>
  <c r="V85" i="4" s="1"/>
  <c r="P85" i="4"/>
  <c r="Q85" i="4"/>
  <c r="R85" i="4"/>
  <c r="S85" i="4"/>
  <c r="T85" i="4"/>
  <c r="U85" i="4"/>
  <c r="O86" i="4"/>
  <c r="V86" i="4" s="1"/>
  <c r="P86" i="4"/>
  <c r="Q86" i="4"/>
  <c r="R86" i="4"/>
  <c r="S86" i="4"/>
  <c r="T86" i="4"/>
  <c r="U86" i="4"/>
  <c r="O87" i="4"/>
  <c r="V87" i="4" s="1"/>
  <c r="P87" i="4"/>
  <c r="Q87" i="4"/>
  <c r="R87" i="4"/>
  <c r="S87" i="4"/>
  <c r="T87" i="4"/>
  <c r="U87" i="4"/>
  <c r="O88" i="4"/>
  <c r="V88" i="4" s="1"/>
  <c r="P88" i="4"/>
  <c r="Q88" i="4"/>
  <c r="R88" i="4"/>
  <c r="S88" i="4"/>
  <c r="T88" i="4"/>
  <c r="U88" i="4"/>
  <c r="O89" i="4"/>
  <c r="V89" i="4" s="1"/>
  <c r="P89" i="4"/>
  <c r="Q89" i="4"/>
  <c r="R89" i="4"/>
  <c r="S89" i="4"/>
  <c r="T89" i="4"/>
  <c r="U89" i="4"/>
  <c r="O90" i="4"/>
  <c r="W90" i="4" s="1"/>
  <c r="P90" i="4"/>
  <c r="Q90" i="4"/>
  <c r="R90" i="4"/>
  <c r="S90" i="4"/>
  <c r="T90" i="4"/>
  <c r="U90" i="4"/>
  <c r="O91" i="4"/>
  <c r="V91" i="4" s="1"/>
  <c r="P91" i="4"/>
  <c r="Q91" i="4"/>
  <c r="R91" i="4"/>
  <c r="S91" i="4"/>
  <c r="T91" i="4"/>
  <c r="U91" i="4"/>
  <c r="O92" i="4"/>
  <c r="W92" i="4" s="1"/>
  <c r="P92" i="4"/>
  <c r="Q92" i="4"/>
  <c r="R92" i="4"/>
  <c r="S92" i="4"/>
  <c r="T92" i="4"/>
  <c r="U92" i="4"/>
  <c r="O93" i="4"/>
  <c r="W93" i="4" s="1"/>
  <c r="P93" i="4"/>
  <c r="Q93" i="4"/>
  <c r="R93" i="4"/>
  <c r="S93" i="4"/>
  <c r="T93" i="4"/>
  <c r="U93" i="4"/>
  <c r="O94" i="4"/>
  <c r="V94" i="4" s="1"/>
  <c r="P94" i="4"/>
  <c r="Q94" i="4"/>
  <c r="R94" i="4"/>
  <c r="S94" i="4"/>
  <c r="T94" i="4"/>
  <c r="U94" i="4"/>
  <c r="O95" i="4"/>
  <c r="V95" i="4" s="1"/>
  <c r="P95" i="4"/>
  <c r="Q95" i="4"/>
  <c r="R95" i="4"/>
  <c r="S95" i="4"/>
  <c r="T95" i="4"/>
  <c r="U95" i="4"/>
  <c r="O96" i="4"/>
  <c r="V96" i="4" s="1"/>
  <c r="P96" i="4"/>
  <c r="Q96" i="4"/>
  <c r="R96" i="4"/>
  <c r="S96" i="4"/>
  <c r="T96" i="4"/>
  <c r="U96" i="4"/>
  <c r="O97" i="4"/>
  <c r="V97" i="4" s="1"/>
  <c r="P97" i="4"/>
  <c r="Q97" i="4"/>
  <c r="R97" i="4"/>
  <c r="S97" i="4"/>
  <c r="T97" i="4"/>
  <c r="U97" i="4"/>
  <c r="O99" i="4"/>
  <c r="V99" i="4" s="1"/>
  <c r="P99" i="4"/>
  <c r="Q99" i="4"/>
  <c r="R99" i="4"/>
  <c r="S99" i="4"/>
  <c r="T99" i="4"/>
  <c r="U99" i="4"/>
  <c r="O100" i="4"/>
  <c r="V100" i="4" s="1"/>
  <c r="P100" i="4"/>
  <c r="Q100" i="4"/>
  <c r="R100" i="4"/>
  <c r="S100" i="4"/>
  <c r="T100" i="4"/>
  <c r="U100" i="4"/>
  <c r="O101" i="4"/>
  <c r="V101" i="4" s="1"/>
  <c r="P101" i="4"/>
  <c r="Q101" i="4"/>
  <c r="R101" i="4"/>
  <c r="S101" i="4"/>
  <c r="T101" i="4"/>
  <c r="U101" i="4"/>
  <c r="O102" i="4"/>
  <c r="V102" i="4" s="1"/>
  <c r="P102" i="4"/>
  <c r="Q102" i="4"/>
  <c r="R102" i="4"/>
  <c r="S102" i="4"/>
  <c r="T102" i="4"/>
  <c r="U102" i="4"/>
  <c r="O103" i="4"/>
  <c r="W103" i="4" s="1"/>
  <c r="P103" i="4"/>
  <c r="Q103" i="4"/>
  <c r="R103" i="4"/>
  <c r="S103" i="4"/>
  <c r="T103" i="4"/>
  <c r="U103" i="4"/>
  <c r="O104" i="4"/>
  <c r="W104" i="4" s="1"/>
  <c r="P104" i="4"/>
  <c r="Q104" i="4"/>
  <c r="R104" i="4"/>
  <c r="S104" i="4"/>
  <c r="T104" i="4"/>
  <c r="U104" i="4"/>
  <c r="O105" i="4"/>
  <c r="V105" i="4" s="1"/>
  <c r="P105" i="4"/>
  <c r="Q105" i="4"/>
  <c r="R105" i="4"/>
  <c r="S105" i="4"/>
  <c r="T105" i="4"/>
  <c r="U105" i="4"/>
  <c r="O106" i="4"/>
  <c r="W106" i="4" s="1"/>
  <c r="P106" i="4"/>
  <c r="Q106" i="4"/>
  <c r="R106" i="4"/>
  <c r="S106" i="4"/>
  <c r="T106" i="4"/>
  <c r="U106" i="4"/>
  <c r="O107" i="4"/>
  <c r="V107" i="4" s="1"/>
  <c r="P107" i="4"/>
  <c r="Q107" i="4"/>
  <c r="R107" i="4"/>
  <c r="S107" i="4"/>
  <c r="T107" i="4"/>
  <c r="U107" i="4"/>
  <c r="O108" i="4"/>
  <c r="V108" i="4" s="1"/>
  <c r="P108" i="4"/>
  <c r="Q108" i="4"/>
  <c r="R108" i="4"/>
  <c r="S108" i="4"/>
  <c r="T108" i="4"/>
  <c r="U108" i="4"/>
  <c r="O109" i="4"/>
  <c r="V109" i="4" s="1"/>
  <c r="P109" i="4"/>
  <c r="Q109" i="4"/>
  <c r="R109" i="4"/>
  <c r="S109" i="4"/>
  <c r="T109" i="4"/>
  <c r="U109" i="4"/>
  <c r="O110" i="4"/>
  <c r="W110" i="4" s="1"/>
  <c r="P110" i="4"/>
  <c r="Q110" i="4"/>
  <c r="R110" i="4"/>
  <c r="S110" i="4"/>
  <c r="T110" i="4"/>
  <c r="U110" i="4"/>
  <c r="O111" i="4"/>
  <c r="V111" i="4" s="1"/>
  <c r="P111" i="4"/>
  <c r="Q111" i="4"/>
  <c r="R111" i="4"/>
  <c r="S111" i="4"/>
  <c r="T111" i="4"/>
  <c r="U111" i="4"/>
  <c r="O112" i="4"/>
  <c r="V112" i="4" s="1"/>
  <c r="P112" i="4"/>
  <c r="Q112" i="4"/>
  <c r="R112" i="4"/>
  <c r="S112" i="4"/>
  <c r="T112" i="4"/>
  <c r="U112" i="4"/>
  <c r="O113" i="4"/>
  <c r="W113" i="4" s="1"/>
  <c r="P113" i="4"/>
  <c r="Q113" i="4"/>
  <c r="R113" i="4"/>
  <c r="S113" i="4"/>
  <c r="T113" i="4"/>
  <c r="U113" i="4"/>
  <c r="O114" i="4"/>
  <c r="V114" i="4" s="1"/>
  <c r="P114" i="4"/>
  <c r="Q114" i="4"/>
  <c r="R114" i="4"/>
  <c r="S114" i="4"/>
  <c r="T114" i="4"/>
  <c r="U114" i="4"/>
  <c r="O115" i="4"/>
  <c r="V115" i="4" s="1"/>
  <c r="P115" i="4"/>
  <c r="Q115" i="4"/>
  <c r="R115" i="4"/>
  <c r="S115" i="4"/>
  <c r="T115" i="4"/>
  <c r="U115" i="4"/>
  <c r="O116" i="4"/>
  <c r="V116" i="4" s="1"/>
  <c r="P116" i="4"/>
  <c r="Q116" i="4"/>
  <c r="R116" i="4"/>
  <c r="S116" i="4"/>
  <c r="T116" i="4"/>
  <c r="U116" i="4"/>
  <c r="O117" i="4"/>
  <c r="W117" i="4" s="1"/>
  <c r="P117" i="4"/>
  <c r="Q117" i="4"/>
  <c r="R117" i="4"/>
  <c r="S117" i="4"/>
  <c r="T117" i="4"/>
  <c r="U117" i="4"/>
  <c r="O118" i="4"/>
  <c r="W118" i="4" s="1"/>
  <c r="P118" i="4"/>
  <c r="Q118" i="4"/>
  <c r="R118" i="4"/>
  <c r="S118" i="4"/>
  <c r="T118" i="4"/>
  <c r="U118" i="4"/>
  <c r="O119" i="4"/>
  <c r="W119" i="4" s="1"/>
  <c r="P119" i="4"/>
  <c r="Q119" i="4"/>
  <c r="R119" i="4"/>
  <c r="S119" i="4"/>
  <c r="T119" i="4"/>
  <c r="U119" i="4"/>
  <c r="O120" i="4"/>
  <c r="V120" i="4" s="1"/>
  <c r="P120" i="4"/>
  <c r="Q120" i="4"/>
  <c r="R120" i="4"/>
  <c r="S120" i="4"/>
  <c r="T120" i="4"/>
  <c r="U120" i="4"/>
  <c r="O121" i="4"/>
  <c r="V121" i="4" s="1"/>
  <c r="P121" i="4"/>
  <c r="Q121" i="4"/>
  <c r="R121" i="4"/>
  <c r="S121" i="4"/>
  <c r="T121" i="4"/>
  <c r="U121" i="4"/>
  <c r="O122" i="4"/>
  <c r="W122" i="4" s="1"/>
  <c r="P122" i="4"/>
  <c r="Q122" i="4"/>
  <c r="R122" i="4"/>
  <c r="S122" i="4"/>
  <c r="T122" i="4"/>
  <c r="U122" i="4"/>
  <c r="O123" i="4"/>
  <c r="W123" i="4" s="1"/>
  <c r="P123" i="4"/>
  <c r="Q123" i="4"/>
  <c r="R123" i="4"/>
  <c r="S123" i="4"/>
  <c r="T123" i="4"/>
  <c r="U123" i="4"/>
  <c r="O124" i="4"/>
  <c r="W124" i="4" s="1"/>
  <c r="P124" i="4"/>
  <c r="Q124" i="4"/>
  <c r="R124" i="4"/>
  <c r="S124" i="4"/>
  <c r="T124" i="4"/>
  <c r="U124" i="4"/>
  <c r="O125" i="4"/>
  <c r="V125" i="4" s="1"/>
  <c r="P125" i="4"/>
  <c r="Q125" i="4"/>
  <c r="R125" i="4"/>
  <c r="S125" i="4"/>
  <c r="T125" i="4"/>
  <c r="U125" i="4"/>
  <c r="O126" i="4"/>
  <c r="W126" i="4" s="1"/>
  <c r="P126" i="4"/>
  <c r="Q126" i="4"/>
  <c r="R126" i="4"/>
  <c r="S126" i="4"/>
  <c r="T126" i="4"/>
  <c r="U126" i="4"/>
  <c r="O127" i="4"/>
  <c r="V127" i="4" s="1"/>
  <c r="P127" i="4"/>
  <c r="Q127" i="4"/>
  <c r="R127" i="4"/>
  <c r="S127" i="4"/>
  <c r="T127" i="4"/>
  <c r="U127" i="4"/>
  <c r="O128" i="4"/>
  <c r="V128" i="4" s="1"/>
  <c r="P128" i="4"/>
  <c r="Q128" i="4"/>
  <c r="R128" i="4"/>
  <c r="S128" i="4"/>
  <c r="T128" i="4"/>
  <c r="U128" i="4"/>
  <c r="O129" i="4"/>
  <c r="V129" i="4" s="1"/>
  <c r="P129" i="4"/>
  <c r="Q129" i="4"/>
  <c r="R129" i="4"/>
  <c r="S129" i="4"/>
  <c r="T129" i="4"/>
  <c r="U129" i="4"/>
  <c r="O130" i="4"/>
  <c r="W130" i="4" s="1"/>
  <c r="P130" i="4"/>
  <c r="Q130" i="4"/>
  <c r="R130" i="4"/>
  <c r="S130" i="4"/>
  <c r="T130" i="4"/>
  <c r="U130" i="4"/>
  <c r="O131" i="4"/>
  <c r="W131" i="4" s="1"/>
  <c r="P131" i="4"/>
  <c r="Q131" i="4"/>
  <c r="R131" i="4"/>
  <c r="S131" i="4"/>
  <c r="T131" i="4"/>
  <c r="U131" i="4"/>
  <c r="O132" i="4"/>
  <c r="V132" i="4" s="1"/>
  <c r="P132" i="4"/>
  <c r="Q132" i="4"/>
  <c r="R132" i="4"/>
  <c r="S132" i="4"/>
  <c r="T132" i="4"/>
  <c r="U132" i="4"/>
  <c r="O133" i="4"/>
  <c r="W133" i="4" s="1"/>
  <c r="P133" i="4"/>
  <c r="Q133" i="4"/>
  <c r="R133" i="4"/>
  <c r="S133" i="4"/>
  <c r="T133" i="4"/>
  <c r="U133" i="4"/>
  <c r="O439" i="4"/>
  <c r="V439" i="4" s="1"/>
  <c r="P439" i="4"/>
  <c r="Q439" i="4"/>
  <c r="R439" i="4"/>
  <c r="S439" i="4"/>
  <c r="T439" i="4"/>
  <c r="U439" i="4"/>
  <c r="O135" i="4"/>
  <c r="V135" i="4" s="1"/>
  <c r="P135" i="4"/>
  <c r="Q135" i="4"/>
  <c r="R135" i="4"/>
  <c r="S135" i="4"/>
  <c r="T135" i="4"/>
  <c r="U135" i="4"/>
  <c r="O136" i="4"/>
  <c r="V136" i="4" s="1"/>
  <c r="P136" i="4"/>
  <c r="Q136" i="4"/>
  <c r="R136" i="4"/>
  <c r="S136" i="4"/>
  <c r="T136" i="4"/>
  <c r="U136" i="4"/>
  <c r="O137" i="4"/>
  <c r="W137" i="4" s="1"/>
  <c r="P137" i="4"/>
  <c r="Q137" i="4"/>
  <c r="R137" i="4"/>
  <c r="S137" i="4"/>
  <c r="T137" i="4"/>
  <c r="U137" i="4"/>
  <c r="O138" i="4"/>
  <c r="V138" i="4" s="1"/>
  <c r="P138" i="4"/>
  <c r="Q138" i="4"/>
  <c r="R138" i="4"/>
  <c r="S138" i="4"/>
  <c r="T138" i="4"/>
  <c r="U138" i="4"/>
  <c r="O139" i="4"/>
  <c r="W139" i="4" s="1"/>
  <c r="P139" i="4"/>
  <c r="Q139" i="4"/>
  <c r="R139" i="4"/>
  <c r="S139" i="4"/>
  <c r="T139" i="4"/>
  <c r="U139" i="4"/>
  <c r="O140" i="4"/>
  <c r="V140" i="4" s="1"/>
  <c r="P140" i="4"/>
  <c r="Q140" i="4"/>
  <c r="R140" i="4"/>
  <c r="S140" i="4"/>
  <c r="T140" i="4"/>
  <c r="U140" i="4"/>
  <c r="O141" i="4"/>
  <c r="V141" i="4" s="1"/>
  <c r="P141" i="4"/>
  <c r="Q141" i="4"/>
  <c r="R141" i="4"/>
  <c r="S141" i="4"/>
  <c r="T141" i="4"/>
  <c r="U141" i="4"/>
  <c r="O142" i="4"/>
  <c r="W142" i="4" s="1"/>
  <c r="P142" i="4"/>
  <c r="Q142" i="4"/>
  <c r="R142" i="4"/>
  <c r="S142" i="4"/>
  <c r="T142" i="4"/>
  <c r="U142" i="4"/>
  <c r="O143" i="4"/>
  <c r="V143" i="4" s="1"/>
  <c r="P143" i="4"/>
  <c r="Q143" i="4"/>
  <c r="R143" i="4"/>
  <c r="S143" i="4"/>
  <c r="T143" i="4"/>
  <c r="U143" i="4"/>
  <c r="O144" i="4"/>
  <c r="W144" i="4" s="1"/>
  <c r="P144" i="4"/>
  <c r="Q144" i="4"/>
  <c r="R144" i="4"/>
  <c r="S144" i="4"/>
  <c r="T144" i="4"/>
  <c r="U144" i="4"/>
  <c r="O145" i="4"/>
  <c r="V145" i="4" s="1"/>
  <c r="P145" i="4"/>
  <c r="Q145" i="4"/>
  <c r="R145" i="4"/>
  <c r="S145" i="4"/>
  <c r="T145" i="4"/>
  <c r="U145" i="4"/>
  <c r="O146" i="4"/>
  <c r="V146" i="4" s="1"/>
  <c r="P146" i="4"/>
  <c r="Q146" i="4"/>
  <c r="R146" i="4"/>
  <c r="S146" i="4"/>
  <c r="T146" i="4"/>
  <c r="U146" i="4"/>
  <c r="O147" i="4"/>
  <c r="V147" i="4" s="1"/>
  <c r="P147" i="4"/>
  <c r="Q147" i="4"/>
  <c r="R147" i="4"/>
  <c r="S147" i="4"/>
  <c r="T147" i="4"/>
  <c r="U147" i="4"/>
  <c r="O148" i="4"/>
  <c r="V148" i="4" s="1"/>
  <c r="P148" i="4"/>
  <c r="Q148" i="4"/>
  <c r="R148" i="4"/>
  <c r="S148" i="4"/>
  <c r="T148" i="4"/>
  <c r="U148" i="4"/>
  <c r="O149" i="4"/>
  <c r="V149" i="4" s="1"/>
  <c r="P149" i="4"/>
  <c r="Q149" i="4"/>
  <c r="R149" i="4"/>
  <c r="S149" i="4"/>
  <c r="T149" i="4"/>
  <c r="U149" i="4"/>
  <c r="O150" i="4"/>
  <c r="V150" i="4" s="1"/>
  <c r="P150" i="4"/>
  <c r="Q150" i="4"/>
  <c r="R150" i="4"/>
  <c r="S150" i="4"/>
  <c r="T150" i="4"/>
  <c r="U150" i="4"/>
  <c r="O151" i="4"/>
  <c r="W151" i="4" s="1"/>
  <c r="P151" i="4"/>
  <c r="Q151" i="4"/>
  <c r="R151" i="4"/>
  <c r="S151" i="4"/>
  <c r="T151" i="4"/>
  <c r="U151" i="4"/>
  <c r="O152" i="4"/>
  <c r="W152" i="4" s="1"/>
  <c r="P152" i="4"/>
  <c r="Q152" i="4"/>
  <c r="R152" i="4"/>
  <c r="S152" i="4"/>
  <c r="T152" i="4"/>
  <c r="U152" i="4"/>
  <c r="O153" i="4"/>
  <c r="W153" i="4" s="1"/>
  <c r="P153" i="4"/>
  <c r="Q153" i="4"/>
  <c r="R153" i="4"/>
  <c r="S153" i="4"/>
  <c r="T153" i="4"/>
  <c r="U153" i="4"/>
  <c r="O154" i="4"/>
  <c r="V154" i="4" s="1"/>
  <c r="P154" i="4"/>
  <c r="Q154" i="4"/>
  <c r="R154" i="4"/>
  <c r="S154" i="4"/>
  <c r="T154" i="4"/>
  <c r="U154" i="4"/>
  <c r="O155" i="4"/>
  <c r="V155" i="4" s="1"/>
  <c r="P155" i="4"/>
  <c r="Q155" i="4"/>
  <c r="R155" i="4"/>
  <c r="S155" i="4"/>
  <c r="T155" i="4"/>
  <c r="U155" i="4"/>
  <c r="O156" i="4"/>
  <c r="V156" i="4" s="1"/>
  <c r="P156" i="4"/>
  <c r="Q156" i="4"/>
  <c r="R156" i="4"/>
  <c r="S156" i="4"/>
  <c r="T156" i="4"/>
  <c r="U156" i="4"/>
  <c r="O157" i="4"/>
  <c r="W157" i="4" s="1"/>
  <c r="P157" i="4"/>
  <c r="Q157" i="4"/>
  <c r="R157" i="4"/>
  <c r="S157" i="4"/>
  <c r="T157" i="4"/>
  <c r="U157" i="4"/>
  <c r="O158" i="4"/>
  <c r="W158" i="4" s="1"/>
  <c r="P158" i="4"/>
  <c r="Q158" i="4"/>
  <c r="R158" i="4"/>
  <c r="S158" i="4"/>
  <c r="T158" i="4"/>
  <c r="U158" i="4"/>
  <c r="O159" i="4"/>
  <c r="V159" i="4" s="1"/>
  <c r="P159" i="4"/>
  <c r="Q159" i="4"/>
  <c r="R159" i="4"/>
  <c r="S159" i="4"/>
  <c r="T159" i="4"/>
  <c r="U159" i="4"/>
  <c r="O160" i="4"/>
  <c r="V160" i="4" s="1"/>
  <c r="P160" i="4"/>
  <c r="Q160" i="4"/>
  <c r="R160" i="4"/>
  <c r="S160" i="4"/>
  <c r="T160" i="4"/>
  <c r="U160" i="4"/>
  <c r="O161" i="4"/>
  <c r="V161" i="4" s="1"/>
  <c r="P161" i="4"/>
  <c r="Q161" i="4"/>
  <c r="R161" i="4"/>
  <c r="S161" i="4"/>
  <c r="T161" i="4"/>
  <c r="U161" i="4"/>
  <c r="O162" i="4"/>
  <c r="V162" i="4" s="1"/>
  <c r="P162" i="4"/>
  <c r="Q162" i="4"/>
  <c r="R162" i="4"/>
  <c r="S162" i="4"/>
  <c r="T162" i="4"/>
  <c r="U162" i="4"/>
  <c r="O163" i="4"/>
  <c r="V163" i="4" s="1"/>
  <c r="P163" i="4"/>
  <c r="Q163" i="4"/>
  <c r="R163" i="4"/>
  <c r="S163" i="4"/>
  <c r="T163" i="4"/>
  <c r="U163" i="4"/>
  <c r="O164" i="4"/>
  <c r="W164" i="4" s="1"/>
  <c r="P164" i="4"/>
  <c r="Q164" i="4"/>
  <c r="R164" i="4"/>
  <c r="S164" i="4"/>
  <c r="T164" i="4"/>
  <c r="U164" i="4"/>
  <c r="O165" i="4"/>
  <c r="V165" i="4" s="1"/>
  <c r="P165" i="4"/>
  <c r="Q165" i="4"/>
  <c r="R165" i="4"/>
  <c r="S165" i="4"/>
  <c r="T165" i="4"/>
  <c r="U165" i="4"/>
  <c r="O166" i="4"/>
  <c r="W166" i="4" s="1"/>
  <c r="P166" i="4"/>
  <c r="Q166" i="4"/>
  <c r="R166" i="4"/>
  <c r="S166" i="4"/>
  <c r="T166" i="4"/>
  <c r="U166" i="4"/>
  <c r="O167" i="4"/>
  <c r="V167" i="4" s="1"/>
  <c r="P167" i="4"/>
  <c r="Q167" i="4"/>
  <c r="R167" i="4"/>
  <c r="S167" i="4"/>
  <c r="T167" i="4"/>
  <c r="U167" i="4"/>
  <c r="O168" i="4"/>
  <c r="W168" i="4" s="1"/>
  <c r="P168" i="4"/>
  <c r="Q168" i="4"/>
  <c r="R168" i="4"/>
  <c r="S168" i="4"/>
  <c r="T168" i="4"/>
  <c r="U168" i="4"/>
  <c r="O169" i="4"/>
  <c r="V169" i="4" s="1"/>
  <c r="P169" i="4"/>
  <c r="Q169" i="4"/>
  <c r="R169" i="4"/>
  <c r="S169" i="4"/>
  <c r="T169" i="4"/>
  <c r="U169" i="4"/>
  <c r="O170" i="4"/>
  <c r="V170" i="4" s="1"/>
  <c r="P170" i="4"/>
  <c r="Q170" i="4"/>
  <c r="R170" i="4"/>
  <c r="S170" i="4"/>
  <c r="T170" i="4"/>
  <c r="U170" i="4"/>
  <c r="O171" i="4"/>
  <c r="W171" i="4" s="1"/>
  <c r="P171" i="4"/>
  <c r="Q171" i="4"/>
  <c r="R171" i="4"/>
  <c r="S171" i="4"/>
  <c r="T171" i="4"/>
  <c r="U171" i="4"/>
  <c r="O172" i="4"/>
  <c r="V172" i="4" s="1"/>
  <c r="P172" i="4"/>
  <c r="Q172" i="4"/>
  <c r="R172" i="4"/>
  <c r="S172" i="4"/>
  <c r="T172" i="4"/>
  <c r="U172" i="4"/>
  <c r="O173" i="4"/>
  <c r="W173" i="4" s="1"/>
  <c r="P173" i="4"/>
  <c r="Q173" i="4"/>
  <c r="R173" i="4"/>
  <c r="S173" i="4"/>
  <c r="T173" i="4"/>
  <c r="U173" i="4"/>
  <c r="O174" i="4"/>
  <c r="V174" i="4" s="1"/>
  <c r="P174" i="4"/>
  <c r="Q174" i="4"/>
  <c r="R174" i="4"/>
  <c r="S174" i="4"/>
  <c r="T174" i="4"/>
  <c r="U174" i="4"/>
  <c r="O175" i="4"/>
  <c r="V175" i="4" s="1"/>
  <c r="P175" i="4"/>
  <c r="Q175" i="4"/>
  <c r="R175" i="4"/>
  <c r="S175" i="4"/>
  <c r="T175" i="4"/>
  <c r="U175" i="4"/>
  <c r="O176" i="4"/>
  <c r="V176" i="4" s="1"/>
  <c r="P176" i="4"/>
  <c r="Q176" i="4"/>
  <c r="R176" i="4"/>
  <c r="S176" i="4"/>
  <c r="T176" i="4"/>
  <c r="U176" i="4"/>
  <c r="O177" i="4"/>
  <c r="W177" i="4" s="1"/>
  <c r="P177" i="4"/>
  <c r="Q177" i="4"/>
  <c r="R177" i="4"/>
  <c r="S177" i="4"/>
  <c r="T177" i="4"/>
  <c r="U177" i="4"/>
  <c r="O178" i="4"/>
  <c r="V178" i="4" s="1"/>
  <c r="P178" i="4"/>
  <c r="Q178" i="4"/>
  <c r="R178" i="4"/>
  <c r="S178" i="4"/>
  <c r="T178" i="4"/>
  <c r="U178" i="4"/>
  <c r="O179" i="4"/>
  <c r="W179" i="4" s="1"/>
  <c r="P179" i="4"/>
  <c r="Q179" i="4"/>
  <c r="R179" i="4"/>
  <c r="S179" i="4"/>
  <c r="T179" i="4"/>
  <c r="U179" i="4"/>
  <c r="O180" i="4"/>
  <c r="V180" i="4" s="1"/>
  <c r="P180" i="4"/>
  <c r="Q180" i="4"/>
  <c r="R180" i="4"/>
  <c r="S180" i="4"/>
  <c r="T180" i="4"/>
  <c r="U180" i="4"/>
  <c r="O181" i="4"/>
  <c r="V181" i="4" s="1"/>
  <c r="P181" i="4"/>
  <c r="Q181" i="4"/>
  <c r="R181" i="4"/>
  <c r="S181" i="4"/>
  <c r="T181" i="4"/>
  <c r="U181" i="4"/>
  <c r="O182" i="4"/>
  <c r="W182" i="4" s="1"/>
  <c r="P182" i="4"/>
  <c r="Q182" i="4"/>
  <c r="R182" i="4"/>
  <c r="S182" i="4"/>
  <c r="T182" i="4"/>
  <c r="U182" i="4"/>
  <c r="O183" i="4"/>
  <c r="V183" i="4" s="1"/>
  <c r="P183" i="4"/>
  <c r="Q183" i="4"/>
  <c r="R183" i="4"/>
  <c r="S183" i="4"/>
  <c r="T183" i="4"/>
  <c r="U183" i="4"/>
  <c r="O184" i="4"/>
  <c r="W184" i="4" s="1"/>
  <c r="P184" i="4"/>
  <c r="Q184" i="4"/>
  <c r="R184" i="4"/>
  <c r="S184" i="4"/>
  <c r="T184" i="4"/>
  <c r="U184" i="4"/>
  <c r="O185" i="4"/>
  <c r="V185" i="4" s="1"/>
  <c r="P185" i="4"/>
  <c r="Q185" i="4"/>
  <c r="R185" i="4"/>
  <c r="S185" i="4"/>
  <c r="T185" i="4"/>
  <c r="U185" i="4"/>
  <c r="O186" i="4"/>
  <c r="V186" i="4" s="1"/>
  <c r="P186" i="4"/>
  <c r="Q186" i="4"/>
  <c r="R186" i="4"/>
  <c r="S186" i="4"/>
  <c r="T186" i="4"/>
  <c r="U186" i="4"/>
  <c r="O187" i="4"/>
  <c r="V187" i="4" s="1"/>
  <c r="P187" i="4"/>
  <c r="Q187" i="4"/>
  <c r="R187" i="4"/>
  <c r="S187" i="4"/>
  <c r="T187" i="4"/>
  <c r="U187" i="4"/>
  <c r="O188" i="4"/>
  <c r="V188" i="4" s="1"/>
  <c r="P188" i="4"/>
  <c r="Q188" i="4"/>
  <c r="R188" i="4"/>
  <c r="S188" i="4"/>
  <c r="T188" i="4"/>
  <c r="U188" i="4"/>
  <c r="O189" i="4"/>
  <c r="V189" i="4" s="1"/>
  <c r="P189" i="4"/>
  <c r="Q189" i="4"/>
  <c r="R189" i="4"/>
  <c r="S189" i="4"/>
  <c r="T189" i="4"/>
  <c r="U189" i="4"/>
  <c r="O190" i="4"/>
  <c r="V190" i="4" s="1"/>
  <c r="P190" i="4"/>
  <c r="Q190" i="4"/>
  <c r="R190" i="4"/>
  <c r="S190" i="4"/>
  <c r="T190" i="4"/>
  <c r="U190" i="4"/>
  <c r="O191" i="4"/>
  <c r="W191" i="4" s="1"/>
  <c r="P191" i="4"/>
  <c r="Q191" i="4"/>
  <c r="R191" i="4"/>
  <c r="S191" i="4"/>
  <c r="T191" i="4"/>
  <c r="U191" i="4"/>
  <c r="O192" i="4"/>
  <c r="W192" i="4" s="1"/>
  <c r="P192" i="4"/>
  <c r="Q192" i="4"/>
  <c r="R192" i="4"/>
  <c r="S192" i="4"/>
  <c r="T192" i="4"/>
  <c r="U192" i="4"/>
  <c r="O193" i="4"/>
  <c r="W193" i="4" s="1"/>
  <c r="P193" i="4"/>
  <c r="Q193" i="4"/>
  <c r="R193" i="4"/>
  <c r="S193" i="4"/>
  <c r="T193" i="4"/>
  <c r="U193" i="4"/>
  <c r="O194" i="4"/>
  <c r="V194" i="4" s="1"/>
  <c r="P194" i="4"/>
  <c r="Q194" i="4"/>
  <c r="R194" i="4"/>
  <c r="S194" i="4"/>
  <c r="T194" i="4"/>
  <c r="U194" i="4"/>
  <c r="O195" i="4"/>
  <c r="V195" i="4" s="1"/>
  <c r="P195" i="4"/>
  <c r="Q195" i="4"/>
  <c r="R195" i="4"/>
  <c r="S195" i="4"/>
  <c r="T195" i="4"/>
  <c r="U195" i="4"/>
  <c r="O196" i="4"/>
  <c r="V196" i="4" s="1"/>
  <c r="P196" i="4"/>
  <c r="Q196" i="4"/>
  <c r="R196" i="4"/>
  <c r="S196" i="4"/>
  <c r="T196" i="4"/>
  <c r="U196" i="4"/>
  <c r="O197" i="4"/>
  <c r="W197" i="4" s="1"/>
  <c r="P197" i="4"/>
  <c r="Q197" i="4"/>
  <c r="R197" i="4"/>
  <c r="S197" i="4"/>
  <c r="T197" i="4"/>
  <c r="U197" i="4"/>
  <c r="O198" i="4"/>
  <c r="W198" i="4" s="1"/>
  <c r="P198" i="4"/>
  <c r="Q198" i="4"/>
  <c r="R198" i="4"/>
  <c r="S198" i="4"/>
  <c r="T198" i="4"/>
  <c r="U198" i="4"/>
  <c r="O199" i="4"/>
  <c r="V199" i="4" s="1"/>
  <c r="P199" i="4"/>
  <c r="Q199" i="4"/>
  <c r="R199" i="4"/>
  <c r="S199" i="4"/>
  <c r="T199" i="4"/>
  <c r="U199" i="4"/>
  <c r="O200" i="4"/>
  <c r="V200" i="4" s="1"/>
  <c r="P200" i="4"/>
  <c r="Q200" i="4"/>
  <c r="R200" i="4"/>
  <c r="S200" i="4"/>
  <c r="T200" i="4"/>
  <c r="U200" i="4"/>
  <c r="O201" i="4"/>
  <c r="V201" i="4" s="1"/>
  <c r="P201" i="4"/>
  <c r="Q201" i="4"/>
  <c r="R201" i="4"/>
  <c r="S201" i="4"/>
  <c r="T201" i="4"/>
  <c r="U201" i="4"/>
  <c r="O202" i="4"/>
  <c r="V202" i="4" s="1"/>
  <c r="P202" i="4"/>
  <c r="Q202" i="4"/>
  <c r="R202" i="4"/>
  <c r="S202" i="4"/>
  <c r="T202" i="4"/>
  <c r="U202" i="4"/>
  <c r="O203" i="4"/>
  <c r="V203" i="4" s="1"/>
  <c r="P203" i="4"/>
  <c r="Q203" i="4"/>
  <c r="R203" i="4"/>
  <c r="S203" i="4"/>
  <c r="T203" i="4"/>
  <c r="U203" i="4"/>
  <c r="O204" i="4"/>
  <c r="V204" i="4" s="1"/>
  <c r="P204" i="4"/>
  <c r="Q204" i="4"/>
  <c r="R204" i="4"/>
  <c r="S204" i="4"/>
  <c r="T204" i="4"/>
  <c r="U204" i="4"/>
  <c r="O205" i="4"/>
  <c r="V205" i="4" s="1"/>
  <c r="P205" i="4"/>
  <c r="Q205" i="4"/>
  <c r="R205" i="4"/>
  <c r="S205" i="4"/>
  <c r="T205" i="4"/>
  <c r="U205" i="4"/>
  <c r="O206" i="4"/>
  <c r="W206" i="4" s="1"/>
  <c r="P206" i="4"/>
  <c r="Q206" i="4"/>
  <c r="R206" i="4"/>
  <c r="S206" i="4"/>
  <c r="T206" i="4"/>
  <c r="U206" i="4"/>
  <c r="O207" i="4"/>
  <c r="V207" i="4" s="1"/>
  <c r="P207" i="4"/>
  <c r="Q207" i="4"/>
  <c r="R207" i="4"/>
  <c r="S207" i="4"/>
  <c r="T207" i="4"/>
  <c r="U207" i="4"/>
  <c r="O208" i="4"/>
  <c r="W208" i="4" s="1"/>
  <c r="P208" i="4"/>
  <c r="Q208" i="4"/>
  <c r="R208" i="4"/>
  <c r="S208" i="4"/>
  <c r="T208" i="4"/>
  <c r="U208" i="4"/>
  <c r="O209" i="4"/>
  <c r="V209" i="4" s="1"/>
  <c r="P209" i="4"/>
  <c r="Q209" i="4"/>
  <c r="R209" i="4"/>
  <c r="S209" i="4"/>
  <c r="T209" i="4"/>
  <c r="U209" i="4"/>
  <c r="O210" i="4"/>
  <c r="V210" i="4" s="1"/>
  <c r="P210" i="4"/>
  <c r="Q210" i="4"/>
  <c r="R210" i="4"/>
  <c r="S210" i="4"/>
  <c r="T210" i="4"/>
  <c r="U210" i="4"/>
  <c r="O211" i="4"/>
  <c r="W211" i="4" s="1"/>
  <c r="P211" i="4"/>
  <c r="Q211" i="4"/>
  <c r="R211" i="4"/>
  <c r="S211" i="4"/>
  <c r="T211" i="4"/>
  <c r="U211" i="4"/>
  <c r="O212" i="4"/>
  <c r="W212" i="4" s="1"/>
  <c r="P212" i="4"/>
  <c r="Q212" i="4"/>
  <c r="R212" i="4"/>
  <c r="S212" i="4"/>
  <c r="T212" i="4"/>
  <c r="U212" i="4"/>
  <c r="O213" i="4"/>
  <c r="W213" i="4" s="1"/>
  <c r="P213" i="4"/>
  <c r="Q213" i="4"/>
  <c r="R213" i="4"/>
  <c r="S213" i="4"/>
  <c r="T213" i="4"/>
  <c r="U213" i="4"/>
  <c r="V213" i="4"/>
  <c r="O214" i="4"/>
  <c r="V214" i="4" s="1"/>
  <c r="P214" i="4"/>
  <c r="Q214" i="4"/>
  <c r="R214" i="4"/>
  <c r="S214" i="4"/>
  <c r="T214" i="4"/>
  <c r="U214" i="4"/>
  <c r="O215" i="4"/>
  <c r="V215" i="4" s="1"/>
  <c r="P215" i="4"/>
  <c r="Q215" i="4"/>
  <c r="R215" i="4"/>
  <c r="S215" i="4"/>
  <c r="T215" i="4"/>
  <c r="U215" i="4"/>
  <c r="O216" i="4"/>
  <c r="V216" i="4" s="1"/>
  <c r="P216" i="4"/>
  <c r="Q216" i="4"/>
  <c r="R216" i="4"/>
  <c r="S216" i="4"/>
  <c r="T216" i="4"/>
  <c r="U216" i="4"/>
  <c r="O217" i="4"/>
  <c r="W217" i="4" s="1"/>
  <c r="P217" i="4"/>
  <c r="Q217" i="4"/>
  <c r="R217" i="4"/>
  <c r="S217" i="4"/>
  <c r="T217" i="4"/>
  <c r="U217" i="4"/>
  <c r="O218" i="4"/>
  <c r="W218" i="4" s="1"/>
  <c r="P218" i="4"/>
  <c r="Q218" i="4"/>
  <c r="R218" i="4"/>
  <c r="S218" i="4"/>
  <c r="T218" i="4"/>
  <c r="U218" i="4"/>
  <c r="O219" i="4"/>
  <c r="W219" i="4" s="1"/>
  <c r="P219" i="4"/>
  <c r="Q219" i="4"/>
  <c r="R219" i="4"/>
  <c r="S219" i="4"/>
  <c r="T219" i="4"/>
  <c r="U219" i="4"/>
  <c r="O220" i="4"/>
  <c r="V220" i="4" s="1"/>
  <c r="P220" i="4"/>
  <c r="Q220" i="4"/>
  <c r="R220" i="4"/>
  <c r="S220" i="4"/>
  <c r="T220" i="4"/>
  <c r="U220" i="4"/>
  <c r="O221" i="4"/>
  <c r="V221" i="4" s="1"/>
  <c r="P221" i="4"/>
  <c r="Q221" i="4"/>
  <c r="R221" i="4"/>
  <c r="S221" i="4"/>
  <c r="T221" i="4"/>
  <c r="U221" i="4"/>
  <c r="O222" i="4"/>
  <c r="W222" i="4" s="1"/>
  <c r="P222" i="4"/>
  <c r="Q222" i="4"/>
  <c r="R222" i="4"/>
  <c r="S222" i="4"/>
  <c r="T222" i="4"/>
  <c r="U222" i="4"/>
  <c r="O223" i="4"/>
  <c r="V223" i="4" s="1"/>
  <c r="P223" i="4"/>
  <c r="Q223" i="4"/>
  <c r="R223" i="4"/>
  <c r="S223" i="4"/>
  <c r="T223" i="4"/>
  <c r="U223" i="4"/>
  <c r="O224" i="4"/>
  <c r="V224" i="4" s="1"/>
  <c r="P224" i="4"/>
  <c r="Q224" i="4"/>
  <c r="R224" i="4"/>
  <c r="S224" i="4"/>
  <c r="T224" i="4"/>
  <c r="U224" i="4"/>
  <c r="O225" i="4"/>
  <c r="V225" i="4" s="1"/>
  <c r="P225" i="4"/>
  <c r="Q225" i="4"/>
  <c r="R225" i="4"/>
  <c r="S225" i="4"/>
  <c r="T225" i="4"/>
  <c r="U225" i="4"/>
  <c r="O226" i="4"/>
  <c r="V226" i="4" s="1"/>
  <c r="P226" i="4"/>
  <c r="Q226" i="4"/>
  <c r="R226" i="4"/>
  <c r="S226" i="4"/>
  <c r="T226" i="4"/>
  <c r="U226" i="4"/>
  <c r="O227" i="4"/>
  <c r="V227" i="4" s="1"/>
  <c r="P227" i="4"/>
  <c r="Q227" i="4"/>
  <c r="R227" i="4"/>
  <c r="S227" i="4"/>
  <c r="T227" i="4"/>
  <c r="U227" i="4"/>
  <c r="O228" i="4"/>
  <c r="V228" i="4" s="1"/>
  <c r="P228" i="4"/>
  <c r="Q228" i="4"/>
  <c r="R228" i="4"/>
  <c r="S228" i="4"/>
  <c r="T228" i="4"/>
  <c r="U228" i="4"/>
  <c r="O229" i="4"/>
  <c r="V229" i="4" s="1"/>
  <c r="P229" i="4"/>
  <c r="Q229" i="4"/>
  <c r="R229" i="4"/>
  <c r="S229" i="4"/>
  <c r="T229" i="4"/>
  <c r="U229" i="4"/>
  <c r="O230" i="4"/>
  <c r="W230" i="4" s="1"/>
  <c r="P230" i="4"/>
  <c r="Q230" i="4"/>
  <c r="R230" i="4"/>
  <c r="S230" i="4"/>
  <c r="T230" i="4"/>
  <c r="U230" i="4"/>
  <c r="V230" i="4"/>
  <c r="O231" i="4"/>
  <c r="W231" i="4" s="1"/>
  <c r="P231" i="4"/>
  <c r="Q231" i="4"/>
  <c r="R231" i="4"/>
  <c r="S231" i="4"/>
  <c r="T231" i="4"/>
  <c r="U231" i="4"/>
  <c r="O232" i="4"/>
  <c r="W232" i="4" s="1"/>
  <c r="P232" i="4"/>
  <c r="Q232" i="4"/>
  <c r="R232" i="4"/>
  <c r="S232" i="4"/>
  <c r="T232" i="4"/>
  <c r="U232" i="4"/>
  <c r="O233" i="4"/>
  <c r="V233" i="4" s="1"/>
  <c r="P233" i="4"/>
  <c r="Q233" i="4"/>
  <c r="R233" i="4"/>
  <c r="S233" i="4"/>
  <c r="T233" i="4"/>
  <c r="U233" i="4"/>
  <c r="O234" i="4"/>
  <c r="V234" i="4" s="1"/>
  <c r="P234" i="4"/>
  <c r="Q234" i="4"/>
  <c r="R234" i="4"/>
  <c r="S234" i="4"/>
  <c r="T234" i="4"/>
  <c r="U234" i="4"/>
  <c r="O235" i="4"/>
  <c r="V235" i="4" s="1"/>
  <c r="P235" i="4"/>
  <c r="Q235" i="4"/>
  <c r="R235" i="4"/>
  <c r="S235" i="4"/>
  <c r="T235" i="4"/>
  <c r="U235" i="4"/>
  <c r="O236" i="4"/>
  <c r="V236" i="4" s="1"/>
  <c r="P236" i="4"/>
  <c r="Q236" i="4"/>
  <c r="R236" i="4"/>
  <c r="S236" i="4"/>
  <c r="T236" i="4"/>
  <c r="U236" i="4"/>
  <c r="O237" i="4"/>
  <c r="W237" i="4" s="1"/>
  <c r="P237" i="4"/>
  <c r="Q237" i="4"/>
  <c r="R237" i="4"/>
  <c r="S237" i="4"/>
  <c r="T237" i="4"/>
  <c r="U237" i="4"/>
  <c r="O238" i="4"/>
  <c r="W238" i="4" s="1"/>
  <c r="P238" i="4"/>
  <c r="Q238" i="4"/>
  <c r="R238" i="4"/>
  <c r="S238" i="4"/>
  <c r="T238" i="4"/>
  <c r="U238" i="4"/>
  <c r="O239" i="4"/>
  <c r="V239" i="4" s="1"/>
  <c r="P239" i="4"/>
  <c r="Q239" i="4"/>
  <c r="R239" i="4"/>
  <c r="S239" i="4"/>
  <c r="T239" i="4"/>
  <c r="U239" i="4"/>
  <c r="O240" i="4"/>
  <c r="V240" i="4" s="1"/>
  <c r="P240" i="4"/>
  <c r="Q240" i="4"/>
  <c r="R240" i="4"/>
  <c r="S240" i="4"/>
  <c r="T240" i="4"/>
  <c r="U240" i="4"/>
  <c r="O241" i="4"/>
  <c r="V241" i="4" s="1"/>
  <c r="P241" i="4"/>
  <c r="Q241" i="4"/>
  <c r="R241" i="4"/>
  <c r="S241" i="4"/>
  <c r="T241" i="4"/>
  <c r="U241" i="4"/>
  <c r="O242" i="4"/>
  <c r="W242" i="4" s="1"/>
  <c r="P242" i="4"/>
  <c r="Q242" i="4"/>
  <c r="R242" i="4"/>
  <c r="S242" i="4"/>
  <c r="T242" i="4"/>
  <c r="U242" i="4"/>
  <c r="O243" i="4"/>
  <c r="V243" i="4" s="1"/>
  <c r="P243" i="4"/>
  <c r="Q243" i="4"/>
  <c r="R243" i="4"/>
  <c r="S243" i="4"/>
  <c r="T243" i="4"/>
  <c r="U243" i="4"/>
  <c r="O244" i="4"/>
  <c r="V244" i="4" s="1"/>
  <c r="P244" i="4"/>
  <c r="Q244" i="4"/>
  <c r="R244" i="4"/>
  <c r="S244" i="4"/>
  <c r="T244" i="4"/>
  <c r="U244" i="4"/>
  <c r="O245" i="4"/>
  <c r="V245" i="4" s="1"/>
  <c r="P245" i="4"/>
  <c r="Q245" i="4"/>
  <c r="R245" i="4"/>
  <c r="S245" i="4"/>
  <c r="T245" i="4"/>
  <c r="U245" i="4"/>
  <c r="O246" i="4"/>
  <c r="W246" i="4" s="1"/>
  <c r="P246" i="4"/>
  <c r="Q246" i="4"/>
  <c r="R246" i="4"/>
  <c r="S246" i="4"/>
  <c r="T246" i="4"/>
  <c r="U246" i="4"/>
  <c r="O247" i="4"/>
  <c r="V247" i="4" s="1"/>
  <c r="P247" i="4"/>
  <c r="Q247" i="4"/>
  <c r="R247" i="4"/>
  <c r="S247" i="4"/>
  <c r="T247" i="4"/>
  <c r="U247" i="4"/>
  <c r="O248" i="4"/>
  <c r="V248" i="4" s="1"/>
  <c r="P248" i="4"/>
  <c r="Q248" i="4"/>
  <c r="R248" i="4"/>
  <c r="S248" i="4"/>
  <c r="T248" i="4"/>
  <c r="U248" i="4"/>
  <c r="O249" i="4"/>
  <c r="V249" i="4" s="1"/>
  <c r="P249" i="4"/>
  <c r="Q249" i="4"/>
  <c r="R249" i="4"/>
  <c r="S249" i="4"/>
  <c r="T249" i="4"/>
  <c r="U249" i="4"/>
  <c r="O250" i="4"/>
  <c r="W250" i="4" s="1"/>
  <c r="P250" i="4"/>
  <c r="Q250" i="4"/>
  <c r="R250" i="4"/>
  <c r="S250" i="4"/>
  <c r="T250" i="4"/>
  <c r="U250" i="4"/>
  <c r="O251" i="4"/>
  <c r="W251" i="4" s="1"/>
  <c r="P251" i="4"/>
  <c r="Q251" i="4"/>
  <c r="R251" i="4"/>
  <c r="S251" i="4"/>
  <c r="T251" i="4"/>
  <c r="U251" i="4"/>
  <c r="O252" i="4"/>
  <c r="W252" i="4" s="1"/>
  <c r="P252" i="4"/>
  <c r="Q252" i="4"/>
  <c r="R252" i="4"/>
  <c r="S252" i="4"/>
  <c r="T252" i="4"/>
  <c r="U252" i="4"/>
  <c r="O253" i="4"/>
  <c r="W253" i="4" s="1"/>
  <c r="P253" i="4"/>
  <c r="Q253" i="4"/>
  <c r="R253" i="4"/>
  <c r="S253" i="4"/>
  <c r="T253" i="4"/>
  <c r="U253" i="4"/>
  <c r="O254" i="4"/>
  <c r="V254" i="4" s="1"/>
  <c r="P254" i="4"/>
  <c r="Q254" i="4"/>
  <c r="R254" i="4"/>
  <c r="S254" i="4"/>
  <c r="T254" i="4"/>
  <c r="U254" i="4"/>
  <c r="O255" i="4"/>
  <c r="V255" i="4" s="1"/>
  <c r="P255" i="4"/>
  <c r="Q255" i="4"/>
  <c r="R255" i="4"/>
  <c r="S255" i="4"/>
  <c r="T255" i="4"/>
  <c r="U255" i="4"/>
  <c r="O256" i="4"/>
  <c r="V256" i="4" s="1"/>
  <c r="P256" i="4"/>
  <c r="Q256" i="4"/>
  <c r="R256" i="4"/>
  <c r="S256" i="4"/>
  <c r="T256" i="4"/>
  <c r="U256" i="4"/>
  <c r="O257" i="4"/>
  <c r="V257" i="4" s="1"/>
  <c r="P257" i="4"/>
  <c r="Q257" i="4"/>
  <c r="R257" i="4"/>
  <c r="S257" i="4"/>
  <c r="T257" i="4"/>
  <c r="U257" i="4"/>
  <c r="O258" i="4"/>
  <c r="W258" i="4" s="1"/>
  <c r="P258" i="4"/>
  <c r="Q258" i="4"/>
  <c r="R258" i="4"/>
  <c r="S258" i="4"/>
  <c r="T258" i="4"/>
  <c r="U258" i="4"/>
  <c r="O259" i="4"/>
  <c r="W259" i="4" s="1"/>
  <c r="P259" i="4"/>
  <c r="Q259" i="4"/>
  <c r="R259" i="4"/>
  <c r="S259" i="4"/>
  <c r="T259" i="4"/>
  <c r="U259" i="4"/>
  <c r="O260" i="4"/>
  <c r="V260" i="4" s="1"/>
  <c r="P260" i="4"/>
  <c r="Q260" i="4"/>
  <c r="R260" i="4"/>
  <c r="S260" i="4"/>
  <c r="T260" i="4"/>
  <c r="U260" i="4"/>
  <c r="O261" i="4"/>
  <c r="V261" i="4" s="1"/>
  <c r="P261" i="4"/>
  <c r="Q261" i="4"/>
  <c r="R261" i="4"/>
  <c r="S261" i="4"/>
  <c r="T261" i="4"/>
  <c r="U261" i="4"/>
  <c r="O262" i="4"/>
  <c r="W262" i="4" s="1"/>
  <c r="P262" i="4"/>
  <c r="Q262" i="4"/>
  <c r="R262" i="4"/>
  <c r="S262" i="4"/>
  <c r="T262" i="4"/>
  <c r="U262" i="4"/>
  <c r="O263" i="4"/>
  <c r="V263" i="4" s="1"/>
  <c r="P263" i="4"/>
  <c r="Q263" i="4"/>
  <c r="R263" i="4"/>
  <c r="S263" i="4"/>
  <c r="T263" i="4"/>
  <c r="U263" i="4"/>
  <c r="O264" i="4"/>
  <c r="W264" i="4" s="1"/>
  <c r="P264" i="4"/>
  <c r="Q264" i="4"/>
  <c r="R264" i="4"/>
  <c r="S264" i="4"/>
  <c r="T264" i="4"/>
  <c r="U264" i="4"/>
  <c r="O265" i="4"/>
  <c r="V265" i="4" s="1"/>
  <c r="P265" i="4"/>
  <c r="Q265" i="4"/>
  <c r="R265" i="4"/>
  <c r="S265" i="4"/>
  <c r="T265" i="4"/>
  <c r="U265" i="4"/>
  <c r="O266" i="4"/>
  <c r="W266" i="4" s="1"/>
  <c r="P266" i="4"/>
  <c r="Q266" i="4"/>
  <c r="R266" i="4"/>
  <c r="S266" i="4"/>
  <c r="T266" i="4"/>
  <c r="U266" i="4"/>
  <c r="O267" i="4"/>
  <c r="V267" i="4" s="1"/>
  <c r="P267" i="4"/>
  <c r="Q267" i="4"/>
  <c r="R267" i="4"/>
  <c r="S267" i="4"/>
  <c r="T267" i="4"/>
  <c r="U267" i="4"/>
  <c r="O268" i="4"/>
  <c r="V268" i="4" s="1"/>
  <c r="P268" i="4"/>
  <c r="Q268" i="4"/>
  <c r="R268" i="4"/>
  <c r="S268" i="4"/>
  <c r="T268" i="4"/>
  <c r="U268" i="4"/>
  <c r="O269" i="4"/>
  <c r="V269" i="4" s="1"/>
  <c r="P269" i="4"/>
  <c r="Q269" i="4"/>
  <c r="R269" i="4"/>
  <c r="S269" i="4"/>
  <c r="T269" i="4"/>
  <c r="U269" i="4"/>
  <c r="O270" i="4"/>
  <c r="V270" i="4" s="1"/>
  <c r="P270" i="4"/>
  <c r="Q270" i="4"/>
  <c r="R270" i="4"/>
  <c r="S270" i="4"/>
  <c r="T270" i="4"/>
  <c r="U270" i="4"/>
  <c r="O271" i="4"/>
  <c r="W271" i="4" s="1"/>
  <c r="P271" i="4"/>
  <c r="Q271" i="4"/>
  <c r="R271" i="4"/>
  <c r="S271" i="4"/>
  <c r="T271" i="4"/>
  <c r="U271" i="4"/>
  <c r="O272" i="4"/>
  <c r="W272" i="4" s="1"/>
  <c r="P272" i="4"/>
  <c r="Q272" i="4"/>
  <c r="R272" i="4"/>
  <c r="S272" i="4"/>
  <c r="T272" i="4"/>
  <c r="U272" i="4"/>
  <c r="O273" i="4"/>
  <c r="W273" i="4" s="1"/>
  <c r="P273" i="4"/>
  <c r="Q273" i="4"/>
  <c r="R273" i="4"/>
  <c r="S273" i="4"/>
  <c r="T273" i="4"/>
  <c r="U273" i="4"/>
  <c r="O274" i="4"/>
  <c r="V274" i="4" s="1"/>
  <c r="P274" i="4"/>
  <c r="Q274" i="4"/>
  <c r="R274" i="4"/>
  <c r="S274" i="4"/>
  <c r="T274" i="4"/>
  <c r="U274" i="4"/>
  <c r="O275" i="4"/>
  <c r="V275" i="4" s="1"/>
  <c r="P275" i="4"/>
  <c r="Q275" i="4"/>
  <c r="R275" i="4"/>
  <c r="S275" i="4"/>
  <c r="T275" i="4"/>
  <c r="U275" i="4"/>
  <c r="O276" i="4"/>
  <c r="V276" i="4" s="1"/>
  <c r="P276" i="4"/>
  <c r="Q276" i="4"/>
  <c r="R276" i="4"/>
  <c r="S276" i="4"/>
  <c r="T276" i="4"/>
  <c r="U276" i="4"/>
  <c r="O277" i="4"/>
  <c r="W277" i="4" s="1"/>
  <c r="P277" i="4"/>
  <c r="Q277" i="4"/>
  <c r="R277" i="4"/>
  <c r="S277" i="4"/>
  <c r="T277" i="4"/>
  <c r="U277" i="4"/>
  <c r="O278" i="4"/>
  <c r="W278" i="4" s="1"/>
  <c r="P278" i="4"/>
  <c r="Q278" i="4"/>
  <c r="R278" i="4"/>
  <c r="S278" i="4"/>
  <c r="T278" i="4"/>
  <c r="U278" i="4"/>
  <c r="O279" i="4"/>
  <c r="W279" i="4" s="1"/>
  <c r="P279" i="4"/>
  <c r="Q279" i="4"/>
  <c r="R279" i="4"/>
  <c r="S279" i="4"/>
  <c r="T279" i="4"/>
  <c r="U279" i="4"/>
  <c r="O280" i="4"/>
  <c r="V280" i="4" s="1"/>
  <c r="P280" i="4"/>
  <c r="Q280" i="4"/>
  <c r="R280" i="4"/>
  <c r="S280" i="4"/>
  <c r="T280" i="4"/>
  <c r="U280" i="4"/>
  <c r="O281" i="4"/>
  <c r="V281" i="4" s="1"/>
  <c r="P281" i="4"/>
  <c r="Q281" i="4"/>
  <c r="R281" i="4"/>
  <c r="S281" i="4"/>
  <c r="T281" i="4"/>
  <c r="U281" i="4"/>
  <c r="O282" i="4"/>
  <c r="W282" i="4" s="1"/>
  <c r="P282" i="4"/>
  <c r="Q282" i="4"/>
  <c r="R282" i="4"/>
  <c r="S282" i="4"/>
  <c r="T282" i="4"/>
  <c r="U282" i="4"/>
  <c r="O283" i="4"/>
  <c r="V283" i="4" s="1"/>
  <c r="P283" i="4"/>
  <c r="Q283" i="4"/>
  <c r="R283" i="4"/>
  <c r="S283" i="4"/>
  <c r="T283" i="4"/>
  <c r="U283" i="4"/>
  <c r="O284" i="4"/>
  <c r="V284" i="4" s="1"/>
  <c r="P284" i="4"/>
  <c r="Q284" i="4"/>
  <c r="R284" i="4"/>
  <c r="S284" i="4"/>
  <c r="T284" i="4"/>
  <c r="U284" i="4"/>
  <c r="O285" i="4"/>
  <c r="V285" i="4" s="1"/>
  <c r="P285" i="4"/>
  <c r="Q285" i="4"/>
  <c r="R285" i="4"/>
  <c r="S285" i="4"/>
  <c r="T285" i="4"/>
  <c r="U285" i="4"/>
  <c r="O286" i="4"/>
  <c r="W286" i="4" s="1"/>
  <c r="P286" i="4"/>
  <c r="Q286" i="4"/>
  <c r="R286" i="4"/>
  <c r="S286" i="4"/>
  <c r="T286" i="4"/>
  <c r="U286" i="4"/>
  <c r="O287" i="4"/>
  <c r="V287" i="4" s="1"/>
  <c r="P287" i="4"/>
  <c r="Q287" i="4"/>
  <c r="R287" i="4"/>
  <c r="S287" i="4"/>
  <c r="T287" i="4"/>
  <c r="U287" i="4"/>
  <c r="O288" i="4"/>
  <c r="V288" i="4" s="1"/>
  <c r="P288" i="4"/>
  <c r="Q288" i="4"/>
  <c r="R288" i="4"/>
  <c r="S288" i="4"/>
  <c r="T288" i="4"/>
  <c r="U288" i="4"/>
  <c r="O289" i="4"/>
  <c r="V289" i="4" s="1"/>
  <c r="P289" i="4"/>
  <c r="Q289" i="4"/>
  <c r="R289" i="4"/>
  <c r="S289" i="4"/>
  <c r="T289" i="4"/>
  <c r="U289" i="4"/>
  <c r="O290" i="4"/>
  <c r="V290" i="4" s="1"/>
  <c r="P290" i="4"/>
  <c r="Q290" i="4"/>
  <c r="R290" i="4"/>
  <c r="S290" i="4"/>
  <c r="T290" i="4"/>
  <c r="U290" i="4"/>
  <c r="O291" i="4"/>
  <c r="W291" i="4" s="1"/>
  <c r="P291" i="4"/>
  <c r="Q291" i="4"/>
  <c r="R291" i="4"/>
  <c r="S291" i="4"/>
  <c r="T291" i="4"/>
  <c r="U291" i="4"/>
  <c r="O292" i="4"/>
  <c r="W292" i="4" s="1"/>
  <c r="P292" i="4"/>
  <c r="Q292" i="4"/>
  <c r="R292" i="4"/>
  <c r="S292" i="4"/>
  <c r="T292" i="4"/>
  <c r="U292" i="4"/>
  <c r="O293" i="4"/>
  <c r="W293" i="4" s="1"/>
  <c r="P293" i="4"/>
  <c r="Q293" i="4"/>
  <c r="R293" i="4"/>
  <c r="S293" i="4"/>
  <c r="T293" i="4"/>
  <c r="U293" i="4"/>
  <c r="O294" i="4"/>
  <c r="V294" i="4" s="1"/>
  <c r="P294" i="4"/>
  <c r="Q294" i="4"/>
  <c r="R294" i="4"/>
  <c r="S294" i="4"/>
  <c r="T294" i="4"/>
  <c r="U294" i="4"/>
  <c r="O295" i="4"/>
  <c r="V295" i="4" s="1"/>
  <c r="P295" i="4"/>
  <c r="Q295" i="4"/>
  <c r="R295" i="4"/>
  <c r="S295" i="4"/>
  <c r="T295" i="4"/>
  <c r="U295" i="4"/>
  <c r="O296" i="4"/>
  <c r="V296" i="4" s="1"/>
  <c r="P296" i="4"/>
  <c r="Q296" i="4"/>
  <c r="R296" i="4"/>
  <c r="S296" i="4"/>
  <c r="T296" i="4"/>
  <c r="U296" i="4"/>
  <c r="O297" i="4"/>
  <c r="V297" i="4" s="1"/>
  <c r="P297" i="4"/>
  <c r="Q297" i="4"/>
  <c r="R297" i="4"/>
  <c r="S297" i="4"/>
  <c r="T297" i="4"/>
  <c r="U297" i="4"/>
  <c r="O298" i="4"/>
  <c r="W298" i="4" s="1"/>
  <c r="P298" i="4"/>
  <c r="Q298" i="4"/>
  <c r="R298" i="4"/>
  <c r="S298" i="4"/>
  <c r="T298" i="4"/>
  <c r="U298" i="4"/>
  <c r="V298" i="4"/>
  <c r="O299" i="4"/>
  <c r="W299" i="4" s="1"/>
  <c r="P299" i="4"/>
  <c r="Q299" i="4"/>
  <c r="R299" i="4"/>
  <c r="S299" i="4"/>
  <c r="T299" i="4"/>
  <c r="U299" i="4"/>
  <c r="O300" i="4"/>
  <c r="V300" i="4" s="1"/>
  <c r="P300" i="4"/>
  <c r="Q300" i="4"/>
  <c r="R300" i="4"/>
  <c r="S300" i="4"/>
  <c r="T300" i="4"/>
  <c r="U300" i="4"/>
  <c r="O301" i="4"/>
  <c r="V301" i="4" s="1"/>
  <c r="P301" i="4"/>
  <c r="Q301" i="4"/>
  <c r="R301" i="4"/>
  <c r="S301" i="4"/>
  <c r="T301" i="4"/>
  <c r="U301" i="4"/>
  <c r="O302" i="4"/>
  <c r="V302" i="4" s="1"/>
  <c r="P302" i="4"/>
  <c r="Q302" i="4"/>
  <c r="R302" i="4"/>
  <c r="S302" i="4"/>
  <c r="T302" i="4"/>
  <c r="U302" i="4"/>
  <c r="O303" i="4"/>
  <c r="V303" i="4" s="1"/>
  <c r="P303" i="4"/>
  <c r="Q303" i="4"/>
  <c r="R303" i="4"/>
  <c r="S303" i="4"/>
  <c r="T303" i="4"/>
  <c r="U303" i="4"/>
  <c r="O304" i="4"/>
  <c r="W304" i="4" s="1"/>
  <c r="P304" i="4"/>
  <c r="Q304" i="4"/>
  <c r="R304" i="4"/>
  <c r="S304" i="4"/>
  <c r="T304" i="4"/>
  <c r="U304" i="4"/>
  <c r="O305" i="4"/>
  <c r="V305" i="4" s="1"/>
  <c r="P305" i="4"/>
  <c r="Q305" i="4"/>
  <c r="R305" i="4"/>
  <c r="S305" i="4"/>
  <c r="T305" i="4"/>
  <c r="U305" i="4"/>
  <c r="O306" i="4"/>
  <c r="V306" i="4" s="1"/>
  <c r="P306" i="4"/>
  <c r="Q306" i="4"/>
  <c r="R306" i="4"/>
  <c r="S306" i="4"/>
  <c r="T306" i="4"/>
  <c r="U306" i="4"/>
  <c r="O307" i="4"/>
  <c r="V307" i="4" s="1"/>
  <c r="P307" i="4"/>
  <c r="Q307" i="4"/>
  <c r="R307" i="4"/>
  <c r="S307" i="4"/>
  <c r="T307" i="4"/>
  <c r="U307" i="4"/>
  <c r="O308" i="4"/>
  <c r="V308" i="4" s="1"/>
  <c r="P308" i="4"/>
  <c r="Q308" i="4"/>
  <c r="R308" i="4"/>
  <c r="S308" i="4"/>
  <c r="T308" i="4"/>
  <c r="U308" i="4"/>
  <c r="O309" i="4"/>
  <c r="V309" i="4" s="1"/>
  <c r="P309" i="4"/>
  <c r="Q309" i="4"/>
  <c r="R309" i="4"/>
  <c r="S309" i="4"/>
  <c r="T309" i="4"/>
  <c r="U309" i="4"/>
  <c r="O310" i="4"/>
  <c r="V310" i="4" s="1"/>
  <c r="P310" i="4"/>
  <c r="Q310" i="4"/>
  <c r="R310" i="4"/>
  <c r="S310" i="4"/>
  <c r="T310" i="4"/>
  <c r="U310" i="4"/>
  <c r="O311" i="4"/>
  <c r="W311" i="4" s="1"/>
  <c r="P311" i="4"/>
  <c r="Q311" i="4"/>
  <c r="R311" i="4"/>
  <c r="S311" i="4"/>
  <c r="T311" i="4"/>
  <c r="U311" i="4"/>
  <c r="O312" i="4"/>
  <c r="W312" i="4" s="1"/>
  <c r="P312" i="4"/>
  <c r="Q312" i="4"/>
  <c r="R312" i="4"/>
  <c r="S312" i="4"/>
  <c r="T312" i="4"/>
  <c r="U312" i="4"/>
  <c r="O313" i="4"/>
  <c r="W313" i="4" s="1"/>
  <c r="P313" i="4"/>
  <c r="Q313" i="4"/>
  <c r="R313" i="4"/>
  <c r="S313" i="4"/>
  <c r="T313" i="4"/>
  <c r="U313" i="4"/>
  <c r="O314" i="4"/>
  <c r="V314" i="4" s="1"/>
  <c r="P314" i="4"/>
  <c r="Q314" i="4"/>
  <c r="R314" i="4"/>
  <c r="S314" i="4"/>
  <c r="T314" i="4"/>
  <c r="U314" i="4"/>
  <c r="O315" i="4"/>
  <c r="V315" i="4" s="1"/>
  <c r="P315" i="4"/>
  <c r="Q315" i="4"/>
  <c r="R315" i="4"/>
  <c r="S315" i="4"/>
  <c r="T315" i="4"/>
  <c r="U315" i="4"/>
  <c r="O316" i="4"/>
  <c r="V316" i="4" s="1"/>
  <c r="P316" i="4"/>
  <c r="Q316" i="4"/>
  <c r="R316" i="4"/>
  <c r="S316" i="4"/>
  <c r="T316" i="4"/>
  <c r="U316" i="4"/>
  <c r="O341" i="4"/>
  <c r="W341" i="4" s="1"/>
  <c r="P341" i="4"/>
  <c r="Q341" i="4"/>
  <c r="R341" i="4"/>
  <c r="S341" i="4"/>
  <c r="T341" i="4"/>
  <c r="U341" i="4"/>
  <c r="O446" i="4"/>
  <c r="W446" i="4" s="1"/>
  <c r="P446" i="4"/>
  <c r="Q446" i="4"/>
  <c r="R446" i="4"/>
  <c r="S446" i="4"/>
  <c r="T446" i="4"/>
  <c r="U446" i="4"/>
  <c r="O441" i="4"/>
  <c r="V441" i="4" s="1"/>
  <c r="P441" i="4"/>
  <c r="Q441" i="4"/>
  <c r="R441" i="4"/>
  <c r="S441" i="4"/>
  <c r="T441" i="4"/>
  <c r="U441" i="4"/>
  <c r="O377" i="4"/>
  <c r="W377" i="4" s="1"/>
  <c r="P377" i="4"/>
  <c r="Q377" i="4"/>
  <c r="R377" i="4"/>
  <c r="S377" i="4"/>
  <c r="T377" i="4"/>
  <c r="U377" i="4"/>
  <c r="O343" i="4"/>
  <c r="V343" i="4" s="1"/>
  <c r="P343" i="4"/>
  <c r="Q343" i="4"/>
  <c r="R343" i="4"/>
  <c r="S343" i="4"/>
  <c r="T343" i="4"/>
  <c r="U343" i="4"/>
  <c r="O359" i="4"/>
  <c r="V359" i="4" s="1"/>
  <c r="P359" i="4"/>
  <c r="Q359" i="4"/>
  <c r="R359" i="4"/>
  <c r="S359" i="4"/>
  <c r="T359" i="4"/>
  <c r="U359" i="4"/>
  <c r="O391" i="4"/>
  <c r="V391" i="4" s="1"/>
  <c r="P391" i="4"/>
  <c r="Q391" i="4"/>
  <c r="R391" i="4"/>
  <c r="S391" i="4"/>
  <c r="T391" i="4"/>
  <c r="U391" i="4"/>
  <c r="O358" i="4"/>
  <c r="V358" i="4" s="1"/>
  <c r="P358" i="4"/>
  <c r="Q358" i="4"/>
  <c r="R358" i="4"/>
  <c r="S358" i="4"/>
  <c r="T358" i="4"/>
  <c r="U358" i="4"/>
  <c r="O371" i="4"/>
  <c r="V371" i="4" s="1"/>
  <c r="P371" i="4"/>
  <c r="Q371" i="4"/>
  <c r="R371" i="4"/>
  <c r="S371" i="4"/>
  <c r="T371" i="4"/>
  <c r="U371" i="4"/>
  <c r="O383" i="4"/>
  <c r="W383" i="4" s="1"/>
  <c r="P383" i="4"/>
  <c r="Q383" i="4"/>
  <c r="R383" i="4"/>
  <c r="S383" i="4"/>
  <c r="T383" i="4"/>
  <c r="U383" i="4"/>
  <c r="O333" i="4"/>
  <c r="V333" i="4" s="1"/>
  <c r="P333" i="4"/>
  <c r="Q333" i="4"/>
  <c r="R333" i="4"/>
  <c r="S333" i="4"/>
  <c r="T333" i="4"/>
  <c r="U333" i="4"/>
  <c r="O363" i="4"/>
  <c r="V363" i="4" s="1"/>
  <c r="P363" i="4"/>
  <c r="Q363" i="4"/>
  <c r="R363" i="4"/>
  <c r="S363" i="4"/>
  <c r="T363" i="4"/>
  <c r="U363" i="4"/>
  <c r="O445" i="4"/>
  <c r="V445" i="4" s="1"/>
  <c r="P445" i="4"/>
  <c r="Q445" i="4"/>
  <c r="R445" i="4"/>
  <c r="S445" i="4"/>
  <c r="T445" i="4"/>
  <c r="U445" i="4"/>
  <c r="O384" i="4"/>
  <c r="V384" i="4" s="1"/>
  <c r="P384" i="4"/>
  <c r="Q384" i="4"/>
  <c r="R384" i="4"/>
  <c r="S384" i="4"/>
  <c r="T384" i="4"/>
  <c r="U384" i="4"/>
  <c r="O350" i="4"/>
  <c r="V350" i="4" s="1"/>
  <c r="P350" i="4"/>
  <c r="Q350" i="4"/>
  <c r="R350" i="4"/>
  <c r="S350" i="4"/>
  <c r="T350" i="4"/>
  <c r="U350" i="4"/>
  <c r="O367" i="4"/>
  <c r="W367" i="4" s="1"/>
  <c r="P367" i="4"/>
  <c r="Q367" i="4"/>
  <c r="R367" i="4"/>
  <c r="S367" i="4"/>
  <c r="T367" i="4"/>
  <c r="U367" i="4"/>
  <c r="O327" i="4"/>
  <c r="W327" i="4" s="1"/>
  <c r="P327" i="4"/>
  <c r="Q327" i="4"/>
  <c r="R327" i="4"/>
  <c r="S327" i="4"/>
  <c r="T327" i="4"/>
  <c r="U327" i="4"/>
  <c r="O450" i="4"/>
  <c r="V450" i="4" s="1"/>
  <c r="P450" i="4"/>
  <c r="Q450" i="4"/>
  <c r="R450" i="4"/>
  <c r="S450" i="4"/>
  <c r="T450" i="4"/>
  <c r="U450" i="4"/>
  <c r="O360" i="4"/>
  <c r="V360" i="4" s="1"/>
  <c r="P360" i="4"/>
  <c r="Q360" i="4"/>
  <c r="R360" i="4"/>
  <c r="S360" i="4"/>
  <c r="T360" i="4"/>
  <c r="U360" i="4"/>
  <c r="O320" i="4"/>
  <c r="V320" i="4" s="1"/>
  <c r="P320" i="4"/>
  <c r="Q320" i="4"/>
  <c r="R320" i="4"/>
  <c r="S320" i="4"/>
  <c r="T320" i="4"/>
  <c r="U320" i="4"/>
  <c r="O442" i="4"/>
  <c r="W442" i="4" s="1"/>
  <c r="P442" i="4"/>
  <c r="Q442" i="4"/>
  <c r="R442" i="4"/>
  <c r="S442" i="4"/>
  <c r="T442" i="4"/>
  <c r="U442" i="4"/>
  <c r="O372" i="4"/>
  <c r="W372" i="4" s="1"/>
  <c r="P372" i="4"/>
  <c r="Q372" i="4"/>
  <c r="R372" i="4"/>
  <c r="S372" i="4"/>
  <c r="T372" i="4"/>
  <c r="U372" i="4"/>
  <c r="O357" i="4"/>
  <c r="W357" i="4" s="1"/>
  <c r="P357" i="4"/>
  <c r="Q357" i="4"/>
  <c r="R357" i="4"/>
  <c r="S357" i="4"/>
  <c r="T357" i="4"/>
  <c r="U357" i="4"/>
  <c r="O394" i="4"/>
  <c r="V394" i="4" s="1"/>
  <c r="P394" i="4"/>
  <c r="Q394" i="4"/>
  <c r="R394" i="4"/>
  <c r="S394" i="4"/>
  <c r="T394" i="4"/>
  <c r="U394" i="4"/>
  <c r="O330" i="4"/>
  <c r="V330" i="4" s="1"/>
  <c r="P330" i="4"/>
  <c r="Q330" i="4"/>
  <c r="R330" i="4"/>
  <c r="S330" i="4"/>
  <c r="T330" i="4"/>
  <c r="U330" i="4"/>
  <c r="O373" i="4"/>
  <c r="W373" i="4" s="1"/>
  <c r="P373" i="4"/>
  <c r="Q373" i="4"/>
  <c r="R373" i="4"/>
  <c r="S373" i="4"/>
  <c r="T373" i="4"/>
  <c r="U373" i="4"/>
  <c r="O443" i="4"/>
  <c r="V443" i="4" s="1"/>
  <c r="P443" i="4"/>
  <c r="Q443" i="4"/>
  <c r="R443" i="4"/>
  <c r="S443" i="4"/>
  <c r="T443" i="4"/>
  <c r="U443" i="4"/>
  <c r="O412" i="4"/>
  <c r="W412" i="4" s="1"/>
  <c r="P412" i="4"/>
  <c r="Q412" i="4"/>
  <c r="R412" i="4"/>
  <c r="S412" i="4"/>
  <c r="T412" i="4"/>
  <c r="U412" i="4"/>
  <c r="O407" i="4"/>
  <c r="V407" i="4" s="1"/>
  <c r="P407" i="4"/>
  <c r="Q407" i="4"/>
  <c r="R407" i="4"/>
  <c r="S407" i="4"/>
  <c r="T407" i="4"/>
  <c r="U407" i="4"/>
  <c r="O402" i="4"/>
  <c r="W402" i="4" s="1"/>
  <c r="P402" i="4"/>
  <c r="Q402" i="4"/>
  <c r="R402" i="4"/>
  <c r="S402" i="4"/>
  <c r="T402" i="4"/>
  <c r="U402" i="4"/>
  <c r="O456" i="4"/>
  <c r="V456" i="4" s="1"/>
  <c r="P456" i="4"/>
  <c r="Q456" i="4"/>
  <c r="R456" i="4"/>
  <c r="S456" i="4"/>
  <c r="T456" i="4"/>
  <c r="U456" i="4"/>
  <c r="O334" i="4"/>
  <c r="V334" i="4" s="1"/>
  <c r="P334" i="4"/>
  <c r="Q334" i="4"/>
  <c r="R334" i="4"/>
  <c r="S334" i="4"/>
  <c r="T334" i="4"/>
  <c r="U334" i="4"/>
  <c r="O44" i="4"/>
  <c r="V44" i="4" s="1"/>
  <c r="P44" i="4"/>
  <c r="Q44" i="4"/>
  <c r="R44" i="4"/>
  <c r="S44" i="4"/>
  <c r="T44" i="4"/>
  <c r="U44" i="4"/>
  <c r="O413" i="4"/>
  <c r="W413" i="4" s="1"/>
  <c r="P413" i="4"/>
  <c r="Q413" i="4"/>
  <c r="R413" i="4"/>
  <c r="S413" i="4"/>
  <c r="T413" i="4"/>
  <c r="U413" i="4"/>
  <c r="O337" i="4"/>
  <c r="V337" i="4" s="1"/>
  <c r="P337" i="4"/>
  <c r="Q337" i="4"/>
  <c r="R337" i="4"/>
  <c r="S337" i="4"/>
  <c r="T337" i="4"/>
  <c r="U337" i="4"/>
  <c r="O457" i="4"/>
  <c r="W457" i="4" s="1"/>
  <c r="P457" i="4"/>
  <c r="Q457" i="4"/>
  <c r="R457" i="4"/>
  <c r="S457" i="4"/>
  <c r="T457" i="4"/>
  <c r="U457" i="4"/>
  <c r="O318" i="4"/>
  <c r="W318" i="4" s="1"/>
  <c r="P318" i="4"/>
  <c r="Q318" i="4"/>
  <c r="R318" i="4"/>
  <c r="S318" i="4"/>
  <c r="T318" i="4"/>
  <c r="U318" i="4"/>
  <c r="O321" i="4"/>
  <c r="V321" i="4" s="1"/>
  <c r="P321" i="4"/>
  <c r="Q321" i="4"/>
  <c r="R321" i="4"/>
  <c r="S321" i="4"/>
  <c r="T321" i="4"/>
  <c r="U321" i="4"/>
  <c r="O403" i="4"/>
  <c r="V403" i="4" s="1"/>
  <c r="P403" i="4"/>
  <c r="Q403" i="4"/>
  <c r="R403" i="4"/>
  <c r="S403" i="4"/>
  <c r="T403" i="4"/>
  <c r="U403" i="4"/>
  <c r="O420" i="4"/>
  <c r="V420" i="4" s="1"/>
  <c r="P420" i="4"/>
  <c r="Q420" i="4"/>
  <c r="R420" i="4"/>
  <c r="S420" i="4"/>
  <c r="T420" i="4"/>
  <c r="U420" i="4"/>
  <c r="O423" i="4"/>
  <c r="W423" i="4" s="1"/>
  <c r="P423" i="4"/>
  <c r="Q423" i="4"/>
  <c r="R423" i="4"/>
  <c r="S423" i="4"/>
  <c r="T423" i="4"/>
  <c r="U423" i="4"/>
  <c r="O325" i="4"/>
  <c r="W325" i="4" s="1"/>
  <c r="P325" i="4"/>
  <c r="Q325" i="4"/>
  <c r="R325" i="4"/>
  <c r="S325" i="4"/>
  <c r="T325" i="4"/>
  <c r="U325" i="4"/>
  <c r="O322" i="4"/>
  <c r="V322" i="4" s="1"/>
  <c r="P322" i="4"/>
  <c r="Q322" i="4"/>
  <c r="R322" i="4"/>
  <c r="S322" i="4"/>
  <c r="T322" i="4"/>
  <c r="U322" i="4"/>
  <c r="O323" i="4"/>
  <c r="W323" i="4" s="1"/>
  <c r="P323" i="4"/>
  <c r="Q323" i="4"/>
  <c r="R323" i="4"/>
  <c r="S323" i="4"/>
  <c r="T323" i="4"/>
  <c r="U323" i="4"/>
  <c r="O329" i="4"/>
  <c r="V329" i="4" s="1"/>
  <c r="P329" i="4"/>
  <c r="Q329" i="4"/>
  <c r="R329" i="4"/>
  <c r="S329" i="4"/>
  <c r="T329" i="4"/>
  <c r="U329" i="4"/>
  <c r="O424" i="4"/>
  <c r="V424" i="4" s="1"/>
  <c r="P424" i="4"/>
  <c r="Q424" i="4"/>
  <c r="R424" i="4"/>
  <c r="S424" i="4"/>
  <c r="T424" i="4"/>
  <c r="U424" i="4"/>
  <c r="O421" i="4"/>
  <c r="V421" i="4" s="1"/>
  <c r="P421" i="4"/>
  <c r="Q421" i="4"/>
  <c r="R421" i="4"/>
  <c r="S421" i="4"/>
  <c r="T421" i="4"/>
  <c r="U421" i="4"/>
  <c r="O422" i="4"/>
  <c r="V422" i="4" s="1"/>
  <c r="P422" i="4"/>
  <c r="Q422" i="4"/>
  <c r="R422" i="4"/>
  <c r="S422" i="4"/>
  <c r="T422" i="4"/>
  <c r="U422" i="4"/>
  <c r="O324" i="4"/>
  <c r="V324" i="4" s="1"/>
  <c r="P324" i="4"/>
  <c r="Q324" i="4"/>
  <c r="R324" i="4"/>
  <c r="S324" i="4"/>
  <c r="T324" i="4"/>
  <c r="U324" i="4"/>
  <c r="O381" i="4"/>
  <c r="W381" i="4" s="1"/>
  <c r="P381" i="4"/>
  <c r="Q381" i="4"/>
  <c r="R381" i="4"/>
  <c r="S381" i="4"/>
  <c r="T381" i="4"/>
  <c r="U381" i="4"/>
  <c r="O77" i="4"/>
  <c r="V77" i="4" s="1"/>
  <c r="P77" i="4"/>
  <c r="Q77" i="4"/>
  <c r="R77" i="4"/>
  <c r="S77" i="4"/>
  <c r="T77" i="4"/>
  <c r="U77" i="4"/>
  <c r="O344" i="4"/>
  <c r="W344" i="4" s="1"/>
  <c r="P344" i="4"/>
  <c r="Q344" i="4"/>
  <c r="R344" i="4"/>
  <c r="S344" i="4"/>
  <c r="T344" i="4"/>
  <c r="U344" i="4"/>
  <c r="O355" i="4"/>
  <c r="V355" i="4" s="1"/>
  <c r="P355" i="4"/>
  <c r="Q355" i="4"/>
  <c r="R355" i="4"/>
  <c r="S355" i="4"/>
  <c r="T355" i="4"/>
  <c r="U355" i="4"/>
  <c r="O375" i="4"/>
  <c r="V375" i="4" s="1"/>
  <c r="P375" i="4"/>
  <c r="Q375" i="4"/>
  <c r="R375" i="4"/>
  <c r="S375" i="4"/>
  <c r="T375" i="4"/>
  <c r="U375" i="4"/>
  <c r="O347" i="4"/>
  <c r="W347" i="4" s="1"/>
  <c r="P347" i="4"/>
  <c r="Q347" i="4"/>
  <c r="R347" i="4"/>
  <c r="S347" i="4"/>
  <c r="T347" i="4"/>
  <c r="U347" i="4"/>
  <c r="O338" i="4"/>
  <c r="W338" i="4" s="1"/>
  <c r="P338" i="4"/>
  <c r="Q338" i="4"/>
  <c r="R338" i="4"/>
  <c r="S338" i="4"/>
  <c r="T338" i="4"/>
  <c r="U338" i="4"/>
  <c r="O401" i="4"/>
  <c r="W401" i="4" s="1"/>
  <c r="P401" i="4"/>
  <c r="Q401" i="4"/>
  <c r="R401" i="4"/>
  <c r="S401" i="4"/>
  <c r="T401" i="4"/>
  <c r="U401" i="4"/>
  <c r="O340" i="4"/>
  <c r="V340" i="4" s="1"/>
  <c r="P340" i="4"/>
  <c r="Q340" i="4"/>
  <c r="R340" i="4"/>
  <c r="S340" i="4"/>
  <c r="T340" i="4"/>
  <c r="U340" i="4"/>
  <c r="O400" i="4"/>
  <c r="V400" i="4" s="1"/>
  <c r="P400" i="4"/>
  <c r="Q400" i="4"/>
  <c r="R400" i="4"/>
  <c r="S400" i="4"/>
  <c r="T400" i="4"/>
  <c r="U400" i="4"/>
  <c r="O440" i="4"/>
  <c r="V440" i="4" s="1"/>
  <c r="P440" i="4"/>
  <c r="Q440" i="4"/>
  <c r="R440" i="4"/>
  <c r="S440" i="4"/>
  <c r="T440" i="4"/>
  <c r="U440" i="4"/>
  <c r="O335" i="4"/>
  <c r="V335" i="4" s="1"/>
  <c r="P335" i="4"/>
  <c r="Q335" i="4"/>
  <c r="R335" i="4"/>
  <c r="S335" i="4"/>
  <c r="T335" i="4"/>
  <c r="U335" i="4"/>
  <c r="O418" i="4"/>
  <c r="W418" i="4" s="1"/>
  <c r="P418" i="4"/>
  <c r="Q418" i="4"/>
  <c r="R418" i="4"/>
  <c r="S418" i="4"/>
  <c r="T418" i="4"/>
  <c r="U418" i="4"/>
  <c r="O352" i="4"/>
  <c r="W352" i="4" s="1"/>
  <c r="P352" i="4"/>
  <c r="Q352" i="4"/>
  <c r="R352" i="4"/>
  <c r="S352" i="4"/>
  <c r="T352" i="4"/>
  <c r="U352" i="4"/>
  <c r="O319" i="4"/>
  <c r="V319" i="4" s="1"/>
  <c r="P319" i="4"/>
  <c r="Q319" i="4"/>
  <c r="R319" i="4"/>
  <c r="S319" i="4"/>
  <c r="T319" i="4"/>
  <c r="U319" i="4"/>
  <c r="O326" i="4"/>
  <c r="V326" i="4" s="1"/>
  <c r="P326" i="4"/>
  <c r="Q326" i="4"/>
  <c r="R326" i="4"/>
  <c r="S326" i="4"/>
  <c r="T326" i="4"/>
  <c r="U326" i="4"/>
  <c r="O342" i="4"/>
  <c r="V342" i="4" s="1"/>
  <c r="P342" i="4"/>
  <c r="Q342" i="4"/>
  <c r="R342" i="4"/>
  <c r="S342" i="4"/>
  <c r="T342" i="4"/>
  <c r="U342" i="4"/>
  <c r="O386" i="4"/>
  <c r="V386" i="4" s="1"/>
  <c r="P386" i="4"/>
  <c r="Q386" i="4"/>
  <c r="R386" i="4"/>
  <c r="S386" i="4"/>
  <c r="T386" i="4"/>
  <c r="U386" i="4"/>
  <c r="O449" i="4"/>
  <c r="W449" i="4" s="1"/>
  <c r="P449" i="4"/>
  <c r="Q449" i="4"/>
  <c r="R449" i="4"/>
  <c r="S449" i="4"/>
  <c r="T449" i="4"/>
  <c r="U449" i="4"/>
  <c r="O374" i="4"/>
  <c r="V374" i="4" s="1"/>
  <c r="P374" i="4"/>
  <c r="Q374" i="4"/>
  <c r="R374" i="4"/>
  <c r="S374" i="4"/>
  <c r="T374" i="4"/>
  <c r="U374" i="4"/>
  <c r="O317" i="4"/>
  <c r="W317" i="4" s="1"/>
  <c r="P317" i="4"/>
  <c r="Q317" i="4"/>
  <c r="R317" i="4"/>
  <c r="S317" i="4"/>
  <c r="T317" i="4"/>
  <c r="U317" i="4"/>
  <c r="O369" i="4"/>
  <c r="V369" i="4" s="1"/>
  <c r="P369" i="4"/>
  <c r="Q369" i="4"/>
  <c r="R369" i="4"/>
  <c r="S369" i="4"/>
  <c r="T369" i="4"/>
  <c r="U369" i="4"/>
  <c r="O414" i="4"/>
  <c r="V414" i="4" s="1"/>
  <c r="P414" i="4"/>
  <c r="Q414" i="4"/>
  <c r="R414" i="4"/>
  <c r="S414" i="4"/>
  <c r="T414" i="4"/>
  <c r="U414" i="4"/>
  <c r="O453" i="4"/>
  <c r="V453" i="4" s="1"/>
  <c r="P453" i="4"/>
  <c r="Q453" i="4"/>
  <c r="R453" i="4"/>
  <c r="S453" i="4"/>
  <c r="T453" i="4"/>
  <c r="U453" i="4"/>
  <c r="O415" i="4"/>
  <c r="V415" i="4" s="1"/>
  <c r="P415" i="4"/>
  <c r="Q415" i="4"/>
  <c r="R415" i="4"/>
  <c r="S415" i="4"/>
  <c r="T415" i="4"/>
  <c r="U415" i="4"/>
  <c r="O370" i="4"/>
  <c r="V370" i="4" s="1"/>
  <c r="P370" i="4"/>
  <c r="Q370" i="4"/>
  <c r="R370" i="4"/>
  <c r="S370" i="4"/>
  <c r="T370" i="4"/>
  <c r="U370" i="4"/>
  <c r="O351" i="4"/>
  <c r="W351" i="4" s="1"/>
  <c r="P351" i="4"/>
  <c r="Q351" i="4"/>
  <c r="R351" i="4"/>
  <c r="S351" i="4"/>
  <c r="T351" i="4"/>
  <c r="U351" i="4"/>
  <c r="O348" i="4"/>
  <c r="W348" i="4" s="1"/>
  <c r="P348" i="4"/>
  <c r="Q348" i="4"/>
  <c r="R348" i="4"/>
  <c r="S348" i="4"/>
  <c r="T348" i="4"/>
  <c r="U348" i="4"/>
  <c r="O378" i="4"/>
  <c r="V378" i="4" s="1"/>
  <c r="P378" i="4"/>
  <c r="Q378" i="4"/>
  <c r="R378" i="4"/>
  <c r="S378" i="4"/>
  <c r="T378" i="4"/>
  <c r="U378" i="4"/>
  <c r="O365" i="4"/>
  <c r="V365" i="4" s="1"/>
  <c r="P365" i="4"/>
  <c r="Q365" i="4"/>
  <c r="R365" i="4"/>
  <c r="S365" i="4"/>
  <c r="T365" i="4"/>
  <c r="U365" i="4"/>
  <c r="O454" i="4"/>
  <c r="V454" i="4" s="1"/>
  <c r="P454" i="4"/>
  <c r="Q454" i="4"/>
  <c r="R454" i="4"/>
  <c r="S454" i="4"/>
  <c r="T454" i="4"/>
  <c r="U454" i="4"/>
  <c r="O366" i="4"/>
  <c r="W366" i="4" s="1"/>
  <c r="P366" i="4"/>
  <c r="Q366" i="4"/>
  <c r="R366" i="4"/>
  <c r="S366" i="4"/>
  <c r="T366" i="4"/>
  <c r="U366" i="4"/>
  <c r="O385" i="4"/>
  <c r="V385" i="4" s="1"/>
  <c r="P385" i="4"/>
  <c r="Q385" i="4"/>
  <c r="R385" i="4"/>
  <c r="S385" i="4"/>
  <c r="T385" i="4"/>
  <c r="U385" i="4"/>
  <c r="O368" i="4"/>
  <c r="W368" i="4" s="1"/>
  <c r="P368" i="4"/>
  <c r="Q368" i="4"/>
  <c r="R368" i="4"/>
  <c r="S368" i="4"/>
  <c r="T368" i="4"/>
  <c r="U368" i="4"/>
  <c r="O436" i="4"/>
  <c r="W436" i="4" s="1"/>
  <c r="P436" i="4"/>
  <c r="Q436" i="4"/>
  <c r="R436" i="4"/>
  <c r="S436" i="4"/>
  <c r="T436" i="4"/>
  <c r="U436" i="4"/>
  <c r="O395" i="4"/>
  <c r="V395" i="4" s="1"/>
  <c r="P395" i="4"/>
  <c r="Q395" i="4"/>
  <c r="R395" i="4"/>
  <c r="S395" i="4"/>
  <c r="T395" i="4"/>
  <c r="U395" i="4"/>
  <c r="O455" i="4"/>
  <c r="W455" i="4" s="1"/>
  <c r="P455" i="4"/>
  <c r="Q455" i="4"/>
  <c r="R455" i="4"/>
  <c r="S455" i="4"/>
  <c r="T455" i="4"/>
  <c r="U455" i="4"/>
  <c r="O458" i="4"/>
  <c r="V458" i="4" s="1"/>
  <c r="P458" i="4"/>
  <c r="Q458" i="4"/>
  <c r="R458" i="4"/>
  <c r="S458" i="4"/>
  <c r="T458" i="4"/>
  <c r="U458" i="4"/>
  <c r="O447" i="4"/>
  <c r="W447" i="4" s="1"/>
  <c r="P447" i="4"/>
  <c r="Q447" i="4"/>
  <c r="R447" i="4"/>
  <c r="S447" i="4"/>
  <c r="T447" i="4"/>
  <c r="U447" i="4"/>
  <c r="O376" i="4"/>
  <c r="V376" i="4" s="1"/>
  <c r="P376" i="4"/>
  <c r="Q376" i="4"/>
  <c r="R376" i="4"/>
  <c r="S376" i="4"/>
  <c r="T376" i="4"/>
  <c r="U376" i="4"/>
  <c r="O388" i="4"/>
  <c r="V388" i="4" s="1"/>
  <c r="P388" i="4"/>
  <c r="Q388" i="4"/>
  <c r="R388" i="4"/>
  <c r="S388" i="4"/>
  <c r="T388" i="4"/>
  <c r="U388" i="4"/>
  <c r="O411" i="4"/>
  <c r="V411" i="4" s="1"/>
  <c r="P411" i="4"/>
  <c r="Q411" i="4"/>
  <c r="R411" i="4"/>
  <c r="S411" i="4"/>
  <c r="T411" i="4"/>
  <c r="U411" i="4"/>
  <c r="O444" i="4"/>
  <c r="W444" i="4" s="1"/>
  <c r="P444" i="4"/>
  <c r="Q444" i="4"/>
  <c r="R444" i="4"/>
  <c r="S444" i="4"/>
  <c r="T444" i="4"/>
  <c r="U444" i="4"/>
  <c r="O390" i="4"/>
  <c r="V390" i="4" s="1"/>
  <c r="P390" i="4"/>
  <c r="Q390" i="4"/>
  <c r="R390" i="4"/>
  <c r="S390" i="4"/>
  <c r="T390" i="4"/>
  <c r="U390" i="4"/>
  <c r="O426" i="4"/>
  <c r="W426" i="4" s="1"/>
  <c r="P426" i="4"/>
  <c r="Q426" i="4"/>
  <c r="R426" i="4"/>
  <c r="S426" i="4"/>
  <c r="T426" i="4"/>
  <c r="U426" i="4"/>
  <c r="O448" i="4"/>
  <c r="V448" i="4" s="1"/>
  <c r="P448" i="4"/>
  <c r="Q448" i="4"/>
  <c r="R448" i="4"/>
  <c r="S448" i="4"/>
  <c r="T448" i="4"/>
  <c r="U448" i="4"/>
  <c r="O336" i="4"/>
  <c r="W336" i="4" s="1"/>
  <c r="P336" i="4"/>
  <c r="Q336" i="4"/>
  <c r="R336" i="4"/>
  <c r="S336" i="4"/>
  <c r="T336" i="4"/>
  <c r="U336" i="4"/>
  <c r="O408" i="4"/>
  <c r="W408" i="4" s="1"/>
  <c r="P408" i="4"/>
  <c r="Q408" i="4"/>
  <c r="R408" i="4"/>
  <c r="S408" i="4"/>
  <c r="T408" i="4"/>
  <c r="U408" i="4"/>
  <c r="O345" i="4"/>
  <c r="V345" i="4" s="1"/>
  <c r="P345" i="4"/>
  <c r="Q345" i="4"/>
  <c r="R345" i="4"/>
  <c r="S345" i="4"/>
  <c r="T345" i="4"/>
  <c r="U345" i="4"/>
  <c r="O346" i="4"/>
  <c r="V346" i="4" s="1"/>
  <c r="P346" i="4"/>
  <c r="Q346" i="4"/>
  <c r="R346" i="4"/>
  <c r="S346" i="4"/>
  <c r="T346" i="4"/>
  <c r="U346" i="4"/>
  <c r="O328" i="4"/>
  <c r="V328" i="4" s="1"/>
  <c r="P328" i="4"/>
  <c r="Q328" i="4"/>
  <c r="R328" i="4"/>
  <c r="S328" i="4"/>
  <c r="T328" i="4"/>
  <c r="U328" i="4"/>
  <c r="O396" i="4"/>
  <c r="W396" i="4" s="1"/>
  <c r="P396" i="4"/>
  <c r="Q396" i="4"/>
  <c r="R396" i="4"/>
  <c r="S396" i="4"/>
  <c r="T396" i="4"/>
  <c r="U396" i="4"/>
  <c r="O397" i="4"/>
  <c r="W397" i="4" s="1"/>
  <c r="P397" i="4"/>
  <c r="Q397" i="4"/>
  <c r="R397" i="4"/>
  <c r="S397" i="4"/>
  <c r="T397" i="4"/>
  <c r="U397" i="4"/>
  <c r="O356" i="4"/>
  <c r="V356" i="4" s="1"/>
  <c r="P356" i="4"/>
  <c r="Q356" i="4"/>
  <c r="R356" i="4"/>
  <c r="S356" i="4"/>
  <c r="T356" i="4"/>
  <c r="U356" i="4"/>
  <c r="O362" i="4"/>
  <c r="W362" i="4" s="1"/>
  <c r="P362" i="4"/>
  <c r="Q362" i="4"/>
  <c r="R362" i="4"/>
  <c r="S362" i="4"/>
  <c r="T362" i="4"/>
  <c r="U362" i="4"/>
  <c r="O364" i="4"/>
  <c r="V364" i="4" s="1"/>
  <c r="P364" i="4"/>
  <c r="Q364" i="4"/>
  <c r="R364" i="4"/>
  <c r="S364" i="4"/>
  <c r="T364" i="4"/>
  <c r="U364" i="4"/>
  <c r="O349" i="4"/>
  <c r="V349" i="4" s="1"/>
  <c r="P349" i="4"/>
  <c r="Q349" i="4"/>
  <c r="R349" i="4"/>
  <c r="S349" i="4"/>
  <c r="T349" i="4"/>
  <c r="U349" i="4"/>
  <c r="O425" i="4"/>
  <c r="V425" i="4" s="1"/>
  <c r="P425" i="4"/>
  <c r="Q425" i="4"/>
  <c r="R425" i="4"/>
  <c r="S425" i="4"/>
  <c r="T425" i="4"/>
  <c r="U425" i="4"/>
  <c r="O134" i="4"/>
  <c r="V134" i="4" s="1"/>
  <c r="P134" i="4"/>
  <c r="Q134" i="4"/>
  <c r="R134" i="4"/>
  <c r="S134" i="4"/>
  <c r="T134" i="4"/>
  <c r="U134" i="4"/>
  <c r="O339" i="4"/>
  <c r="V339" i="4" s="1"/>
  <c r="P339" i="4"/>
  <c r="Q339" i="4"/>
  <c r="R339" i="4"/>
  <c r="S339" i="4"/>
  <c r="T339" i="4"/>
  <c r="U339" i="4"/>
  <c r="O399" i="4"/>
  <c r="W399" i="4" s="1"/>
  <c r="P399" i="4"/>
  <c r="Q399" i="4"/>
  <c r="R399" i="4"/>
  <c r="S399" i="4"/>
  <c r="T399" i="4"/>
  <c r="U399" i="4"/>
  <c r="O404" i="4"/>
  <c r="V404" i="4" s="1"/>
  <c r="P404" i="4"/>
  <c r="Q404" i="4"/>
  <c r="R404" i="4"/>
  <c r="S404" i="4"/>
  <c r="T404" i="4"/>
  <c r="U404" i="4"/>
  <c r="O428" i="4"/>
  <c r="V428" i="4" s="1"/>
  <c r="P428" i="4"/>
  <c r="Q428" i="4"/>
  <c r="R428" i="4"/>
  <c r="S428" i="4"/>
  <c r="T428" i="4"/>
  <c r="U428" i="4"/>
  <c r="O429" i="4"/>
  <c r="V429" i="4" s="1"/>
  <c r="P429" i="4"/>
  <c r="Q429" i="4"/>
  <c r="R429" i="4"/>
  <c r="S429" i="4"/>
  <c r="T429" i="4"/>
  <c r="U429" i="4"/>
  <c r="O430" i="4"/>
  <c r="W430" i="4" s="1"/>
  <c r="P430" i="4"/>
  <c r="Q430" i="4"/>
  <c r="R430" i="4"/>
  <c r="S430" i="4"/>
  <c r="T430" i="4"/>
  <c r="U430" i="4"/>
  <c r="O431" i="4"/>
  <c r="V431" i="4" s="1"/>
  <c r="P431" i="4"/>
  <c r="Q431" i="4"/>
  <c r="R431" i="4"/>
  <c r="S431" i="4"/>
  <c r="T431" i="4"/>
  <c r="U431" i="4"/>
  <c r="O432" i="4"/>
  <c r="W432" i="4" s="1"/>
  <c r="P432" i="4"/>
  <c r="Q432" i="4"/>
  <c r="R432" i="4"/>
  <c r="S432" i="4"/>
  <c r="T432" i="4"/>
  <c r="U432" i="4"/>
  <c r="O433" i="4"/>
  <c r="V433" i="4" s="1"/>
  <c r="P433" i="4"/>
  <c r="Q433" i="4"/>
  <c r="R433" i="4"/>
  <c r="S433" i="4"/>
  <c r="T433" i="4"/>
  <c r="U433" i="4"/>
  <c r="O434" i="4"/>
  <c r="V434" i="4" s="1"/>
  <c r="P434" i="4"/>
  <c r="Q434" i="4"/>
  <c r="R434" i="4"/>
  <c r="S434" i="4"/>
  <c r="T434" i="4"/>
  <c r="U434" i="4"/>
  <c r="O392" i="4"/>
  <c r="V392" i="4" s="1"/>
  <c r="P392" i="4"/>
  <c r="Q392" i="4"/>
  <c r="R392" i="4"/>
  <c r="S392" i="4"/>
  <c r="T392" i="4"/>
  <c r="U392" i="4"/>
  <c r="O437" i="4"/>
  <c r="V437" i="4" s="1"/>
  <c r="P437" i="4"/>
  <c r="Q437" i="4"/>
  <c r="R437" i="4"/>
  <c r="S437" i="4"/>
  <c r="T437" i="4"/>
  <c r="U437" i="4"/>
  <c r="O416" i="4"/>
  <c r="W416" i="4" s="1"/>
  <c r="P416" i="4"/>
  <c r="Q416" i="4"/>
  <c r="R416" i="4"/>
  <c r="S416" i="4"/>
  <c r="T416" i="4"/>
  <c r="U416" i="4"/>
  <c r="O409" i="4"/>
  <c r="V409" i="4" s="1"/>
  <c r="P409" i="4"/>
  <c r="Q409" i="4"/>
  <c r="R409" i="4"/>
  <c r="S409" i="4"/>
  <c r="T409" i="4"/>
  <c r="U409" i="4"/>
  <c r="O353" i="4"/>
  <c r="W353" i="4" s="1"/>
  <c r="P353" i="4"/>
  <c r="Q353" i="4"/>
  <c r="R353" i="4"/>
  <c r="S353" i="4"/>
  <c r="T353" i="4"/>
  <c r="U353" i="4"/>
  <c r="O451" i="4"/>
  <c r="W451" i="4" s="1"/>
  <c r="P451" i="4"/>
  <c r="Q451" i="4"/>
  <c r="R451" i="4"/>
  <c r="S451" i="4"/>
  <c r="T451" i="4"/>
  <c r="U451" i="4"/>
  <c r="O379" i="4"/>
  <c r="V379" i="4" s="1"/>
  <c r="P379" i="4"/>
  <c r="Q379" i="4"/>
  <c r="R379" i="4"/>
  <c r="S379" i="4"/>
  <c r="T379" i="4"/>
  <c r="U379" i="4"/>
  <c r="O410" i="4"/>
  <c r="W410" i="4" s="1"/>
  <c r="P410" i="4"/>
  <c r="Q410" i="4"/>
  <c r="R410" i="4"/>
  <c r="S410" i="4"/>
  <c r="T410" i="4"/>
  <c r="U410" i="4"/>
  <c r="O380" i="4"/>
  <c r="V380" i="4" s="1"/>
  <c r="P380" i="4"/>
  <c r="Q380" i="4"/>
  <c r="R380" i="4"/>
  <c r="S380" i="4"/>
  <c r="T380" i="4"/>
  <c r="U380" i="4"/>
  <c r="O438" i="4"/>
  <c r="W438" i="4" s="1"/>
  <c r="P438" i="4"/>
  <c r="Q438" i="4"/>
  <c r="R438" i="4"/>
  <c r="S438" i="4"/>
  <c r="T438" i="4"/>
  <c r="U438" i="4"/>
  <c r="O417" i="4"/>
  <c r="V417" i="4" s="1"/>
  <c r="P417" i="4"/>
  <c r="Q417" i="4"/>
  <c r="R417" i="4"/>
  <c r="S417" i="4"/>
  <c r="T417" i="4"/>
  <c r="U417" i="4"/>
  <c r="O354" i="4"/>
  <c r="V354" i="4" s="1"/>
  <c r="P354" i="4"/>
  <c r="Q354" i="4"/>
  <c r="R354" i="4"/>
  <c r="S354" i="4"/>
  <c r="T354" i="4"/>
  <c r="U354" i="4"/>
  <c r="O452" i="4"/>
  <c r="V452" i="4" s="1"/>
  <c r="P452" i="4"/>
  <c r="Q452" i="4"/>
  <c r="R452" i="4"/>
  <c r="S452" i="4"/>
  <c r="T452" i="4"/>
  <c r="U452" i="4"/>
  <c r="O331" i="4"/>
  <c r="W331" i="4" s="1"/>
  <c r="P331" i="4"/>
  <c r="Q331" i="4"/>
  <c r="R331" i="4"/>
  <c r="S331" i="4"/>
  <c r="T331" i="4"/>
  <c r="U331" i="4"/>
  <c r="O387" i="4"/>
  <c r="V387" i="4" s="1"/>
  <c r="P387" i="4"/>
  <c r="Q387" i="4"/>
  <c r="R387" i="4"/>
  <c r="S387" i="4"/>
  <c r="T387" i="4"/>
  <c r="U387" i="4"/>
  <c r="O382" i="4"/>
  <c r="W382" i="4" s="1"/>
  <c r="P382" i="4"/>
  <c r="Q382" i="4"/>
  <c r="R382" i="4"/>
  <c r="S382" i="4"/>
  <c r="T382" i="4"/>
  <c r="U382" i="4"/>
  <c r="O389" i="4"/>
  <c r="V389" i="4" s="1"/>
  <c r="P389" i="4"/>
  <c r="Q389" i="4"/>
  <c r="R389" i="4"/>
  <c r="S389" i="4"/>
  <c r="T389" i="4"/>
  <c r="U389" i="4"/>
  <c r="O427" i="4"/>
  <c r="V427" i="4" s="1"/>
  <c r="P427" i="4"/>
  <c r="Q427" i="4"/>
  <c r="R427" i="4"/>
  <c r="S427" i="4"/>
  <c r="T427" i="4"/>
  <c r="U427" i="4"/>
  <c r="O332" i="4"/>
  <c r="W332" i="4" s="1"/>
  <c r="P332" i="4"/>
  <c r="Q332" i="4"/>
  <c r="R332" i="4"/>
  <c r="S332" i="4"/>
  <c r="T332" i="4"/>
  <c r="U332" i="4"/>
  <c r="O398" i="4"/>
  <c r="V398" i="4" s="1"/>
  <c r="P398" i="4"/>
  <c r="Q398" i="4"/>
  <c r="R398" i="4"/>
  <c r="S398" i="4"/>
  <c r="T398" i="4"/>
  <c r="U398" i="4"/>
  <c r="O435" i="4"/>
  <c r="V435" i="4" s="1"/>
  <c r="P435" i="4"/>
  <c r="Q435" i="4"/>
  <c r="R435" i="4"/>
  <c r="S435" i="4"/>
  <c r="T435" i="4"/>
  <c r="U435" i="4"/>
  <c r="O405" i="4"/>
  <c r="V405" i="4" s="1"/>
  <c r="P405" i="4"/>
  <c r="Q405" i="4"/>
  <c r="R405" i="4"/>
  <c r="S405" i="4"/>
  <c r="T405" i="4"/>
  <c r="U405" i="4"/>
  <c r="O406" i="4"/>
  <c r="W406" i="4" s="1"/>
  <c r="P406" i="4"/>
  <c r="Q406" i="4"/>
  <c r="R406" i="4"/>
  <c r="S406" i="4"/>
  <c r="T406" i="4"/>
  <c r="U406" i="4"/>
  <c r="O419" i="4"/>
  <c r="W419" i="4" s="1"/>
  <c r="P419" i="4"/>
  <c r="Q419" i="4"/>
  <c r="R419" i="4"/>
  <c r="S419" i="4"/>
  <c r="T419" i="4"/>
  <c r="U419" i="4"/>
  <c r="O393" i="4"/>
  <c r="V393" i="4" s="1"/>
  <c r="P393" i="4"/>
  <c r="Q393" i="4"/>
  <c r="R393" i="4"/>
  <c r="S393" i="4"/>
  <c r="T393" i="4"/>
  <c r="U393" i="4"/>
  <c r="O460" i="4"/>
  <c r="W460" i="4" s="1"/>
  <c r="P460" i="4"/>
  <c r="Q460" i="4"/>
  <c r="R460" i="4"/>
  <c r="S460" i="4"/>
  <c r="T460" i="4"/>
  <c r="U460" i="4"/>
  <c r="O461" i="4"/>
  <c r="V461" i="4" s="1"/>
  <c r="P461" i="4"/>
  <c r="Q461" i="4"/>
  <c r="R461" i="4"/>
  <c r="S461" i="4"/>
  <c r="T461" i="4"/>
  <c r="U461" i="4"/>
  <c r="O462" i="4"/>
  <c r="W462" i="4" s="1"/>
  <c r="P462" i="4"/>
  <c r="Q462" i="4"/>
  <c r="R462" i="4"/>
  <c r="S462" i="4"/>
  <c r="T462" i="4"/>
  <c r="U462" i="4"/>
  <c r="O463" i="4"/>
  <c r="V463" i="4" s="1"/>
  <c r="P463" i="4"/>
  <c r="Q463" i="4"/>
  <c r="R463" i="4"/>
  <c r="S463" i="4"/>
  <c r="T463" i="4"/>
  <c r="U463" i="4"/>
  <c r="O464" i="4"/>
  <c r="V464" i="4" s="1"/>
  <c r="P464" i="4"/>
  <c r="Q464" i="4"/>
  <c r="R464" i="4"/>
  <c r="S464" i="4"/>
  <c r="T464" i="4"/>
  <c r="U464" i="4"/>
  <c r="O465" i="4"/>
  <c r="V465" i="4" s="1"/>
  <c r="P465" i="4"/>
  <c r="Q465" i="4"/>
  <c r="R465" i="4"/>
  <c r="S465" i="4"/>
  <c r="T465" i="4"/>
  <c r="U465" i="4"/>
  <c r="O466" i="4"/>
  <c r="V466" i="4" s="1"/>
  <c r="P466" i="4"/>
  <c r="Q466" i="4"/>
  <c r="R466" i="4"/>
  <c r="S466" i="4"/>
  <c r="T466" i="4"/>
  <c r="U466" i="4"/>
  <c r="O467" i="4"/>
  <c r="V467" i="4" s="1"/>
  <c r="P467" i="4"/>
  <c r="Q467" i="4"/>
  <c r="R467" i="4"/>
  <c r="S467" i="4"/>
  <c r="T467" i="4"/>
  <c r="U467" i="4"/>
  <c r="O468" i="4"/>
  <c r="W468" i="4" s="1"/>
  <c r="P468" i="4"/>
  <c r="Q468" i="4"/>
  <c r="R468" i="4"/>
  <c r="S468" i="4"/>
  <c r="T468" i="4"/>
  <c r="U468" i="4"/>
  <c r="U2" i="4"/>
  <c r="T2" i="4"/>
  <c r="S2" i="4"/>
  <c r="R2" i="4"/>
  <c r="Q2" i="4"/>
  <c r="P2" i="4"/>
  <c r="O2" i="4"/>
  <c r="V2" i="4" s="1"/>
  <c r="I4" i="3"/>
  <c r="I5" i="3"/>
  <c r="I6" i="3"/>
  <c r="I8" i="3"/>
  <c r="I18" i="3"/>
  <c r="I21" i="3"/>
  <c r="I23" i="3"/>
  <c r="I24" i="3"/>
  <c r="I25" i="3"/>
  <c r="I26" i="3"/>
  <c r="I28" i="3"/>
  <c r="I38" i="3"/>
  <c r="I41" i="3"/>
  <c r="I43" i="3"/>
  <c r="I44" i="3"/>
  <c r="I45" i="3"/>
  <c r="I46" i="3"/>
  <c r="I48" i="3"/>
  <c r="I58" i="3"/>
  <c r="I61" i="3"/>
  <c r="I63" i="3"/>
  <c r="I64" i="3"/>
  <c r="I65" i="3"/>
  <c r="I66" i="3"/>
  <c r="I68" i="3"/>
  <c r="I78" i="3"/>
  <c r="I81" i="3"/>
  <c r="I83" i="3"/>
  <c r="I84" i="3"/>
  <c r="I85" i="3"/>
  <c r="I86" i="3"/>
  <c r="I88" i="3"/>
  <c r="I98" i="3"/>
  <c r="I101" i="3"/>
  <c r="I103" i="3"/>
  <c r="I104" i="3"/>
  <c r="I105" i="3"/>
  <c r="I106" i="3"/>
  <c r="I108" i="3"/>
  <c r="I118" i="3"/>
  <c r="I121" i="3"/>
  <c r="I123" i="3"/>
  <c r="I124" i="3"/>
  <c r="I125" i="3"/>
  <c r="I126" i="3"/>
  <c r="I128" i="3"/>
  <c r="I138" i="3"/>
  <c r="I141" i="3"/>
  <c r="I143" i="3"/>
  <c r="I144" i="3"/>
  <c r="I145" i="3"/>
  <c r="I146" i="3"/>
  <c r="I148" i="3"/>
  <c r="I158" i="3"/>
  <c r="I161" i="3"/>
  <c r="I163" i="3"/>
  <c r="I164" i="3"/>
  <c r="I165" i="3"/>
  <c r="I166" i="3"/>
  <c r="I168" i="3"/>
  <c r="I178" i="3"/>
  <c r="I181" i="3"/>
  <c r="I183" i="3"/>
  <c r="I184" i="3"/>
  <c r="I185" i="3"/>
  <c r="I186" i="3"/>
  <c r="I188" i="3"/>
  <c r="I198" i="3"/>
  <c r="I201" i="3"/>
  <c r="I203" i="3"/>
  <c r="I204" i="3"/>
  <c r="I205" i="3"/>
  <c r="I206" i="3"/>
  <c r="I208" i="3"/>
  <c r="I218" i="3"/>
  <c r="I221" i="3"/>
  <c r="I223" i="3"/>
  <c r="I224" i="3"/>
  <c r="I225" i="3"/>
  <c r="I226" i="3"/>
  <c r="I228" i="3"/>
  <c r="I238" i="3"/>
  <c r="I241" i="3"/>
  <c r="I243" i="3"/>
  <c r="I244" i="3"/>
  <c r="I245" i="3"/>
  <c r="I246" i="3"/>
  <c r="I248" i="3"/>
  <c r="I258" i="3"/>
  <c r="I261" i="3"/>
  <c r="I263" i="3"/>
  <c r="I264" i="3"/>
  <c r="I265" i="3"/>
  <c r="I266" i="3"/>
  <c r="I268" i="3"/>
  <c r="I278" i="3"/>
  <c r="I281" i="3"/>
  <c r="I283" i="3"/>
  <c r="I284" i="3"/>
  <c r="I285" i="3"/>
  <c r="I286" i="3"/>
  <c r="I288" i="3"/>
  <c r="I298" i="3"/>
  <c r="I301" i="3"/>
  <c r="I303" i="3"/>
  <c r="I304" i="3"/>
  <c r="I305" i="3"/>
  <c r="I306" i="3"/>
  <c r="I308" i="3"/>
  <c r="I318" i="3"/>
  <c r="I321" i="3"/>
  <c r="I323" i="3"/>
  <c r="I324" i="3"/>
  <c r="I325" i="3"/>
  <c r="I326" i="3"/>
  <c r="I328" i="3"/>
  <c r="I338" i="3"/>
  <c r="I341" i="3"/>
  <c r="I343" i="3"/>
  <c r="I344" i="3"/>
  <c r="I345" i="3"/>
  <c r="I346" i="3"/>
  <c r="I348" i="3"/>
  <c r="I358" i="3"/>
  <c r="I361" i="3"/>
  <c r="I363" i="3"/>
  <c r="I364" i="3"/>
  <c r="I365" i="3"/>
  <c r="I366" i="3"/>
  <c r="I368" i="3"/>
  <c r="I378" i="3"/>
  <c r="I381" i="3"/>
  <c r="I383" i="3"/>
  <c r="I384" i="3"/>
  <c r="I385" i="3"/>
  <c r="I386" i="3"/>
  <c r="I388" i="3"/>
  <c r="I398" i="3"/>
  <c r="I401" i="3"/>
  <c r="I403" i="3"/>
  <c r="I404" i="3"/>
  <c r="I405" i="3"/>
  <c r="I406" i="3"/>
  <c r="I408" i="3"/>
  <c r="I418" i="3"/>
  <c r="I421" i="3"/>
  <c r="I423" i="3"/>
  <c r="I424" i="3"/>
  <c r="I425" i="3"/>
  <c r="I426" i="3"/>
  <c r="I428" i="3"/>
  <c r="I438" i="3"/>
  <c r="I441" i="3"/>
  <c r="I443" i="3"/>
  <c r="I444" i="3"/>
  <c r="I445" i="3"/>
  <c r="I446" i="3"/>
  <c r="I448" i="3"/>
  <c r="I455" i="3"/>
  <c r="I457" i="3"/>
  <c r="I458" i="3"/>
  <c r="I461" i="3"/>
  <c r="I464" i="3"/>
  <c r="I465" i="3"/>
  <c r="I466" i="3"/>
  <c r="I468" i="3"/>
  <c r="B449" i="3"/>
  <c r="I449" i="3" s="1"/>
  <c r="C449" i="3"/>
  <c r="D449" i="3"/>
  <c r="E449" i="3"/>
  <c r="F449" i="3"/>
  <c r="G449" i="3"/>
  <c r="H449" i="3"/>
  <c r="J449" i="3"/>
  <c r="B450" i="3"/>
  <c r="I450" i="3" s="1"/>
  <c r="C450" i="3"/>
  <c r="D450" i="3"/>
  <c r="E450" i="3"/>
  <c r="F450" i="3"/>
  <c r="G450" i="3"/>
  <c r="H450" i="3"/>
  <c r="J450" i="3"/>
  <c r="B451" i="3"/>
  <c r="I451" i="3" s="1"/>
  <c r="C451" i="3"/>
  <c r="D451" i="3"/>
  <c r="E451" i="3"/>
  <c r="F451" i="3"/>
  <c r="G451" i="3"/>
  <c r="H451" i="3"/>
  <c r="J451" i="3"/>
  <c r="B452" i="3"/>
  <c r="I452" i="3" s="1"/>
  <c r="C452" i="3"/>
  <c r="D452" i="3"/>
  <c r="E452" i="3"/>
  <c r="F452" i="3"/>
  <c r="G452" i="3"/>
  <c r="H452" i="3"/>
  <c r="J452" i="3"/>
  <c r="B453" i="3"/>
  <c r="I453" i="3" s="1"/>
  <c r="C453" i="3"/>
  <c r="D453" i="3"/>
  <c r="E453" i="3"/>
  <c r="F453" i="3"/>
  <c r="G453" i="3"/>
  <c r="H453" i="3"/>
  <c r="J453" i="3"/>
  <c r="B454" i="3"/>
  <c r="I454" i="3" s="1"/>
  <c r="C454" i="3"/>
  <c r="D454" i="3"/>
  <c r="E454" i="3"/>
  <c r="F454" i="3"/>
  <c r="G454" i="3"/>
  <c r="H454" i="3"/>
  <c r="J454" i="3"/>
  <c r="B455" i="3"/>
  <c r="C455" i="3"/>
  <c r="D455" i="3"/>
  <c r="E455" i="3"/>
  <c r="F455" i="3"/>
  <c r="G455" i="3"/>
  <c r="H455" i="3"/>
  <c r="J455" i="3"/>
  <c r="B456" i="3"/>
  <c r="I456" i="3" s="1"/>
  <c r="C456" i="3"/>
  <c r="D456" i="3"/>
  <c r="E456" i="3"/>
  <c r="F456" i="3"/>
  <c r="G456" i="3"/>
  <c r="H456" i="3"/>
  <c r="J456" i="3"/>
  <c r="B457" i="3"/>
  <c r="C457" i="3"/>
  <c r="D457" i="3"/>
  <c r="E457" i="3"/>
  <c r="F457" i="3"/>
  <c r="G457" i="3"/>
  <c r="H457" i="3"/>
  <c r="J457" i="3"/>
  <c r="B458" i="3"/>
  <c r="C458" i="3"/>
  <c r="D458" i="3"/>
  <c r="E458" i="3"/>
  <c r="F458" i="3"/>
  <c r="G458" i="3"/>
  <c r="H458" i="3"/>
  <c r="J458" i="3"/>
  <c r="B459" i="3"/>
  <c r="I459" i="3" s="1"/>
  <c r="C459" i="3"/>
  <c r="D459" i="3"/>
  <c r="E459" i="3"/>
  <c r="F459" i="3"/>
  <c r="G459" i="3"/>
  <c r="H459" i="3"/>
  <c r="J459" i="3"/>
  <c r="B460" i="3"/>
  <c r="I460" i="3" s="1"/>
  <c r="C460" i="3"/>
  <c r="D460" i="3"/>
  <c r="E460" i="3"/>
  <c r="F460" i="3"/>
  <c r="G460" i="3"/>
  <c r="H460" i="3"/>
  <c r="J460" i="3"/>
  <c r="B461" i="3"/>
  <c r="C461" i="3"/>
  <c r="D461" i="3"/>
  <c r="E461" i="3"/>
  <c r="F461" i="3"/>
  <c r="G461" i="3"/>
  <c r="H461" i="3"/>
  <c r="J461" i="3"/>
  <c r="B462" i="3"/>
  <c r="I462" i="3" s="1"/>
  <c r="C462" i="3"/>
  <c r="D462" i="3"/>
  <c r="E462" i="3"/>
  <c r="F462" i="3"/>
  <c r="G462" i="3"/>
  <c r="H462" i="3"/>
  <c r="J462" i="3"/>
  <c r="B463" i="3"/>
  <c r="I463" i="3" s="1"/>
  <c r="C463" i="3"/>
  <c r="D463" i="3"/>
  <c r="E463" i="3"/>
  <c r="F463" i="3"/>
  <c r="G463" i="3"/>
  <c r="H463" i="3"/>
  <c r="J463" i="3"/>
  <c r="B464" i="3"/>
  <c r="C464" i="3"/>
  <c r="D464" i="3"/>
  <c r="E464" i="3"/>
  <c r="F464" i="3"/>
  <c r="G464" i="3"/>
  <c r="H464" i="3"/>
  <c r="J464" i="3"/>
  <c r="B465" i="3"/>
  <c r="C465" i="3"/>
  <c r="D465" i="3"/>
  <c r="E465" i="3"/>
  <c r="F465" i="3"/>
  <c r="G465" i="3"/>
  <c r="H465" i="3"/>
  <c r="J465" i="3"/>
  <c r="B466" i="3"/>
  <c r="C466" i="3"/>
  <c r="D466" i="3"/>
  <c r="E466" i="3"/>
  <c r="F466" i="3"/>
  <c r="G466" i="3"/>
  <c r="H466" i="3"/>
  <c r="J466" i="3"/>
  <c r="B467" i="3"/>
  <c r="I467" i="3" s="1"/>
  <c r="C467" i="3"/>
  <c r="D467" i="3"/>
  <c r="E467" i="3"/>
  <c r="F467" i="3"/>
  <c r="G467" i="3"/>
  <c r="H467" i="3"/>
  <c r="J467" i="3"/>
  <c r="B468" i="3"/>
  <c r="C468" i="3"/>
  <c r="D468" i="3"/>
  <c r="E468" i="3"/>
  <c r="F468" i="3"/>
  <c r="G468" i="3"/>
  <c r="H468" i="3"/>
  <c r="J468" i="3"/>
  <c r="B469" i="3"/>
  <c r="I469" i="3" s="1"/>
  <c r="C469" i="3"/>
  <c r="D469" i="3"/>
  <c r="E469" i="3"/>
  <c r="F469" i="3"/>
  <c r="G469" i="3"/>
  <c r="H469" i="3"/>
  <c r="J469" i="3"/>
  <c r="B4" i="3"/>
  <c r="C4" i="3"/>
  <c r="D4" i="3"/>
  <c r="E4" i="3"/>
  <c r="F4" i="3"/>
  <c r="G4" i="3"/>
  <c r="H4" i="3"/>
  <c r="J4" i="3"/>
  <c r="B5" i="3"/>
  <c r="C5" i="3"/>
  <c r="D5" i="3"/>
  <c r="E5" i="3"/>
  <c r="F5" i="3"/>
  <c r="G5" i="3"/>
  <c r="H5" i="3"/>
  <c r="J5" i="3"/>
  <c r="B6" i="3"/>
  <c r="C6" i="3"/>
  <c r="D6" i="3"/>
  <c r="E6" i="3"/>
  <c r="F6" i="3"/>
  <c r="G6" i="3"/>
  <c r="H6" i="3"/>
  <c r="J6" i="3"/>
  <c r="B7" i="3"/>
  <c r="I7" i="3" s="1"/>
  <c r="C7" i="3"/>
  <c r="D7" i="3"/>
  <c r="E7" i="3"/>
  <c r="F7" i="3"/>
  <c r="G7" i="3"/>
  <c r="H7" i="3"/>
  <c r="J7" i="3"/>
  <c r="B8" i="3"/>
  <c r="C8" i="3"/>
  <c r="D8" i="3"/>
  <c r="E8" i="3"/>
  <c r="F8" i="3"/>
  <c r="G8" i="3"/>
  <c r="H8" i="3"/>
  <c r="J8" i="3"/>
  <c r="B9" i="3"/>
  <c r="I9" i="3" s="1"/>
  <c r="C9" i="3"/>
  <c r="D9" i="3"/>
  <c r="E9" i="3"/>
  <c r="F9" i="3"/>
  <c r="G9" i="3"/>
  <c r="H9" i="3"/>
  <c r="J9" i="3"/>
  <c r="B10" i="3"/>
  <c r="I10" i="3" s="1"/>
  <c r="C10" i="3"/>
  <c r="D10" i="3"/>
  <c r="E10" i="3"/>
  <c r="F10" i="3"/>
  <c r="G10" i="3"/>
  <c r="H10" i="3"/>
  <c r="J10" i="3"/>
  <c r="B11" i="3"/>
  <c r="I11" i="3" s="1"/>
  <c r="C11" i="3"/>
  <c r="D11" i="3"/>
  <c r="E11" i="3"/>
  <c r="F11" i="3"/>
  <c r="G11" i="3"/>
  <c r="H11" i="3"/>
  <c r="J11" i="3"/>
  <c r="B12" i="3"/>
  <c r="I12" i="3" s="1"/>
  <c r="C12" i="3"/>
  <c r="D12" i="3"/>
  <c r="E12" i="3"/>
  <c r="F12" i="3"/>
  <c r="G12" i="3"/>
  <c r="H12" i="3"/>
  <c r="J12" i="3"/>
  <c r="B13" i="3"/>
  <c r="I13" i="3" s="1"/>
  <c r="C13" i="3"/>
  <c r="D13" i="3"/>
  <c r="E13" i="3"/>
  <c r="F13" i="3"/>
  <c r="G13" i="3"/>
  <c r="H13" i="3"/>
  <c r="J13" i="3"/>
  <c r="B14" i="3"/>
  <c r="I14" i="3" s="1"/>
  <c r="C14" i="3"/>
  <c r="D14" i="3"/>
  <c r="E14" i="3"/>
  <c r="F14" i="3"/>
  <c r="G14" i="3"/>
  <c r="H14" i="3"/>
  <c r="J14" i="3"/>
  <c r="B15" i="3"/>
  <c r="I15" i="3" s="1"/>
  <c r="C15" i="3"/>
  <c r="D15" i="3"/>
  <c r="E15" i="3"/>
  <c r="F15" i="3"/>
  <c r="G15" i="3"/>
  <c r="H15" i="3"/>
  <c r="J15" i="3"/>
  <c r="B16" i="3"/>
  <c r="I16" i="3" s="1"/>
  <c r="C16" i="3"/>
  <c r="D16" i="3"/>
  <c r="E16" i="3"/>
  <c r="F16" i="3"/>
  <c r="G16" i="3"/>
  <c r="H16" i="3"/>
  <c r="J16" i="3"/>
  <c r="B17" i="3"/>
  <c r="I17" i="3" s="1"/>
  <c r="C17" i="3"/>
  <c r="D17" i="3"/>
  <c r="E17" i="3"/>
  <c r="F17" i="3"/>
  <c r="G17" i="3"/>
  <c r="H17" i="3"/>
  <c r="J17" i="3"/>
  <c r="B18" i="3"/>
  <c r="C18" i="3"/>
  <c r="D18" i="3"/>
  <c r="E18" i="3"/>
  <c r="F18" i="3"/>
  <c r="G18" i="3"/>
  <c r="H18" i="3"/>
  <c r="J18" i="3"/>
  <c r="B19" i="3"/>
  <c r="I19" i="3" s="1"/>
  <c r="C19" i="3"/>
  <c r="D19" i="3"/>
  <c r="E19" i="3"/>
  <c r="F19" i="3"/>
  <c r="G19" i="3"/>
  <c r="H19" i="3"/>
  <c r="J19" i="3"/>
  <c r="B20" i="3"/>
  <c r="I20" i="3" s="1"/>
  <c r="C20" i="3"/>
  <c r="D20" i="3"/>
  <c r="E20" i="3"/>
  <c r="F20" i="3"/>
  <c r="G20" i="3"/>
  <c r="H20" i="3"/>
  <c r="J20" i="3"/>
  <c r="B21" i="3"/>
  <c r="C21" i="3"/>
  <c r="D21" i="3"/>
  <c r="E21" i="3"/>
  <c r="F21" i="3"/>
  <c r="G21" i="3"/>
  <c r="H21" i="3"/>
  <c r="J21" i="3"/>
  <c r="B22" i="3"/>
  <c r="I22" i="3" s="1"/>
  <c r="C22" i="3"/>
  <c r="D22" i="3"/>
  <c r="E22" i="3"/>
  <c r="F22" i="3"/>
  <c r="G22" i="3"/>
  <c r="H22" i="3"/>
  <c r="J22" i="3"/>
  <c r="B23" i="3"/>
  <c r="C23" i="3"/>
  <c r="D23" i="3"/>
  <c r="E23" i="3"/>
  <c r="F23" i="3"/>
  <c r="G23" i="3"/>
  <c r="H23" i="3"/>
  <c r="J23" i="3"/>
  <c r="B24" i="3"/>
  <c r="C24" i="3"/>
  <c r="D24" i="3"/>
  <c r="E24" i="3"/>
  <c r="F24" i="3"/>
  <c r="G24" i="3"/>
  <c r="H24" i="3"/>
  <c r="J24" i="3"/>
  <c r="B25" i="3"/>
  <c r="C25" i="3"/>
  <c r="D25" i="3"/>
  <c r="E25" i="3"/>
  <c r="F25" i="3"/>
  <c r="G25" i="3"/>
  <c r="H25" i="3"/>
  <c r="J25" i="3"/>
  <c r="B26" i="3"/>
  <c r="C26" i="3"/>
  <c r="D26" i="3"/>
  <c r="E26" i="3"/>
  <c r="F26" i="3"/>
  <c r="G26" i="3"/>
  <c r="H26" i="3"/>
  <c r="J26" i="3"/>
  <c r="B27" i="3"/>
  <c r="I27" i="3" s="1"/>
  <c r="C27" i="3"/>
  <c r="D27" i="3"/>
  <c r="E27" i="3"/>
  <c r="F27" i="3"/>
  <c r="G27" i="3"/>
  <c r="H27" i="3"/>
  <c r="J27" i="3"/>
  <c r="B28" i="3"/>
  <c r="C28" i="3"/>
  <c r="D28" i="3"/>
  <c r="E28" i="3"/>
  <c r="F28" i="3"/>
  <c r="G28" i="3"/>
  <c r="H28" i="3"/>
  <c r="J28" i="3"/>
  <c r="B29" i="3"/>
  <c r="I29" i="3" s="1"/>
  <c r="C29" i="3"/>
  <c r="D29" i="3"/>
  <c r="E29" i="3"/>
  <c r="F29" i="3"/>
  <c r="G29" i="3"/>
  <c r="H29" i="3"/>
  <c r="J29" i="3"/>
  <c r="B30" i="3"/>
  <c r="I30" i="3" s="1"/>
  <c r="C30" i="3"/>
  <c r="D30" i="3"/>
  <c r="E30" i="3"/>
  <c r="F30" i="3"/>
  <c r="G30" i="3"/>
  <c r="H30" i="3"/>
  <c r="J30" i="3"/>
  <c r="B31" i="3"/>
  <c r="I31" i="3" s="1"/>
  <c r="C31" i="3"/>
  <c r="D31" i="3"/>
  <c r="E31" i="3"/>
  <c r="F31" i="3"/>
  <c r="G31" i="3"/>
  <c r="H31" i="3"/>
  <c r="J31" i="3"/>
  <c r="B32" i="3"/>
  <c r="I32" i="3" s="1"/>
  <c r="C32" i="3"/>
  <c r="D32" i="3"/>
  <c r="E32" i="3"/>
  <c r="F32" i="3"/>
  <c r="G32" i="3"/>
  <c r="H32" i="3"/>
  <c r="J32" i="3"/>
  <c r="B33" i="3"/>
  <c r="I33" i="3" s="1"/>
  <c r="C33" i="3"/>
  <c r="D33" i="3"/>
  <c r="E33" i="3"/>
  <c r="F33" i="3"/>
  <c r="G33" i="3"/>
  <c r="H33" i="3"/>
  <c r="J33" i="3"/>
  <c r="B34" i="3"/>
  <c r="I34" i="3" s="1"/>
  <c r="C34" i="3"/>
  <c r="D34" i="3"/>
  <c r="E34" i="3"/>
  <c r="F34" i="3"/>
  <c r="G34" i="3"/>
  <c r="H34" i="3"/>
  <c r="J34" i="3"/>
  <c r="B35" i="3"/>
  <c r="I35" i="3" s="1"/>
  <c r="C35" i="3"/>
  <c r="D35" i="3"/>
  <c r="E35" i="3"/>
  <c r="F35" i="3"/>
  <c r="G35" i="3"/>
  <c r="H35" i="3"/>
  <c r="J35" i="3"/>
  <c r="B36" i="3"/>
  <c r="I36" i="3" s="1"/>
  <c r="C36" i="3"/>
  <c r="D36" i="3"/>
  <c r="E36" i="3"/>
  <c r="F36" i="3"/>
  <c r="G36" i="3"/>
  <c r="H36" i="3"/>
  <c r="J36" i="3"/>
  <c r="B37" i="3"/>
  <c r="I37" i="3" s="1"/>
  <c r="C37" i="3"/>
  <c r="D37" i="3"/>
  <c r="E37" i="3"/>
  <c r="F37" i="3"/>
  <c r="G37" i="3"/>
  <c r="H37" i="3"/>
  <c r="J37" i="3"/>
  <c r="B38" i="3"/>
  <c r="C38" i="3"/>
  <c r="D38" i="3"/>
  <c r="E38" i="3"/>
  <c r="F38" i="3"/>
  <c r="G38" i="3"/>
  <c r="H38" i="3"/>
  <c r="J38" i="3"/>
  <c r="B39" i="3"/>
  <c r="I39" i="3" s="1"/>
  <c r="C39" i="3"/>
  <c r="D39" i="3"/>
  <c r="E39" i="3"/>
  <c r="F39" i="3"/>
  <c r="G39" i="3"/>
  <c r="H39" i="3"/>
  <c r="J39" i="3"/>
  <c r="B40" i="3"/>
  <c r="I40" i="3" s="1"/>
  <c r="C40" i="3"/>
  <c r="D40" i="3"/>
  <c r="E40" i="3"/>
  <c r="F40" i="3"/>
  <c r="G40" i="3"/>
  <c r="H40" i="3"/>
  <c r="J40" i="3"/>
  <c r="B41" i="3"/>
  <c r="C41" i="3"/>
  <c r="D41" i="3"/>
  <c r="E41" i="3"/>
  <c r="F41" i="3"/>
  <c r="G41" i="3"/>
  <c r="H41" i="3"/>
  <c r="J41" i="3"/>
  <c r="B42" i="3"/>
  <c r="I42" i="3" s="1"/>
  <c r="C42" i="3"/>
  <c r="D42" i="3"/>
  <c r="E42" i="3"/>
  <c r="F42" i="3"/>
  <c r="G42" i="3"/>
  <c r="H42" i="3"/>
  <c r="J42" i="3"/>
  <c r="B43" i="3"/>
  <c r="C43" i="3"/>
  <c r="D43" i="3"/>
  <c r="E43" i="3"/>
  <c r="F43" i="3"/>
  <c r="G43" i="3"/>
  <c r="H43" i="3"/>
  <c r="J43" i="3"/>
  <c r="B44" i="3"/>
  <c r="C44" i="3"/>
  <c r="D44" i="3"/>
  <c r="E44" i="3"/>
  <c r="F44" i="3"/>
  <c r="G44" i="3"/>
  <c r="H44" i="3"/>
  <c r="J44" i="3"/>
  <c r="B45" i="3"/>
  <c r="C45" i="3"/>
  <c r="D45" i="3"/>
  <c r="E45" i="3"/>
  <c r="F45" i="3"/>
  <c r="G45" i="3"/>
  <c r="H45" i="3"/>
  <c r="J45" i="3"/>
  <c r="B46" i="3"/>
  <c r="C46" i="3"/>
  <c r="D46" i="3"/>
  <c r="E46" i="3"/>
  <c r="F46" i="3"/>
  <c r="G46" i="3"/>
  <c r="H46" i="3"/>
  <c r="J46" i="3"/>
  <c r="B47" i="3"/>
  <c r="I47" i="3" s="1"/>
  <c r="C47" i="3"/>
  <c r="D47" i="3"/>
  <c r="E47" i="3"/>
  <c r="F47" i="3"/>
  <c r="G47" i="3"/>
  <c r="H47" i="3"/>
  <c r="J47" i="3"/>
  <c r="B48" i="3"/>
  <c r="C48" i="3"/>
  <c r="D48" i="3"/>
  <c r="E48" i="3"/>
  <c r="F48" i="3"/>
  <c r="G48" i="3"/>
  <c r="H48" i="3"/>
  <c r="J48" i="3"/>
  <c r="B49" i="3"/>
  <c r="I49" i="3" s="1"/>
  <c r="C49" i="3"/>
  <c r="D49" i="3"/>
  <c r="E49" i="3"/>
  <c r="F49" i="3"/>
  <c r="G49" i="3"/>
  <c r="H49" i="3"/>
  <c r="J49" i="3"/>
  <c r="B50" i="3"/>
  <c r="I50" i="3" s="1"/>
  <c r="C50" i="3"/>
  <c r="D50" i="3"/>
  <c r="E50" i="3"/>
  <c r="F50" i="3"/>
  <c r="G50" i="3"/>
  <c r="H50" i="3"/>
  <c r="J50" i="3"/>
  <c r="B51" i="3"/>
  <c r="I51" i="3" s="1"/>
  <c r="C51" i="3"/>
  <c r="D51" i="3"/>
  <c r="E51" i="3"/>
  <c r="F51" i="3"/>
  <c r="G51" i="3"/>
  <c r="H51" i="3"/>
  <c r="J51" i="3"/>
  <c r="B52" i="3"/>
  <c r="I52" i="3" s="1"/>
  <c r="C52" i="3"/>
  <c r="D52" i="3"/>
  <c r="E52" i="3"/>
  <c r="F52" i="3"/>
  <c r="G52" i="3"/>
  <c r="H52" i="3"/>
  <c r="J52" i="3"/>
  <c r="B53" i="3"/>
  <c r="I53" i="3" s="1"/>
  <c r="C53" i="3"/>
  <c r="D53" i="3"/>
  <c r="E53" i="3"/>
  <c r="F53" i="3"/>
  <c r="G53" i="3"/>
  <c r="H53" i="3"/>
  <c r="J53" i="3"/>
  <c r="B54" i="3"/>
  <c r="I54" i="3" s="1"/>
  <c r="C54" i="3"/>
  <c r="D54" i="3"/>
  <c r="E54" i="3"/>
  <c r="F54" i="3"/>
  <c r="G54" i="3"/>
  <c r="H54" i="3"/>
  <c r="J54" i="3"/>
  <c r="B55" i="3"/>
  <c r="I55" i="3" s="1"/>
  <c r="C55" i="3"/>
  <c r="D55" i="3"/>
  <c r="E55" i="3"/>
  <c r="F55" i="3"/>
  <c r="G55" i="3"/>
  <c r="H55" i="3"/>
  <c r="J55" i="3"/>
  <c r="B56" i="3"/>
  <c r="I56" i="3" s="1"/>
  <c r="C56" i="3"/>
  <c r="D56" i="3"/>
  <c r="E56" i="3"/>
  <c r="F56" i="3"/>
  <c r="G56" i="3"/>
  <c r="H56" i="3"/>
  <c r="J56" i="3"/>
  <c r="B57" i="3"/>
  <c r="I57" i="3" s="1"/>
  <c r="C57" i="3"/>
  <c r="D57" i="3"/>
  <c r="E57" i="3"/>
  <c r="F57" i="3"/>
  <c r="G57" i="3"/>
  <c r="H57" i="3"/>
  <c r="J57" i="3"/>
  <c r="B58" i="3"/>
  <c r="C58" i="3"/>
  <c r="D58" i="3"/>
  <c r="E58" i="3"/>
  <c r="F58" i="3"/>
  <c r="G58" i="3"/>
  <c r="H58" i="3"/>
  <c r="J58" i="3"/>
  <c r="B59" i="3"/>
  <c r="I59" i="3" s="1"/>
  <c r="C59" i="3"/>
  <c r="D59" i="3"/>
  <c r="E59" i="3"/>
  <c r="F59" i="3"/>
  <c r="G59" i="3"/>
  <c r="H59" i="3"/>
  <c r="J59" i="3"/>
  <c r="B60" i="3"/>
  <c r="I60" i="3" s="1"/>
  <c r="C60" i="3"/>
  <c r="D60" i="3"/>
  <c r="E60" i="3"/>
  <c r="F60" i="3"/>
  <c r="G60" i="3"/>
  <c r="H60" i="3"/>
  <c r="J60" i="3"/>
  <c r="B61" i="3"/>
  <c r="C61" i="3"/>
  <c r="D61" i="3"/>
  <c r="E61" i="3"/>
  <c r="F61" i="3"/>
  <c r="G61" i="3"/>
  <c r="H61" i="3"/>
  <c r="J61" i="3"/>
  <c r="B62" i="3"/>
  <c r="I62" i="3" s="1"/>
  <c r="C62" i="3"/>
  <c r="D62" i="3"/>
  <c r="E62" i="3"/>
  <c r="F62" i="3"/>
  <c r="G62" i="3"/>
  <c r="H62" i="3"/>
  <c r="J62" i="3"/>
  <c r="B63" i="3"/>
  <c r="C63" i="3"/>
  <c r="D63" i="3"/>
  <c r="E63" i="3"/>
  <c r="F63" i="3"/>
  <c r="G63" i="3"/>
  <c r="H63" i="3"/>
  <c r="J63" i="3"/>
  <c r="B64" i="3"/>
  <c r="C64" i="3"/>
  <c r="D64" i="3"/>
  <c r="E64" i="3"/>
  <c r="F64" i="3"/>
  <c r="G64" i="3"/>
  <c r="H64" i="3"/>
  <c r="J64" i="3"/>
  <c r="B65" i="3"/>
  <c r="C65" i="3"/>
  <c r="D65" i="3"/>
  <c r="E65" i="3"/>
  <c r="F65" i="3"/>
  <c r="G65" i="3"/>
  <c r="H65" i="3"/>
  <c r="J65" i="3"/>
  <c r="B66" i="3"/>
  <c r="C66" i="3"/>
  <c r="D66" i="3"/>
  <c r="E66" i="3"/>
  <c r="F66" i="3"/>
  <c r="G66" i="3"/>
  <c r="H66" i="3"/>
  <c r="J66" i="3"/>
  <c r="B67" i="3"/>
  <c r="I67" i="3" s="1"/>
  <c r="C67" i="3"/>
  <c r="D67" i="3"/>
  <c r="E67" i="3"/>
  <c r="F67" i="3"/>
  <c r="G67" i="3"/>
  <c r="H67" i="3"/>
  <c r="J67" i="3"/>
  <c r="B68" i="3"/>
  <c r="C68" i="3"/>
  <c r="D68" i="3"/>
  <c r="E68" i="3"/>
  <c r="F68" i="3"/>
  <c r="G68" i="3"/>
  <c r="H68" i="3"/>
  <c r="J68" i="3"/>
  <c r="B69" i="3"/>
  <c r="I69" i="3" s="1"/>
  <c r="C69" i="3"/>
  <c r="D69" i="3"/>
  <c r="E69" i="3"/>
  <c r="F69" i="3"/>
  <c r="G69" i="3"/>
  <c r="H69" i="3"/>
  <c r="J69" i="3"/>
  <c r="B70" i="3"/>
  <c r="I70" i="3" s="1"/>
  <c r="C70" i="3"/>
  <c r="D70" i="3"/>
  <c r="E70" i="3"/>
  <c r="F70" i="3"/>
  <c r="G70" i="3"/>
  <c r="H70" i="3"/>
  <c r="J70" i="3"/>
  <c r="B71" i="3"/>
  <c r="I71" i="3" s="1"/>
  <c r="C71" i="3"/>
  <c r="D71" i="3"/>
  <c r="E71" i="3"/>
  <c r="F71" i="3"/>
  <c r="G71" i="3"/>
  <c r="H71" i="3"/>
  <c r="J71" i="3"/>
  <c r="B72" i="3"/>
  <c r="I72" i="3" s="1"/>
  <c r="C72" i="3"/>
  <c r="D72" i="3"/>
  <c r="E72" i="3"/>
  <c r="F72" i="3"/>
  <c r="G72" i="3"/>
  <c r="H72" i="3"/>
  <c r="J72" i="3"/>
  <c r="B73" i="3"/>
  <c r="I73" i="3" s="1"/>
  <c r="C73" i="3"/>
  <c r="D73" i="3"/>
  <c r="E73" i="3"/>
  <c r="F73" i="3"/>
  <c r="G73" i="3"/>
  <c r="H73" i="3"/>
  <c r="J73" i="3"/>
  <c r="B74" i="3"/>
  <c r="I74" i="3" s="1"/>
  <c r="C74" i="3"/>
  <c r="D74" i="3"/>
  <c r="E74" i="3"/>
  <c r="F74" i="3"/>
  <c r="G74" i="3"/>
  <c r="H74" i="3"/>
  <c r="J74" i="3"/>
  <c r="B75" i="3"/>
  <c r="I75" i="3" s="1"/>
  <c r="C75" i="3"/>
  <c r="D75" i="3"/>
  <c r="E75" i="3"/>
  <c r="F75" i="3"/>
  <c r="G75" i="3"/>
  <c r="H75" i="3"/>
  <c r="J75" i="3"/>
  <c r="B76" i="3"/>
  <c r="I76" i="3" s="1"/>
  <c r="C76" i="3"/>
  <c r="D76" i="3"/>
  <c r="E76" i="3"/>
  <c r="F76" i="3"/>
  <c r="G76" i="3"/>
  <c r="H76" i="3"/>
  <c r="J76" i="3"/>
  <c r="B77" i="3"/>
  <c r="I77" i="3" s="1"/>
  <c r="C77" i="3"/>
  <c r="D77" i="3"/>
  <c r="E77" i="3"/>
  <c r="F77" i="3"/>
  <c r="G77" i="3"/>
  <c r="H77" i="3"/>
  <c r="J77" i="3"/>
  <c r="B78" i="3"/>
  <c r="C78" i="3"/>
  <c r="D78" i="3"/>
  <c r="E78" i="3"/>
  <c r="F78" i="3"/>
  <c r="G78" i="3"/>
  <c r="H78" i="3"/>
  <c r="J78" i="3"/>
  <c r="B79" i="3"/>
  <c r="I79" i="3" s="1"/>
  <c r="C79" i="3"/>
  <c r="D79" i="3"/>
  <c r="E79" i="3"/>
  <c r="F79" i="3"/>
  <c r="G79" i="3"/>
  <c r="H79" i="3"/>
  <c r="J79" i="3"/>
  <c r="B80" i="3"/>
  <c r="I80" i="3" s="1"/>
  <c r="C80" i="3"/>
  <c r="D80" i="3"/>
  <c r="E80" i="3"/>
  <c r="F80" i="3"/>
  <c r="G80" i="3"/>
  <c r="H80" i="3"/>
  <c r="J80" i="3"/>
  <c r="B81" i="3"/>
  <c r="C81" i="3"/>
  <c r="D81" i="3"/>
  <c r="E81" i="3"/>
  <c r="F81" i="3"/>
  <c r="G81" i="3"/>
  <c r="H81" i="3"/>
  <c r="J81" i="3"/>
  <c r="B82" i="3"/>
  <c r="I82" i="3" s="1"/>
  <c r="C82" i="3"/>
  <c r="D82" i="3"/>
  <c r="E82" i="3"/>
  <c r="F82" i="3"/>
  <c r="G82" i="3"/>
  <c r="H82" i="3"/>
  <c r="J82" i="3"/>
  <c r="B83" i="3"/>
  <c r="C83" i="3"/>
  <c r="D83" i="3"/>
  <c r="E83" i="3"/>
  <c r="F83" i="3"/>
  <c r="G83" i="3"/>
  <c r="H83" i="3"/>
  <c r="J83" i="3"/>
  <c r="B84" i="3"/>
  <c r="C84" i="3"/>
  <c r="D84" i="3"/>
  <c r="E84" i="3"/>
  <c r="F84" i="3"/>
  <c r="G84" i="3"/>
  <c r="H84" i="3"/>
  <c r="J84" i="3"/>
  <c r="B85" i="3"/>
  <c r="C85" i="3"/>
  <c r="D85" i="3"/>
  <c r="E85" i="3"/>
  <c r="F85" i="3"/>
  <c r="G85" i="3"/>
  <c r="H85" i="3"/>
  <c r="J85" i="3"/>
  <c r="B86" i="3"/>
  <c r="C86" i="3"/>
  <c r="D86" i="3"/>
  <c r="E86" i="3"/>
  <c r="F86" i="3"/>
  <c r="G86" i="3"/>
  <c r="H86" i="3"/>
  <c r="J86" i="3"/>
  <c r="B87" i="3"/>
  <c r="I87" i="3" s="1"/>
  <c r="C87" i="3"/>
  <c r="D87" i="3"/>
  <c r="E87" i="3"/>
  <c r="F87" i="3"/>
  <c r="G87" i="3"/>
  <c r="H87" i="3"/>
  <c r="J87" i="3"/>
  <c r="B88" i="3"/>
  <c r="C88" i="3"/>
  <c r="D88" i="3"/>
  <c r="E88" i="3"/>
  <c r="F88" i="3"/>
  <c r="G88" i="3"/>
  <c r="H88" i="3"/>
  <c r="J88" i="3"/>
  <c r="B89" i="3"/>
  <c r="I89" i="3" s="1"/>
  <c r="C89" i="3"/>
  <c r="D89" i="3"/>
  <c r="E89" i="3"/>
  <c r="F89" i="3"/>
  <c r="G89" i="3"/>
  <c r="H89" i="3"/>
  <c r="J89" i="3"/>
  <c r="B90" i="3"/>
  <c r="I90" i="3" s="1"/>
  <c r="C90" i="3"/>
  <c r="D90" i="3"/>
  <c r="E90" i="3"/>
  <c r="F90" i="3"/>
  <c r="G90" i="3"/>
  <c r="H90" i="3"/>
  <c r="J90" i="3"/>
  <c r="B91" i="3"/>
  <c r="I91" i="3" s="1"/>
  <c r="C91" i="3"/>
  <c r="D91" i="3"/>
  <c r="E91" i="3"/>
  <c r="F91" i="3"/>
  <c r="G91" i="3"/>
  <c r="H91" i="3"/>
  <c r="J91" i="3"/>
  <c r="B92" i="3"/>
  <c r="I92" i="3" s="1"/>
  <c r="C92" i="3"/>
  <c r="D92" i="3"/>
  <c r="E92" i="3"/>
  <c r="F92" i="3"/>
  <c r="G92" i="3"/>
  <c r="H92" i="3"/>
  <c r="J92" i="3"/>
  <c r="B93" i="3"/>
  <c r="I93" i="3" s="1"/>
  <c r="C93" i="3"/>
  <c r="D93" i="3"/>
  <c r="E93" i="3"/>
  <c r="F93" i="3"/>
  <c r="G93" i="3"/>
  <c r="H93" i="3"/>
  <c r="J93" i="3"/>
  <c r="B94" i="3"/>
  <c r="I94" i="3" s="1"/>
  <c r="C94" i="3"/>
  <c r="D94" i="3"/>
  <c r="E94" i="3"/>
  <c r="F94" i="3"/>
  <c r="G94" i="3"/>
  <c r="H94" i="3"/>
  <c r="J94" i="3"/>
  <c r="B95" i="3"/>
  <c r="I95" i="3" s="1"/>
  <c r="C95" i="3"/>
  <c r="D95" i="3"/>
  <c r="E95" i="3"/>
  <c r="F95" i="3"/>
  <c r="G95" i="3"/>
  <c r="H95" i="3"/>
  <c r="J95" i="3"/>
  <c r="B96" i="3"/>
  <c r="I96" i="3" s="1"/>
  <c r="C96" i="3"/>
  <c r="D96" i="3"/>
  <c r="E96" i="3"/>
  <c r="F96" i="3"/>
  <c r="G96" i="3"/>
  <c r="H96" i="3"/>
  <c r="J96" i="3"/>
  <c r="B97" i="3"/>
  <c r="I97" i="3" s="1"/>
  <c r="C97" i="3"/>
  <c r="D97" i="3"/>
  <c r="E97" i="3"/>
  <c r="F97" i="3"/>
  <c r="G97" i="3"/>
  <c r="H97" i="3"/>
  <c r="J97" i="3"/>
  <c r="B98" i="3"/>
  <c r="C98" i="3"/>
  <c r="D98" i="3"/>
  <c r="E98" i="3"/>
  <c r="F98" i="3"/>
  <c r="G98" i="3"/>
  <c r="H98" i="3"/>
  <c r="J98" i="3"/>
  <c r="B99" i="3"/>
  <c r="I99" i="3" s="1"/>
  <c r="C99" i="3"/>
  <c r="D99" i="3"/>
  <c r="E99" i="3"/>
  <c r="F99" i="3"/>
  <c r="G99" i="3"/>
  <c r="H99" i="3"/>
  <c r="J99" i="3"/>
  <c r="B100" i="3"/>
  <c r="I100" i="3" s="1"/>
  <c r="C100" i="3"/>
  <c r="D100" i="3"/>
  <c r="E100" i="3"/>
  <c r="F100" i="3"/>
  <c r="G100" i="3"/>
  <c r="H100" i="3"/>
  <c r="J100" i="3"/>
  <c r="B101" i="3"/>
  <c r="C101" i="3"/>
  <c r="D101" i="3"/>
  <c r="E101" i="3"/>
  <c r="F101" i="3"/>
  <c r="G101" i="3"/>
  <c r="H101" i="3"/>
  <c r="J101" i="3"/>
  <c r="B102" i="3"/>
  <c r="I102" i="3" s="1"/>
  <c r="C102" i="3"/>
  <c r="D102" i="3"/>
  <c r="E102" i="3"/>
  <c r="F102" i="3"/>
  <c r="G102" i="3"/>
  <c r="H102" i="3"/>
  <c r="J102" i="3"/>
  <c r="B103" i="3"/>
  <c r="C103" i="3"/>
  <c r="D103" i="3"/>
  <c r="E103" i="3"/>
  <c r="F103" i="3"/>
  <c r="G103" i="3"/>
  <c r="H103" i="3"/>
  <c r="J103" i="3"/>
  <c r="B104" i="3"/>
  <c r="C104" i="3"/>
  <c r="D104" i="3"/>
  <c r="E104" i="3"/>
  <c r="F104" i="3"/>
  <c r="G104" i="3"/>
  <c r="H104" i="3"/>
  <c r="J104" i="3"/>
  <c r="B105" i="3"/>
  <c r="C105" i="3"/>
  <c r="D105" i="3"/>
  <c r="E105" i="3"/>
  <c r="F105" i="3"/>
  <c r="G105" i="3"/>
  <c r="H105" i="3"/>
  <c r="J105" i="3"/>
  <c r="B106" i="3"/>
  <c r="C106" i="3"/>
  <c r="D106" i="3"/>
  <c r="E106" i="3"/>
  <c r="F106" i="3"/>
  <c r="G106" i="3"/>
  <c r="H106" i="3"/>
  <c r="J106" i="3"/>
  <c r="B107" i="3"/>
  <c r="I107" i="3" s="1"/>
  <c r="C107" i="3"/>
  <c r="D107" i="3"/>
  <c r="E107" i="3"/>
  <c r="F107" i="3"/>
  <c r="G107" i="3"/>
  <c r="H107" i="3"/>
  <c r="J107" i="3"/>
  <c r="B108" i="3"/>
  <c r="C108" i="3"/>
  <c r="D108" i="3"/>
  <c r="E108" i="3"/>
  <c r="F108" i="3"/>
  <c r="G108" i="3"/>
  <c r="H108" i="3"/>
  <c r="J108" i="3"/>
  <c r="B109" i="3"/>
  <c r="I109" i="3" s="1"/>
  <c r="C109" i="3"/>
  <c r="D109" i="3"/>
  <c r="E109" i="3"/>
  <c r="F109" i="3"/>
  <c r="G109" i="3"/>
  <c r="H109" i="3"/>
  <c r="J109" i="3"/>
  <c r="B110" i="3"/>
  <c r="I110" i="3" s="1"/>
  <c r="C110" i="3"/>
  <c r="D110" i="3"/>
  <c r="E110" i="3"/>
  <c r="F110" i="3"/>
  <c r="G110" i="3"/>
  <c r="H110" i="3"/>
  <c r="J110" i="3"/>
  <c r="B111" i="3"/>
  <c r="I111" i="3" s="1"/>
  <c r="C111" i="3"/>
  <c r="D111" i="3"/>
  <c r="E111" i="3"/>
  <c r="F111" i="3"/>
  <c r="G111" i="3"/>
  <c r="H111" i="3"/>
  <c r="J111" i="3"/>
  <c r="B112" i="3"/>
  <c r="I112" i="3" s="1"/>
  <c r="C112" i="3"/>
  <c r="D112" i="3"/>
  <c r="E112" i="3"/>
  <c r="F112" i="3"/>
  <c r="G112" i="3"/>
  <c r="H112" i="3"/>
  <c r="J112" i="3"/>
  <c r="B113" i="3"/>
  <c r="I113" i="3" s="1"/>
  <c r="C113" i="3"/>
  <c r="D113" i="3"/>
  <c r="E113" i="3"/>
  <c r="F113" i="3"/>
  <c r="G113" i="3"/>
  <c r="H113" i="3"/>
  <c r="J113" i="3"/>
  <c r="B114" i="3"/>
  <c r="I114" i="3" s="1"/>
  <c r="C114" i="3"/>
  <c r="D114" i="3"/>
  <c r="E114" i="3"/>
  <c r="F114" i="3"/>
  <c r="G114" i="3"/>
  <c r="H114" i="3"/>
  <c r="J114" i="3"/>
  <c r="B115" i="3"/>
  <c r="I115" i="3" s="1"/>
  <c r="C115" i="3"/>
  <c r="D115" i="3"/>
  <c r="E115" i="3"/>
  <c r="F115" i="3"/>
  <c r="G115" i="3"/>
  <c r="H115" i="3"/>
  <c r="J115" i="3"/>
  <c r="B116" i="3"/>
  <c r="I116" i="3" s="1"/>
  <c r="C116" i="3"/>
  <c r="D116" i="3"/>
  <c r="E116" i="3"/>
  <c r="F116" i="3"/>
  <c r="G116" i="3"/>
  <c r="H116" i="3"/>
  <c r="J116" i="3"/>
  <c r="B117" i="3"/>
  <c r="I117" i="3" s="1"/>
  <c r="C117" i="3"/>
  <c r="D117" i="3"/>
  <c r="E117" i="3"/>
  <c r="F117" i="3"/>
  <c r="G117" i="3"/>
  <c r="H117" i="3"/>
  <c r="J117" i="3"/>
  <c r="B118" i="3"/>
  <c r="C118" i="3"/>
  <c r="D118" i="3"/>
  <c r="E118" i="3"/>
  <c r="F118" i="3"/>
  <c r="G118" i="3"/>
  <c r="H118" i="3"/>
  <c r="J118" i="3"/>
  <c r="B119" i="3"/>
  <c r="I119" i="3" s="1"/>
  <c r="C119" i="3"/>
  <c r="D119" i="3"/>
  <c r="E119" i="3"/>
  <c r="F119" i="3"/>
  <c r="G119" i="3"/>
  <c r="H119" i="3"/>
  <c r="J119" i="3"/>
  <c r="B120" i="3"/>
  <c r="I120" i="3" s="1"/>
  <c r="C120" i="3"/>
  <c r="D120" i="3"/>
  <c r="E120" i="3"/>
  <c r="F120" i="3"/>
  <c r="G120" i="3"/>
  <c r="H120" i="3"/>
  <c r="J120" i="3"/>
  <c r="B121" i="3"/>
  <c r="C121" i="3"/>
  <c r="D121" i="3"/>
  <c r="E121" i="3"/>
  <c r="F121" i="3"/>
  <c r="G121" i="3"/>
  <c r="H121" i="3"/>
  <c r="J121" i="3"/>
  <c r="B122" i="3"/>
  <c r="I122" i="3" s="1"/>
  <c r="C122" i="3"/>
  <c r="D122" i="3"/>
  <c r="E122" i="3"/>
  <c r="F122" i="3"/>
  <c r="G122" i="3"/>
  <c r="H122" i="3"/>
  <c r="J122" i="3"/>
  <c r="B123" i="3"/>
  <c r="C123" i="3"/>
  <c r="D123" i="3"/>
  <c r="E123" i="3"/>
  <c r="F123" i="3"/>
  <c r="G123" i="3"/>
  <c r="H123" i="3"/>
  <c r="J123" i="3"/>
  <c r="B124" i="3"/>
  <c r="C124" i="3"/>
  <c r="D124" i="3"/>
  <c r="E124" i="3"/>
  <c r="F124" i="3"/>
  <c r="G124" i="3"/>
  <c r="H124" i="3"/>
  <c r="J124" i="3"/>
  <c r="B125" i="3"/>
  <c r="C125" i="3"/>
  <c r="D125" i="3"/>
  <c r="E125" i="3"/>
  <c r="F125" i="3"/>
  <c r="G125" i="3"/>
  <c r="H125" i="3"/>
  <c r="J125" i="3"/>
  <c r="B126" i="3"/>
  <c r="C126" i="3"/>
  <c r="D126" i="3"/>
  <c r="E126" i="3"/>
  <c r="F126" i="3"/>
  <c r="G126" i="3"/>
  <c r="H126" i="3"/>
  <c r="J126" i="3"/>
  <c r="B127" i="3"/>
  <c r="I127" i="3" s="1"/>
  <c r="C127" i="3"/>
  <c r="D127" i="3"/>
  <c r="E127" i="3"/>
  <c r="F127" i="3"/>
  <c r="G127" i="3"/>
  <c r="H127" i="3"/>
  <c r="J127" i="3"/>
  <c r="B128" i="3"/>
  <c r="C128" i="3"/>
  <c r="D128" i="3"/>
  <c r="E128" i="3"/>
  <c r="F128" i="3"/>
  <c r="G128" i="3"/>
  <c r="H128" i="3"/>
  <c r="J128" i="3"/>
  <c r="B129" i="3"/>
  <c r="I129" i="3" s="1"/>
  <c r="C129" i="3"/>
  <c r="D129" i="3"/>
  <c r="E129" i="3"/>
  <c r="F129" i="3"/>
  <c r="G129" i="3"/>
  <c r="H129" i="3"/>
  <c r="J129" i="3"/>
  <c r="B130" i="3"/>
  <c r="I130" i="3" s="1"/>
  <c r="C130" i="3"/>
  <c r="D130" i="3"/>
  <c r="E130" i="3"/>
  <c r="F130" i="3"/>
  <c r="G130" i="3"/>
  <c r="H130" i="3"/>
  <c r="J130" i="3"/>
  <c r="B131" i="3"/>
  <c r="I131" i="3" s="1"/>
  <c r="C131" i="3"/>
  <c r="D131" i="3"/>
  <c r="E131" i="3"/>
  <c r="F131" i="3"/>
  <c r="G131" i="3"/>
  <c r="H131" i="3"/>
  <c r="J131" i="3"/>
  <c r="B132" i="3"/>
  <c r="I132" i="3" s="1"/>
  <c r="C132" i="3"/>
  <c r="D132" i="3"/>
  <c r="E132" i="3"/>
  <c r="F132" i="3"/>
  <c r="G132" i="3"/>
  <c r="H132" i="3"/>
  <c r="J132" i="3"/>
  <c r="B133" i="3"/>
  <c r="I133" i="3" s="1"/>
  <c r="C133" i="3"/>
  <c r="D133" i="3"/>
  <c r="E133" i="3"/>
  <c r="F133" i="3"/>
  <c r="G133" i="3"/>
  <c r="H133" i="3"/>
  <c r="J133" i="3"/>
  <c r="B134" i="3"/>
  <c r="I134" i="3" s="1"/>
  <c r="C134" i="3"/>
  <c r="D134" i="3"/>
  <c r="E134" i="3"/>
  <c r="F134" i="3"/>
  <c r="G134" i="3"/>
  <c r="H134" i="3"/>
  <c r="J134" i="3"/>
  <c r="B135" i="3"/>
  <c r="I135" i="3" s="1"/>
  <c r="C135" i="3"/>
  <c r="D135" i="3"/>
  <c r="E135" i="3"/>
  <c r="F135" i="3"/>
  <c r="G135" i="3"/>
  <c r="H135" i="3"/>
  <c r="J135" i="3"/>
  <c r="B136" i="3"/>
  <c r="I136" i="3" s="1"/>
  <c r="C136" i="3"/>
  <c r="D136" i="3"/>
  <c r="E136" i="3"/>
  <c r="F136" i="3"/>
  <c r="G136" i="3"/>
  <c r="H136" i="3"/>
  <c r="J136" i="3"/>
  <c r="B137" i="3"/>
  <c r="I137" i="3" s="1"/>
  <c r="C137" i="3"/>
  <c r="D137" i="3"/>
  <c r="E137" i="3"/>
  <c r="F137" i="3"/>
  <c r="G137" i="3"/>
  <c r="H137" i="3"/>
  <c r="J137" i="3"/>
  <c r="B138" i="3"/>
  <c r="C138" i="3"/>
  <c r="D138" i="3"/>
  <c r="E138" i="3"/>
  <c r="F138" i="3"/>
  <c r="G138" i="3"/>
  <c r="H138" i="3"/>
  <c r="J138" i="3"/>
  <c r="B139" i="3"/>
  <c r="I139" i="3" s="1"/>
  <c r="C139" i="3"/>
  <c r="D139" i="3"/>
  <c r="E139" i="3"/>
  <c r="F139" i="3"/>
  <c r="G139" i="3"/>
  <c r="H139" i="3"/>
  <c r="J139" i="3"/>
  <c r="B140" i="3"/>
  <c r="I140" i="3" s="1"/>
  <c r="C140" i="3"/>
  <c r="D140" i="3"/>
  <c r="E140" i="3"/>
  <c r="F140" i="3"/>
  <c r="G140" i="3"/>
  <c r="H140" i="3"/>
  <c r="J140" i="3"/>
  <c r="B141" i="3"/>
  <c r="C141" i="3"/>
  <c r="D141" i="3"/>
  <c r="E141" i="3"/>
  <c r="F141" i="3"/>
  <c r="G141" i="3"/>
  <c r="H141" i="3"/>
  <c r="J141" i="3"/>
  <c r="B142" i="3"/>
  <c r="I142" i="3" s="1"/>
  <c r="C142" i="3"/>
  <c r="D142" i="3"/>
  <c r="E142" i="3"/>
  <c r="F142" i="3"/>
  <c r="G142" i="3"/>
  <c r="H142" i="3"/>
  <c r="J142" i="3"/>
  <c r="B143" i="3"/>
  <c r="C143" i="3"/>
  <c r="D143" i="3"/>
  <c r="E143" i="3"/>
  <c r="F143" i="3"/>
  <c r="G143" i="3"/>
  <c r="H143" i="3"/>
  <c r="J143" i="3"/>
  <c r="B144" i="3"/>
  <c r="C144" i="3"/>
  <c r="D144" i="3"/>
  <c r="E144" i="3"/>
  <c r="F144" i="3"/>
  <c r="G144" i="3"/>
  <c r="H144" i="3"/>
  <c r="J144" i="3"/>
  <c r="B145" i="3"/>
  <c r="C145" i="3"/>
  <c r="D145" i="3"/>
  <c r="E145" i="3"/>
  <c r="F145" i="3"/>
  <c r="G145" i="3"/>
  <c r="H145" i="3"/>
  <c r="J145" i="3"/>
  <c r="B146" i="3"/>
  <c r="C146" i="3"/>
  <c r="D146" i="3"/>
  <c r="E146" i="3"/>
  <c r="F146" i="3"/>
  <c r="G146" i="3"/>
  <c r="H146" i="3"/>
  <c r="J146" i="3"/>
  <c r="B147" i="3"/>
  <c r="I147" i="3" s="1"/>
  <c r="C147" i="3"/>
  <c r="D147" i="3"/>
  <c r="E147" i="3"/>
  <c r="F147" i="3"/>
  <c r="G147" i="3"/>
  <c r="H147" i="3"/>
  <c r="J147" i="3"/>
  <c r="B148" i="3"/>
  <c r="C148" i="3"/>
  <c r="D148" i="3"/>
  <c r="E148" i="3"/>
  <c r="F148" i="3"/>
  <c r="G148" i="3"/>
  <c r="H148" i="3"/>
  <c r="J148" i="3"/>
  <c r="B149" i="3"/>
  <c r="I149" i="3" s="1"/>
  <c r="C149" i="3"/>
  <c r="D149" i="3"/>
  <c r="E149" i="3"/>
  <c r="F149" i="3"/>
  <c r="G149" i="3"/>
  <c r="H149" i="3"/>
  <c r="J149" i="3"/>
  <c r="B150" i="3"/>
  <c r="I150" i="3" s="1"/>
  <c r="C150" i="3"/>
  <c r="D150" i="3"/>
  <c r="E150" i="3"/>
  <c r="F150" i="3"/>
  <c r="G150" i="3"/>
  <c r="H150" i="3"/>
  <c r="J150" i="3"/>
  <c r="B151" i="3"/>
  <c r="I151" i="3" s="1"/>
  <c r="C151" i="3"/>
  <c r="D151" i="3"/>
  <c r="E151" i="3"/>
  <c r="F151" i="3"/>
  <c r="G151" i="3"/>
  <c r="H151" i="3"/>
  <c r="J151" i="3"/>
  <c r="B152" i="3"/>
  <c r="I152" i="3" s="1"/>
  <c r="C152" i="3"/>
  <c r="D152" i="3"/>
  <c r="E152" i="3"/>
  <c r="F152" i="3"/>
  <c r="G152" i="3"/>
  <c r="H152" i="3"/>
  <c r="J152" i="3"/>
  <c r="B153" i="3"/>
  <c r="I153" i="3" s="1"/>
  <c r="C153" i="3"/>
  <c r="D153" i="3"/>
  <c r="E153" i="3"/>
  <c r="F153" i="3"/>
  <c r="G153" i="3"/>
  <c r="H153" i="3"/>
  <c r="J153" i="3"/>
  <c r="B154" i="3"/>
  <c r="I154" i="3" s="1"/>
  <c r="C154" i="3"/>
  <c r="D154" i="3"/>
  <c r="E154" i="3"/>
  <c r="F154" i="3"/>
  <c r="G154" i="3"/>
  <c r="H154" i="3"/>
  <c r="J154" i="3"/>
  <c r="B155" i="3"/>
  <c r="I155" i="3" s="1"/>
  <c r="C155" i="3"/>
  <c r="D155" i="3"/>
  <c r="E155" i="3"/>
  <c r="F155" i="3"/>
  <c r="G155" i="3"/>
  <c r="H155" i="3"/>
  <c r="J155" i="3"/>
  <c r="B156" i="3"/>
  <c r="I156" i="3" s="1"/>
  <c r="C156" i="3"/>
  <c r="D156" i="3"/>
  <c r="E156" i="3"/>
  <c r="F156" i="3"/>
  <c r="G156" i="3"/>
  <c r="H156" i="3"/>
  <c r="J156" i="3"/>
  <c r="B157" i="3"/>
  <c r="I157" i="3" s="1"/>
  <c r="C157" i="3"/>
  <c r="D157" i="3"/>
  <c r="E157" i="3"/>
  <c r="F157" i="3"/>
  <c r="G157" i="3"/>
  <c r="H157" i="3"/>
  <c r="J157" i="3"/>
  <c r="B158" i="3"/>
  <c r="C158" i="3"/>
  <c r="D158" i="3"/>
  <c r="E158" i="3"/>
  <c r="F158" i="3"/>
  <c r="G158" i="3"/>
  <c r="H158" i="3"/>
  <c r="J158" i="3"/>
  <c r="B159" i="3"/>
  <c r="I159" i="3" s="1"/>
  <c r="C159" i="3"/>
  <c r="D159" i="3"/>
  <c r="E159" i="3"/>
  <c r="F159" i="3"/>
  <c r="G159" i="3"/>
  <c r="H159" i="3"/>
  <c r="J159" i="3"/>
  <c r="B160" i="3"/>
  <c r="I160" i="3" s="1"/>
  <c r="C160" i="3"/>
  <c r="D160" i="3"/>
  <c r="E160" i="3"/>
  <c r="F160" i="3"/>
  <c r="G160" i="3"/>
  <c r="H160" i="3"/>
  <c r="J160" i="3"/>
  <c r="B161" i="3"/>
  <c r="C161" i="3"/>
  <c r="D161" i="3"/>
  <c r="E161" i="3"/>
  <c r="F161" i="3"/>
  <c r="G161" i="3"/>
  <c r="H161" i="3"/>
  <c r="J161" i="3"/>
  <c r="B162" i="3"/>
  <c r="I162" i="3" s="1"/>
  <c r="C162" i="3"/>
  <c r="D162" i="3"/>
  <c r="E162" i="3"/>
  <c r="F162" i="3"/>
  <c r="G162" i="3"/>
  <c r="H162" i="3"/>
  <c r="J162" i="3"/>
  <c r="B163" i="3"/>
  <c r="C163" i="3"/>
  <c r="D163" i="3"/>
  <c r="E163" i="3"/>
  <c r="F163" i="3"/>
  <c r="G163" i="3"/>
  <c r="H163" i="3"/>
  <c r="J163" i="3"/>
  <c r="B164" i="3"/>
  <c r="C164" i="3"/>
  <c r="D164" i="3"/>
  <c r="E164" i="3"/>
  <c r="F164" i="3"/>
  <c r="G164" i="3"/>
  <c r="H164" i="3"/>
  <c r="J164" i="3"/>
  <c r="B165" i="3"/>
  <c r="C165" i="3"/>
  <c r="D165" i="3"/>
  <c r="E165" i="3"/>
  <c r="F165" i="3"/>
  <c r="G165" i="3"/>
  <c r="H165" i="3"/>
  <c r="J165" i="3"/>
  <c r="B166" i="3"/>
  <c r="C166" i="3"/>
  <c r="D166" i="3"/>
  <c r="E166" i="3"/>
  <c r="F166" i="3"/>
  <c r="G166" i="3"/>
  <c r="H166" i="3"/>
  <c r="J166" i="3"/>
  <c r="B167" i="3"/>
  <c r="I167" i="3" s="1"/>
  <c r="C167" i="3"/>
  <c r="D167" i="3"/>
  <c r="E167" i="3"/>
  <c r="F167" i="3"/>
  <c r="G167" i="3"/>
  <c r="H167" i="3"/>
  <c r="J167" i="3"/>
  <c r="B168" i="3"/>
  <c r="C168" i="3"/>
  <c r="D168" i="3"/>
  <c r="E168" i="3"/>
  <c r="F168" i="3"/>
  <c r="G168" i="3"/>
  <c r="H168" i="3"/>
  <c r="J168" i="3"/>
  <c r="B169" i="3"/>
  <c r="I169" i="3" s="1"/>
  <c r="C169" i="3"/>
  <c r="D169" i="3"/>
  <c r="E169" i="3"/>
  <c r="F169" i="3"/>
  <c r="G169" i="3"/>
  <c r="H169" i="3"/>
  <c r="J169" i="3"/>
  <c r="B170" i="3"/>
  <c r="I170" i="3" s="1"/>
  <c r="C170" i="3"/>
  <c r="D170" i="3"/>
  <c r="E170" i="3"/>
  <c r="F170" i="3"/>
  <c r="G170" i="3"/>
  <c r="H170" i="3"/>
  <c r="J170" i="3"/>
  <c r="B171" i="3"/>
  <c r="I171" i="3" s="1"/>
  <c r="C171" i="3"/>
  <c r="D171" i="3"/>
  <c r="E171" i="3"/>
  <c r="F171" i="3"/>
  <c r="G171" i="3"/>
  <c r="H171" i="3"/>
  <c r="J171" i="3"/>
  <c r="B172" i="3"/>
  <c r="I172" i="3" s="1"/>
  <c r="C172" i="3"/>
  <c r="D172" i="3"/>
  <c r="E172" i="3"/>
  <c r="F172" i="3"/>
  <c r="G172" i="3"/>
  <c r="H172" i="3"/>
  <c r="J172" i="3"/>
  <c r="B173" i="3"/>
  <c r="I173" i="3" s="1"/>
  <c r="C173" i="3"/>
  <c r="D173" i="3"/>
  <c r="E173" i="3"/>
  <c r="F173" i="3"/>
  <c r="G173" i="3"/>
  <c r="H173" i="3"/>
  <c r="J173" i="3"/>
  <c r="B174" i="3"/>
  <c r="I174" i="3" s="1"/>
  <c r="C174" i="3"/>
  <c r="D174" i="3"/>
  <c r="E174" i="3"/>
  <c r="F174" i="3"/>
  <c r="G174" i="3"/>
  <c r="H174" i="3"/>
  <c r="J174" i="3"/>
  <c r="B175" i="3"/>
  <c r="I175" i="3" s="1"/>
  <c r="C175" i="3"/>
  <c r="D175" i="3"/>
  <c r="E175" i="3"/>
  <c r="F175" i="3"/>
  <c r="G175" i="3"/>
  <c r="H175" i="3"/>
  <c r="J175" i="3"/>
  <c r="B176" i="3"/>
  <c r="I176" i="3" s="1"/>
  <c r="C176" i="3"/>
  <c r="D176" i="3"/>
  <c r="E176" i="3"/>
  <c r="F176" i="3"/>
  <c r="G176" i="3"/>
  <c r="H176" i="3"/>
  <c r="J176" i="3"/>
  <c r="B177" i="3"/>
  <c r="I177" i="3" s="1"/>
  <c r="C177" i="3"/>
  <c r="D177" i="3"/>
  <c r="E177" i="3"/>
  <c r="F177" i="3"/>
  <c r="G177" i="3"/>
  <c r="H177" i="3"/>
  <c r="J177" i="3"/>
  <c r="B178" i="3"/>
  <c r="C178" i="3"/>
  <c r="D178" i="3"/>
  <c r="E178" i="3"/>
  <c r="F178" i="3"/>
  <c r="G178" i="3"/>
  <c r="H178" i="3"/>
  <c r="J178" i="3"/>
  <c r="B179" i="3"/>
  <c r="I179" i="3" s="1"/>
  <c r="C179" i="3"/>
  <c r="D179" i="3"/>
  <c r="E179" i="3"/>
  <c r="F179" i="3"/>
  <c r="G179" i="3"/>
  <c r="H179" i="3"/>
  <c r="J179" i="3"/>
  <c r="B180" i="3"/>
  <c r="I180" i="3" s="1"/>
  <c r="C180" i="3"/>
  <c r="D180" i="3"/>
  <c r="E180" i="3"/>
  <c r="F180" i="3"/>
  <c r="G180" i="3"/>
  <c r="H180" i="3"/>
  <c r="J180" i="3"/>
  <c r="B181" i="3"/>
  <c r="C181" i="3"/>
  <c r="D181" i="3"/>
  <c r="E181" i="3"/>
  <c r="F181" i="3"/>
  <c r="G181" i="3"/>
  <c r="H181" i="3"/>
  <c r="J181" i="3"/>
  <c r="B182" i="3"/>
  <c r="I182" i="3" s="1"/>
  <c r="C182" i="3"/>
  <c r="D182" i="3"/>
  <c r="E182" i="3"/>
  <c r="F182" i="3"/>
  <c r="G182" i="3"/>
  <c r="H182" i="3"/>
  <c r="J182" i="3"/>
  <c r="B183" i="3"/>
  <c r="C183" i="3"/>
  <c r="D183" i="3"/>
  <c r="E183" i="3"/>
  <c r="F183" i="3"/>
  <c r="G183" i="3"/>
  <c r="H183" i="3"/>
  <c r="J183" i="3"/>
  <c r="B184" i="3"/>
  <c r="C184" i="3"/>
  <c r="D184" i="3"/>
  <c r="E184" i="3"/>
  <c r="F184" i="3"/>
  <c r="G184" i="3"/>
  <c r="H184" i="3"/>
  <c r="J184" i="3"/>
  <c r="B185" i="3"/>
  <c r="C185" i="3"/>
  <c r="D185" i="3"/>
  <c r="E185" i="3"/>
  <c r="F185" i="3"/>
  <c r="G185" i="3"/>
  <c r="H185" i="3"/>
  <c r="J185" i="3"/>
  <c r="B186" i="3"/>
  <c r="C186" i="3"/>
  <c r="D186" i="3"/>
  <c r="E186" i="3"/>
  <c r="F186" i="3"/>
  <c r="G186" i="3"/>
  <c r="H186" i="3"/>
  <c r="J186" i="3"/>
  <c r="B187" i="3"/>
  <c r="I187" i="3" s="1"/>
  <c r="C187" i="3"/>
  <c r="D187" i="3"/>
  <c r="E187" i="3"/>
  <c r="F187" i="3"/>
  <c r="G187" i="3"/>
  <c r="H187" i="3"/>
  <c r="J187" i="3"/>
  <c r="B188" i="3"/>
  <c r="C188" i="3"/>
  <c r="D188" i="3"/>
  <c r="E188" i="3"/>
  <c r="F188" i="3"/>
  <c r="G188" i="3"/>
  <c r="H188" i="3"/>
  <c r="J188" i="3"/>
  <c r="B189" i="3"/>
  <c r="I189" i="3" s="1"/>
  <c r="C189" i="3"/>
  <c r="D189" i="3"/>
  <c r="E189" i="3"/>
  <c r="F189" i="3"/>
  <c r="G189" i="3"/>
  <c r="H189" i="3"/>
  <c r="J189" i="3"/>
  <c r="B190" i="3"/>
  <c r="I190" i="3" s="1"/>
  <c r="C190" i="3"/>
  <c r="D190" i="3"/>
  <c r="E190" i="3"/>
  <c r="F190" i="3"/>
  <c r="G190" i="3"/>
  <c r="H190" i="3"/>
  <c r="J190" i="3"/>
  <c r="B191" i="3"/>
  <c r="I191" i="3" s="1"/>
  <c r="C191" i="3"/>
  <c r="D191" i="3"/>
  <c r="E191" i="3"/>
  <c r="F191" i="3"/>
  <c r="G191" i="3"/>
  <c r="H191" i="3"/>
  <c r="J191" i="3"/>
  <c r="B192" i="3"/>
  <c r="I192" i="3" s="1"/>
  <c r="C192" i="3"/>
  <c r="D192" i="3"/>
  <c r="E192" i="3"/>
  <c r="F192" i="3"/>
  <c r="G192" i="3"/>
  <c r="H192" i="3"/>
  <c r="J192" i="3"/>
  <c r="B193" i="3"/>
  <c r="I193" i="3" s="1"/>
  <c r="C193" i="3"/>
  <c r="D193" i="3"/>
  <c r="E193" i="3"/>
  <c r="F193" i="3"/>
  <c r="G193" i="3"/>
  <c r="H193" i="3"/>
  <c r="J193" i="3"/>
  <c r="B194" i="3"/>
  <c r="I194" i="3" s="1"/>
  <c r="C194" i="3"/>
  <c r="D194" i="3"/>
  <c r="E194" i="3"/>
  <c r="F194" i="3"/>
  <c r="G194" i="3"/>
  <c r="H194" i="3"/>
  <c r="J194" i="3"/>
  <c r="B195" i="3"/>
  <c r="I195" i="3" s="1"/>
  <c r="C195" i="3"/>
  <c r="D195" i="3"/>
  <c r="E195" i="3"/>
  <c r="F195" i="3"/>
  <c r="G195" i="3"/>
  <c r="H195" i="3"/>
  <c r="J195" i="3"/>
  <c r="B196" i="3"/>
  <c r="I196" i="3" s="1"/>
  <c r="C196" i="3"/>
  <c r="D196" i="3"/>
  <c r="E196" i="3"/>
  <c r="F196" i="3"/>
  <c r="G196" i="3"/>
  <c r="H196" i="3"/>
  <c r="J196" i="3"/>
  <c r="B197" i="3"/>
  <c r="I197" i="3" s="1"/>
  <c r="C197" i="3"/>
  <c r="D197" i="3"/>
  <c r="E197" i="3"/>
  <c r="F197" i="3"/>
  <c r="G197" i="3"/>
  <c r="H197" i="3"/>
  <c r="J197" i="3"/>
  <c r="B198" i="3"/>
  <c r="C198" i="3"/>
  <c r="D198" i="3"/>
  <c r="E198" i="3"/>
  <c r="F198" i="3"/>
  <c r="G198" i="3"/>
  <c r="H198" i="3"/>
  <c r="J198" i="3"/>
  <c r="B199" i="3"/>
  <c r="I199" i="3" s="1"/>
  <c r="C199" i="3"/>
  <c r="D199" i="3"/>
  <c r="E199" i="3"/>
  <c r="F199" i="3"/>
  <c r="G199" i="3"/>
  <c r="H199" i="3"/>
  <c r="J199" i="3"/>
  <c r="B200" i="3"/>
  <c r="I200" i="3" s="1"/>
  <c r="C200" i="3"/>
  <c r="D200" i="3"/>
  <c r="E200" i="3"/>
  <c r="F200" i="3"/>
  <c r="G200" i="3"/>
  <c r="H200" i="3"/>
  <c r="J200" i="3"/>
  <c r="B201" i="3"/>
  <c r="C201" i="3"/>
  <c r="D201" i="3"/>
  <c r="E201" i="3"/>
  <c r="F201" i="3"/>
  <c r="G201" i="3"/>
  <c r="H201" i="3"/>
  <c r="J201" i="3"/>
  <c r="B202" i="3"/>
  <c r="I202" i="3" s="1"/>
  <c r="C202" i="3"/>
  <c r="D202" i="3"/>
  <c r="E202" i="3"/>
  <c r="F202" i="3"/>
  <c r="G202" i="3"/>
  <c r="H202" i="3"/>
  <c r="J202" i="3"/>
  <c r="B203" i="3"/>
  <c r="C203" i="3"/>
  <c r="D203" i="3"/>
  <c r="E203" i="3"/>
  <c r="F203" i="3"/>
  <c r="G203" i="3"/>
  <c r="H203" i="3"/>
  <c r="J203" i="3"/>
  <c r="B204" i="3"/>
  <c r="C204" i="3"/>
  <c r="D204" i="3"/>
  <c r="E204" i="3"/>
  <c r="F204" i="3"/>
  <c r="G204" i="3"/>
  <c r="H204" i="3"/>
  <c r="J204" i="3"/>
  <c r="B205" i="3"/>
  <c r="C205" i="3"/>
  <c r="D205" i="3"/>
  <c r="E205" i="3"/>
  <c r="F205" i="3"/>
  <c r="G205" i="3"/>
  <c r="H205" i="3"/>
  <c r="J205" i="3"/>
  <c r="B206" i="3"/>
  <c r="C206" i="3"/>
  <c r="D206" i="3"/>
  <c r="E206" i="3"/>
  <c r="F206" i="3"/>
  <c r="G206" i="3"/>
  <c r="H206" i="3"/>
  <c r="J206" i="3"/>
  <c r="B207" i="3"/>
  <c r="I207" i="3" s="1"/>
  <c r="C207" i="3"/>
  <c r="D207" i="3"/>
  <c r="E207" i="3"/>
  <c r="F207" i="3"/>
  <c r="G207" i="3"/>
  <c r="H207" i="3"/>
  <c r="J207" i="3"/>
  <c r="B208" i="3"/>
  <c r="C208" i="3"/>
  <c r="D208" i="3"/>
  <c r="E208" i="3"/>
  <c r="F208" i="3"/>
  <c r="G208" i="3"/>
  <c r="H208" i="3"/>
  <c r="J208" i="3"/>
  <c r="B209" i="3"/>
  <c r="I209" i="3" s="1"/>
  <c r="C209" i="3"/>
  <c r="D209" i="3"/>
  <c r="E209" i="3"/>
  <c r="F209" i="3"/>
  <c r="G209" i="3"/>
  <c r="H209" i="3"/>
  <c r="J209" i="3"/>
  <c r="B210" i="3"/>
  <c r="I210" i="3" s="1"/>
  <c r="C210" i="3"/>
  <c r="D210" i="3"/>
  <c r="E210" i="3"/>
  <c r="F210" i="3"/>
  <c r="G210" i="3"/>
  <c r="H210" i="3"/>
  <c r="J210" i="3"/>
  <c r="B211" i="3"/>
  <c r="I211" i="3" s="1"/>
  <c r="C211" i="3"/>
  <c r="D211" i="3"/>
  <c r="E211" i="3"/>
  <c r="F211" i="3"/>
  <c r="G211" i="3"/>
  <c r="H211" i="3"/>
  <c r="J211" i="3"/>
  <c r="B212" i="3"/>
  <c r="I212" i="3" s="1"/>
  <c r="C212" i="3"/>
  <c r="D212" i="3"/>
  <c r="E212" i="3"/>
  <c r="F212" i="3"/>
  <c r="G212" i="3"/>
  <c r="H212" i="3"/>
  <c r="J212" i="3"/>
  <c r="B213" i="3"/>
  <c r="I213" i="3" s="1"/>
  <c r="C213" i="3"/>
  <c r="D213" i="3"/>
  <c r="E213" i="3"/>
  <c r="F213" i="3"/>
  <c r="G213" i="3"/>
  <c r="H213" i="3"/>
  <c r="J213" i="3"/>
  <c r="B214" i="3"/>
  <c r="I214" i="3" s="1"/>
  <c r="C214" i="3"/>
  <c r="D214" i="3"/>
  <c r="E214" i="3"/>
  <c r="F214" i="3"/>
  <c r="G214" i="3"/>
  <c r="H214" i="3"/>
  <c r="J214" i="3"/>
  <c r="B215" i="3"/>
  <c r="I215" i="3" s="1"/>
  <c r="C215" i="3"/>
  <c r="D215" i="3"/>
  <c r="E215" i="3"/>
  <c r="F215" i="3"/>
  <c r="G215" i="3"/>
  <c r="H215" i="3"/>
  <c r="J215" i="3"/>
  <c r="B216" i="3"/>
  <c r="I216" i="3" s="1"/>
  <c r="C216" i="3"/>
  <c r="D216" i="3"/>
  <c r="E216" i="3"/>
  <c r="F216" i="3"/>
  <c r="G216" i="3"/>
  <c r="H216" i="3"/>
  <c r="J216" i="3"/>
  <c r="B217" i="3"/>
  <c r="I217" i="3" s="1"/>
  <c r="C217" i="3"/>
  <c r="D217" i="3"/>
  <c r="E217" i="3"/>
  <c r="F217" i="3"/>
  <c r="G217" i="3"/>
  <c r="H217" i="3"/>
  <c r="J217" i="3"/>
  <c r="B218" i="3"/>
  <c r="C218" i="3"/>
  <c r="D218" i="3"/>
  <c r="E218" i="3"/>
  <c r="F218" i="3"/>
  <c r="G218" i="3"/>
  <c r="H218" i="3"/>
  <c r="J218" i="3"/>
  <c r="B219" i="3"/>
  <c r="I219" i="3" s="1"/>
  <c r="C219" i="3"/>
  <c r="D219" i="3"/>
  <c r="E219" i="3"/>
  <c r="F219" i="3"/>
  <c r="G219" i="3"/>
  <c r="H219" i="3"/>
  <c r="J219" i="3"/>
  <c r="B220" i="3"/>
  <c r="I220" i="3" s="1"/>
  <c r="C220" i="3"/>
  <c r="D220" i="3"/>
  <c r="E220" i="3"/>
  <c r="F220" i="3"/>
  <c r="G220" i="3"/>
  <c r="H220" i="3"/>
  <c r="J220" i="3"/>
  <c r="B221" i="3"/>
  <c r="C221" i="3"/>
  <c r="D221" i="3"/>
  <c r="E221" i="3"/>
  <c r="F221" i="3"/>
  <c r="G221" i="3"/>
  <c r="H221" i="3"/>
  <c r="J221" i="3"/>
  <c r="B222" i="3"/>
  <c r="I222" i="3" s="1"/>
  <c r="C222" i="3"/>
  <c r="D222" i="3"/>
  <c r="E222" i="3"/>
  <c r="F222" i="3"/>
  <c r="G222" i="3"/>
  <c r="H222" i="3"/>
  <c r="J222" i="3"/>
  <c r="B223" i="3"/>
  <c r="C223" i="3"/>
  <c r="D223" i="3"/>
  <c r="E223" i="3"/>
  <c r="F223" i="3"/>
  <c r="G223" i="3"/>
  <c r="H223" i="3"/>
  <c r="J223" i="3"/>
  <c r="B224" i="3"/>
  <c r="C224" i="3"/>
  <c r="D224" i="3"/>
  <c r="E224" i="3"/>
  <c r="F224" i="3"/>
  <c r="G224" i="3"/>
  <c r="H224" i="3"/>
  <c r="J224" i="3"/>
  <c r="B225" i="3"/>
  <c r="C225" i="3"/>
  <c r="D225" i="3"/>
  <c r="E225" i="3"/>
  <c r="F225" i="3"/>
  <c r="G225" i="3"/>
  <c r="H225" i="3"/>
  <c r="J225" i="3"/>
  <c r="B226" i="3"/>
  <c r="C226" i="3"/>
  <c r="D226" i="3"/>
  <c r="E226" i="3"/>
  <c r="F226" i="3"/>
  <c r="G226" i="3"/>
  <c r="H226" i="3"/>
  <c r="J226" i="3"/>
  <c r="B227" i="3"/>
  <c r="I227" i="3" s="1"/>
  <c r="C227" i="3"/>
  <c r="D227" i="3"/>
  <c r="E227" i="3"/>
  <c r="F227" i="3"/>
  <c r="G227" i="3"/>
  <c r="H227" i="3"/>
  <c r="J227" i="3"/>
  <c r="B228" i="3"/>
  <c r="C228" i="3"/>
  <c r="D228" i="3"/>
  <c r="E228" i="3"/>
  <c r="F228" i="3"/>
  <c r="G228" i="3"/>
  <c r="H228" i="3"/>
  <c r="J228" i="3"/>
  <c r="B229" i="3"/>
  <c r="I229" i="3" s="1"/>
  <c r="C229" i="3"/>
  <c r="D229" i="3"/>
  <c r="E229" i="3"/>
  <c r="F229" i="3"/>
  <c r="G229" i="3"/>
  <c r="H229" i="3"/>
  <c r="J229" i="3"/>
  <c r="B230" i="3"/>
  <c r="I230" i="3" s="1"/>
  <c r="C230" i="3"/>
  <c r="D230" i="3"/>
  <c r="E230" i="3"/>
  <c r="F230" i="3"/>
  <c r="G230" i="3"/>
  <c r="H230" i="3"/>
  <c r="J230" i="3"/>
  <c r="B231" i="3"/>
  <c r="I231" i="3" s="1"/>
  <c r="C231" i="3"/>
  <c r="D231" i="3"/>
  <c r="E231" i="3"/>
  <c r="F231" i="3"/>
  <c r="G231" i="3"/>
  <c r="H231" i="3"/>
  <c r="J231" i="3"/>
  <c r="B232" i="3"/>
  <c r="I232" i="3" s="1"/>
  <c r="C232" i="3"/>
  <c r="D232" i="3"/>
  <c r="E232" i="3"/>
  <c r="F232" i="3"/>
  <c r="G232" i="3"/>
  <c r="H232" i="3"/>
  <c r="J232" i="3"/>
  <c r="B233" i="3"/>
  <c r="I233" i="3" s="1"/>
  <c r="C233" i="3"/>
  <c r="D233" i="3"/>
  <c r="E233" i="3"/>
  <c r="F233" i="3"/>
  <c r="G233" i="3"/>
  <c r="H233" i="3"/>
  <c r="J233" i="3"/>
  <c r="B234" i="3"/>
  <c r="I234" i="3" s="1"/>
  <c r="C234" i="3"/>
  <c r="D234" i="3"/>
  <c r="E234" i="3"/>
  <c r="F234" i="3"/>
  <c r="G234" i="3"/>
  <c r="H234" i="3"/>
  <c r="J234" i="3"/>
  <c r="B235" i="3"/>
  <c r="I235" i="3" s="1"/>
  <c r="C235" i="3"/>
  <c r="D235" i="3"/>
  <c r="E235" i="3"/>
  <c r="F235" i="3"/>
  <c r="G235" i="3"/>
  <c r="H235" i="3"/>
  <c r="J235" i="3"/>
  <c r="B236" i="3"/>
  <c r="I236" i="3" s="1"/>
  <c r="C236" i="3"/>
  <c r="D236" i="3"/>
  <c r="E236" i="3"/>
  <c r="F236" i="3"/>
  <c r="G236" i="3"/>
  <c r="H236" i="3"/>
  <c r="J236" i="3"/>
  <c r="B237" i="3"/>
  <c r="I237" i="3" s="1"/>
  <c r="C237" i="3"/>
  <c r="D237" i="3"/>
  <c r="E237" i="3"/>
  <c r="F237" i="3"/>
  <c r="G237" i="3"/>
  <c r="H237" i="3"/>
  <c r="J237" i="3"/>
  <c r="B238" i="3"/>
  <c r="C238" i="3"/>
  <c r="D238" i="3"/>
  <c r="E238" i="3"/>
  <c r="F238" i="3"/>
  <c r="G238" i="3"/>
  <c r="H238" i="3"/>
  <c r="J238" i="3"/>
  <c r="B239" i="3"/>
  <c r="I239" i="3" s="1"/>
  <c r="C239" i="3"/>
  <c r="D239" i="3"/>
  <c r="E239" i="3"/>
  <c r="F239" i="3"/>
  <c r="G239" i="3"/>
  <c r="H239" i="3"/>
  <c r="J239" i="3"/>
  <c r="B240" i="3"/>
  <c r="I240" i="3" s="1"/>
  <c r="C240" i="3"/>
  <c r="D240" i="3"/>
  <c r="E240" i="3"/>
  <c r="F240" i="3"/>
  <c r="G240" i="3"/>
  <c r="H240" i="3"/>
  <c r="J240" i="3"/>
  <c r="B241" i="3"/>
  <c r="C241" i="3"/>
  <c r="D241" i="3"/>
  <c r="E241" i="3"/>
  <c r="F241" i="3"/>
  <c r="G241" i="3"/>
  <c r="H241" i="3"/>
  <c r="J241" i="3"/>
  <c r="B242" i="3"/>
  <c r="I242" i="3" s="1"/>
  <c r="C242" i="3"/>
  <c r="D242" i="3"/>
  <c r="E242" i="3"/>
  <c r="F242" i="3"/>
  <c r="G242" i="3"/>
  <c r="H242" i="3"/>
  <c r="J242" i="3"/>
  <c r="B243" i="3"/>
  <c r="C243" i="3"/>
  <c r="D243" i="3"/>
  <c r="E243" i="3"/>
  <c r="F243" i="3"/>
  <c r="G243" i="3"/>
  <c r="H243" i="3"/>
  <c r="J243" i="3"/>
  <c r="B244" i="3"/>
  <c r="C244" i="3"/>
  <c r="D244" i="3"/>
  <c r="E244" i="3"/>
  <c r="F244" i="3"/>
  <c r="G244" i="3"/>
  <c r="H244" i="3"/>
  <c r="J244" i="3"/>
  <c r="B245" i="3"/>
  <c r="C245" i="3"/>
  <c r="D245" i="3"/>
  <c r="E245" i="3"/>
  <c r="F245" i="3"/>
  <c r="G245" i="3"/>
  <c r="H245" i="3"/>
  <c r="J245" i="3"/>
  <c r="B246" i="3"/>
  <c r="C246" i="3"/>
  <c r="D246" i="3"/>
  <c r="E246" i="3"/>
  <c r="F246" i="3"/>
  <c r="G246" i="3"/>
  <c r="H246" i="3"/>
  <c r="J246" i="3"/>
  <c r="B247" i="3"/>
  <c r="I247" i="3" s="1"/>
  <c r="C247" i="3"/>
  <c r="D247" i="3"/>
  <c r="E247" i="3"/>
  <c r="F247" i="3"/>
  <c r="G247" i="3"/>
  <c r="H247" i="3"/>
  <c r="J247" i="3"/>
  <c r="B248" i="3"/>
  <c r="C248" i="3"/>
  <c r="D248" i="3"/>
  <c r="E248" i="3"/>
  <c r="F248" i="3"/>
  <c r="G248" i="3"/>
  <c r="H248" i="3"/>
  <c r="J248" i="3"/>
  <c r="B249" i="3"/>
  <c r="I249" i="3" s="1"/>
  <c r="C249" i="3"/>
  <c r="D249" i="3"/>
  <c r="E249" i="3"/>
  <c r="F249" i="3"/>
  <c r="G249" i="3"/>
  <c r="H249" i="3"/>
  <c r="J249" i="3"/>
  <c r="B250" i="3"/>
  <c r="I250" i="3" s="1"/>
  <c r="C250" i="3"/>
  <c r="D250" i="3"/>
  <c r="E250" i="3"/>
  <c r="F250" i="3"/>
  <c r="G250" i="3"/>
  <c r="H250" i="3"/>
  <c r="J250" i="3"/>
  <c r="B251" i="3"/>
  <c r="I251" i="3" s="1"/>
  <c r="C251" i="3"/>
  <c r="D251" i="3"/>
  <c r="E251" i="3"/>
  <c r="F251" i="3"/>
  <c r="G251" i="3"/>
  <c r="H251" i="3"/>
  <c r="J251" i="3"/>
  <c r="B252" i="3"/>
  <c r="I252" i="3" s="1"/>
  <c r="C252" i="3"/>
  <c r="D252" i="3"/>
  <c r="E252" i="3"/>
  <c r="F252" i="3"/>
  <c r="G252" i="3"/>
  <c r="H252" i="3"/>
  <c r="J252" i="3"/>
  <c r="B253" i="3"/>
  <c r="I253" i="3" s="1"/>
  <c r="C253" i="3"/>
  <c r="D253" i="3"/>
  <c r="E253" i="3"/>
  <c r="F253" i="3"/>
  <c r="G253" i="3"/>
  <c r="H253" i="3"/>
  <c r="J253" i="3"/>
  <c r="B254" i="3"/>
  <c r="I254" i="3" s="1"/>
  <c r="C254" i="3"/>
  <c r="D254" i="3"/>
  <c r="E254" i="3"/>
  <c r="F254" i="3"/>
  <c r="G254" i="3"/>
  <c r="H254" i="3"/>
  <c r="J254" i="3"/>
  <c r="B255" i="3"/>
  <c r="I255" i="3" s="1"/>
  <c r="C255" i="3"/>
  <c r="D255" i="3"/>
  <c r="E255" i="3"/>
  <c r="F255" i="3"/>
  <c r="G255" i="3"/>
  <c r="H255" i="3"/>
  <c r="J255" i="3"/>
  <c r="B256" i="3"/>
  <c r="I256" i="3" s="1"/>
  <c r="C256" i="3"/>
  <c r="D256" i="3"/>
  <c r="E256" i="3"/>
  <c r="F256" i="3"/>
  <c r="G256" i="3"/>
  <c r="H256" i="3"/>
  <c r="J256" i="3"/>
  <c r="B257" i="3"/>
  <c r="I257" i="3" s="1"/>
  <c r="C257" i="3"/>
  <c r="D257" i="3"/>
  <c r="E257" i="3"/>
  <c r="F257" i="3"/>
  <c r="G257" i="3"/>
  <c r="H257" i="3"/>
  <c r="J257" i="3"/>
  <c r="B258" i="3"/>
  <c r="C258" i="3"/>
  <c r="D258" i="3"/>
  <c r="E258" i="3"/>
  <c r="F258" i="3"/>
  <c r="G258" i="3"/>
  <c r="H258" i="3"/>
  <c r="J258" i="3"/>
  <c r="B259" i="3"/>
  <c r="I259" i="3" s="1"/>
  <c r="C259" i="3"/>
  <c r="D259" i="3"/>
  <c r="E259" i="3"/>
  <c r="F259" i="3"/>
  <c r="G259" i="3"/>
  <c r="H259" i="3"/>
  <c r="J259" i="3"/>
  <c r="B260" i="3"/>
  <c r="I260" i="3" s="1"/>
  <c r="C260" i="3"/>
  <c r="D260" i="3"/>
  <c r="E260" i="3"/>
  <c r="F260" i="3"/>
  <c r="G260" i="3"/>
  <c r="H260" i="3"/>
  <c r="J260" i="3"/>
  <c r="B261" i="3"/>
  <c r="C261" i="3"/>
  <c r="D261" i="3"/>
  <c r="E261" i="3"/>
  <c r="F261" i="3"/>
  <c r="G261" i="3"/>
  <c r="H261" i="3"/>
  <c r="J261" i="3"/>
  <c r="B262" i="3"/>
  <c r="I262" i="3" s="1"/>
  <c r="C262" i="3"/>
  <c r="D262" i="3"/>
  <c r="E262" i="3"/>
  <c r="F262" i="3"/>
  <c r="G262" i="3"/>
  <c r="H262" i="3"/>
  <c r="J262" i="3"/>
  <c r="B263" i="3"/>
  <c r="C263" i="3"/>
  <c r="D263" i="3"/>
  <c r="E263" i="3"/>
  <c r="F263" i="3"/>
  <c r="G263" i="3"/>
  <c r="H263" i="3"/>
  <c r="J263" i="3"/>
  <c r="B264" i="3"/>
  <c r="C264" i="3"/>
  <c r="D264" i="3"/>
  <c r="E264" i="3"/>
  <c r="F264" i="3"/>
  <c r="G264" i="3"/>
  <c r="H264" i="3"/>
  <c r="J264" i="3"/>
  <c r="B265" i="3"/>
  <c r="C265" i="3"/>
  <c r="D265" i="3"/>
  <c r="E265" i="3"/>
  <c r="F265" i="3"/>
  <c r="G265" i="3"/>
  <c r="H265" i="3"/>
  <c r="J265" i="3"/>
  <c r="B266" i="3"/>
  <c r="C266" i="3"/>
  <c r="D266" i="3"/>
  <c r="E266" i="3"/>
  <c r="F266" i="3"/>
  <c r="G266" i="3"/>
  <c r="H266" i="3"/>
  <c r="J266" i="3"/>
  <c r="B267" i="3"/>
  <c r="I267" i="3" s="1"/>
  <c r="C267" i="3"/>
  <c r="D267" i="3"/>
  <c r="E267" i="3"/>
  <c r="F267" i="3"/>
  <c r="G267" i="3"/>
  <c r="H267" i="3"/>
  <c r="J267" i="3"/>
  <c r="B268" i="3"/>
  <c r="C268" i="3"/>
  <c r="D268" i="3"/>
  <c r="E268" i="3"/>
  <c r="F268" i="3"/>
  <c r="G268" i="3"/>
  <c r="H268" i="3"/>
  <c r="J268" i="3"/>
  <c r="B269" i="3"/>
  <c r="I269" i="3" s="1"/>
  <c r="C269" i="3"/>
  <c r="D269" i="3"/>
  <c r="E269" i="3"/>
  <c r="F269" i="3"/>
  <c r="G269" i="3"/>
  <c r="H269" i="3"/>
  <c r="J269" i="3"/>
  <c r="B270" i="3"/>
  <c r="I270" i="3" s="1"/>
  <c r="C270" i="3"/>
  <c r="D270" i="3"/>
  <c r="E270" i="3"/>
  <c r="F270" i="3"/>
  <c r="G270" i="3"/>
  <c r="H270" i="3"/>
  <c r="J270" i="3"/>
  <c r="B271" i="3"/>
  <c r="I271" i="3" s="1"/>
  <c r="C271" i="3"/>
  <c r="D271" i="3"/>
  <c r="E271" i="3"/>
  <c r="F271" i="3"/>
  <c r="G271" i="3"/>
  <c r="H271" i="3"/>
  <c r="J271" i="3"/>
  <c r="B272" i="3"/>
  <c r="I272" i="3" s="1"/>
  <c r="C272" i="3"/>
  <c r="D272" i="3"/>
  <c r="E272" i="3"/>
  <c r="F272" i="3"/>
  <c r="G272" i="3"/>
  <c r="H272" i="3"/>
  <c r="J272" i="3"/>
  <c r="B273" i="3"/>
  <c r="I273" i="3" s="1"/>
  <c r="C273" i="3"/>
  <c r="D273" i="3"/>
  <c r="E273" i="3"/>
  <c r="F273" i="3"/>
  <c r="G273" i="3"/>
  <c r="H273" i="3"/>
  <c r="J273" i="3"/>
  <c r="B274" i="3"/>
  <c r="I274" i="3" s="1"/>
  <c r="C274" i="3"/>
  <c r="D274" i="3"/>
  <c r="E274" i="3"/>
  <c r="F274" i="3"/>
  <c r="G274" i="3"/>
  <c r="H274" i="3"/>
  <c r="J274" i="3"/>
  <c r="B275" i="3"/>
  <c r="I275" i="3" s="1"/>
  <c r="C275" i="3"/>
  <c r="D275" i="3"/>
  <c r="E275" i="3"/>
  <c r="F275" i="3"/>
  <c r="G275" i="3"/>
  <c r="H275" i="3"/>
  <c r="J275" i="3"/>
  <c r="B276" i="3"/>
  <c r="I276" i="3" s="1"/>
  <c r="C276" i="3"/>
  <c r="D276" i="3"/>
  <c r="E276" i="3"/>
  <c r="F276" i="3"/>
  <c r="G276" i="3"/>
  <c r="H276" i="3"/>
  <c r="J276" i="3"/>
  <c r="B277" i="3"/>
  <c r="I277" i="3" s="1"/>
  <c r="C277" i="3"/>
  <c r="D277" i="3"/>
  <c r="E277" i="3"/>
  <c r="F277" i="3"/>
  <c r="G277" i="3"/>
  <c r="H277" i="3"/>
  <c r="J277" i="3"/>
  <c r="B278" i="3"/>
  <c r="C278" i="3"/>
  <c r="D278" i="3"/>
  <c r="E278" i="3"/>
  <c r="F278" i="3"/>
  <c r="G278" i="3"/>
  <c r="H278" i="3"/>
  <c r="J278" i="3"/>
  <c r="B279" i="3"/>
  <c r="I279" i="3" s="1"/>
  <c r="C279" i="3"/>
  <c r="D279" i="3"/>
  <c r="E279" i="3"/>
  <c r="F279" i="3"/>
  <c r="G279" i="3"/>
  <c r="H279" i="3"/>
  <c r="J279" i="3"/>
  <c r="B280" i="3"/>
  <c r="I280" i="3" s="1"/>
  <c r="C280" i="3"/>
  <c r="D280" i="3"/>
  <c r="E280" i="3"/>
  <c r="F280" i="3"/>
  <c r="G280" i="3"/>
  <c r="H280" i="3"/>
  <c r="J280" i="3"/>
  <c r="B281" i="3"/>
  <c r="C281" i="3"/>
  <c r="D281" i="3"/>
  <c r="E281" i="3"/>
  <c r="F281" i="3"/>
  <c r="G281" i="3"/>
  <c r="H281" i="3"/>
  <c r="J281" i="3"/>
  <c r="B282" i="3"/>
  <c r="I282" i="3" s="1"/>
  <c r="C282" i="3"/>
  <c r="D282" i="3"/>
  <c r="E282" i="3"/>
  <c r="F282" i="3"/>
  <c r="G282" i="3"/>
  <c r="H282" i="3"/>
  <c r="J282" i="3"/>
  <c r="B283" i="3"/>
  <c r="C283" i="3"/>
  <c r="D283" i="3"/>
  <c r="E283" i="3"/>
  <c r="F283" i="3"/>
  <c r="G283" i="3"/>
  <c r="H283" i="3"/>
  <c r="J283" i="3"/>
  <c r="B284" i="3"/>
  <c r="C284" i="3"/>
  <c r="D284" i="3"/>
  <c r="E284" i="3"/>
  <c r="F284" i="3"/>
  <c r="G284" i="3"/>
  <c r="H284" i="3"/>
  <c r="J284" i="3"/>
  <c r="B285" i="3"/>
  <c r="C285" i="3"/>
  <c r="D285" i="3"/>
  <c r="E285" i="3"/>
  <c r="F285" i="3"/>
  <c r="G285" i="3"/>
  <c r="H285" i="3"/>
  <c r="J285" i="3"/>
  <c r="B286" i="3"/>
  <c r="C286" i="3"/>
  <c r="D286" i="3"/>
  <c r="E286" i="3"/>
  <c r="F286" i="3"/>
  <c r="G286" i="3"/>
  <c r="H286" i="3"/>
  <c r="J286" i="3"/>
  <c r="B287" i="3"/>
  <c r="I287" i="3" s="1"/>
  <c r="C287" i="3"/>
  <c r="D287" i="3"/>
  <c r="E287" i="3"/>
  <c r="F287" i="3"/>
  <c r="G287" i="3"/>
  <c r="H287" i="3"/>
  <c r="J287" i="3"/>
  <c r="B288" i="3"/>
  <c r="C288" i="3"/>
  <c r="D288" i="3"/>
  <c r="E288" i="3"/>
  <c r="F288" i="3"/>
  <c r="G288" i="3"/>
  <c r="H288" i="3"/>
  <c r="J288" i="3"/>
  <c r="B289" i="3"/>
  <c r="I289" i="3" s="1"/>
  <c r="C289" i="3"/>
  <c r="D289" i="3"/>
  <c r="E289" i="3"/>
  <c r="F289" i="3"/>
  <c r="G289" i="3"/>
  <c r="H289" i="3"/>
  <c r="J289" i="3"/>
  <c r="B290" i="3"/>
  <c r="I290" i="3" s="1"/>
  <c r="C290" i="3"/>
  <c r="D290" i="3"/>
  <c r="E290" i="3"/>
  <c r="F290" i="3"/>
  <c r="G290" i="3"/>
  <c r="H290" i="3"/>
  <c r="J290" i="3"/>
  <c r="B291" i="3"/>
  <c r="I291" i="3" s="1"/>
  <c r="C291" i="3"/>
  <c r="D291" i="3"/>
  <c r="E291" i="3"/>
  <c r="F291" i="3"/>
  <c r="G291" i="3"/>
  <c r="H291" i="3"/>
  <c r="J291" i="3"/>
  <c r="B292" i="3"/>
  <c r="I292" i="3" s="1"/>
  <c r="C292" i="3"/>
  <c r="D292" i="3"/>
  <c r="E292" i="3"/>
  <c r="F292" i="3"/>
  <c r="G292" i="3"/>
  <c r="H292" i="3"/>
  <c r="J292" i="3"/>
  <c r="B293" i="3"/>
  <c r="I293" i="3" s="1"/>
  <c r="C293" i="3"/>
  <c r="D293" i="3"/>
  <c r="E293" i="3"/>
  <c r="F293" i="3"/>
  <c r="G293" i="3"/>
  <c r="H293" i="3"/>
  <c r="J293" i="3"/>
  <c r="B294" i="3"/>
  <c r="I294" i="3" s="1"/>
  <c r="C294" i="3"/>
  <c r="D294" i="3"/>
  <c r="E294" i="3"/>
  <c r="F294" i="3"/>
  <c r="G294" i="3"/>
  <c r="H294" i="3"/>
  <c r="J294" i="3"/>
  <c r="B295" i="3"/>
  <c r="I295" i="3" s="1"/>
  <c r="C295" i="3"/>
  <c r="D295" i="3"/>
  <c r="E295" i="3"/>
  <c r="F295" i="3"/>
  <c r="G295" i="3"/>
  <c r="H295" i="3"/>
  <c r="J295" i="3"/>
  <c r="B296" i="3"/>
  <c r="I296" i="3" s="1"/>
  <c r="C296" i="3"/>
  <c r="D296" i="3"/>
  <c r="E296" i="3"/>
  <c r="F296" i="3"/>
  <c r="G296" i="3"/>
  <c r="H296" i="3"/>
  <c r="J296" i="3"/>
  <c r="B297" i="3"/>
  <c r="I297" i="3" s="1"/>
  <c r="C297" i="3"/>
  <c r="D297" i="3"/>
  <c r="E297" i="3"/>
  <c r="F297" i="3"/>
  <c r="G297" i="3"/>
  <c r="H297" i="3"/>
  <c r="J297" i="3"/>
  <c r="B298" i="3"/>
  <c r="C298" i="3"/>
  <c r="D298" i="3"/>
  <c r="E298" i="3"/>
  <c r="F298" i="3"/>
  <c r="G298" i="3"/>
  <c r="H298" i="3"/>
  <c r="J298" i="3"/>
  <c r="B299" i="3"/>
  <c r="I299" i="3" s="1"/>
  <c r="C299" i="3"/>
  <c r="D299" i="3"/>
  <c r="E299" i="3"/>
  <c r="F299" i="3"/>
  <c r="G299" i="3"/>
  <c r="H299" i="3"/>
  <c r="J299" i="3"/>
  <c r="B300" i="3"/>
  <c r="I300" i="3" s="1"/>
  <c r="C300" i="3"/>
  <c r="D300" i="3"/>
  <c r="E300" i="3"/>
  <c r="F300" i="3"/>
  <c r="G300" i="3"/>
  <c r="H300" i="3"/>
  <c r="J300" i="3"/>
  <c r="B301" i="3"/>
  <c r="C301" i="3"/>
  <c r="D301" i="3"/>
  <c r="E301" i="3"/>
  <c r="F301" i="3"/>
  <c r="G301" i="3"/>
  <c r="H301" i="3"/>
  <c r="J301" i="3"/>
  <c r="B302" i="3"/>
  <c r="I302" i="3" s="1"/>
  <c r="C302" i="3"/>
  <c r="D302" i="3"/>
  <c r="E302" i="3"/>
  <c r="F302" i="3"/>
  <c r="G302" i="3"/>
  <c r="H302" i="3"/>
  <c r="J302" i="3"/>
  <c r="B303" i="3"/>
  <c r="C303" i="3"/>
  <c r="D303" i="3"/>
  <c r="E303" i="3"/>
  <c r="F303" i="3"/>
  <c r="G303" i="3"/>
  <c r="H303" i="3"/>
  <c r="J303" i="3"/>
  <c r="B304" i="3"/>
  <c r="C304" i="3"/>
  <c r="D304" i="3"/>
  <c r="E304" i="3"/>
  <c r="F304" i="3"/>
  <c r="G304" i="3"/>
  <c r="H304" i="3"/>
  <c r="J304" i="3"/>
  <c r="B305" i="3"/>
  <c r="C305" i="3"/>
  <c r="D305" i="3"/>
  <c r="E305" i="3"/>
  <c r="F305" i="3"/>
  <c r="G305" i="3"/>
  <c r="H305" i="3"/>
  <c r="J305" i="3"/>
  <c r="B306" i="3"/>
  <c r="C306" i="3"/>
  <c r="D306" i="3"/>
  <c r="E306" i="3"/>
  <c r="F306" i="3"/>
  <c r="G306" i="3"/>
  <c r="H306" i="3"/>
  <c r="J306" i="3"/>
  <c r="B307" i="3"/>
  <c r="I307" i="3" s="1"/>
  <c r="C307" i="3"/>
  <c r="D307" i="3"/>
  <c r="E307" i="3"/>
  <c r="F307" i="3"/>
  <c r="G307" i="3"/>
  <c r="H307" i="3"/>
  <c r="J307" i="3"/>
  <c r="B308" i="3"/>
  <c r="C308" i="3"/>
  <c r="D308" i="3"/>
  <c r="E308" i="3"/>
  <c r="F308" i="3"/>
  <c r="G308" i="3"/>
  <c r="H308" i="3"/>
  <c r="J308" i="3"/>
  <c r="B309" i="3"/>
  <c r="I309" i="3" s="1"/>
  <c r="C309" i="3"/>
  <c r="D309" i="3"/>
  <c r="E309" i="3"/>
  <c r="F309" i="3"/>
  <c r="G309" i="3"/>
  <c r="H309" i="3"/>
  <c r="J309" i="3"/>
  <c r="B310" i="3"/>
  <c r="I310" i="3" s="1"/>
  <c r="C310" i="3"/>
  <c r="D310" i="3"/>
  <c r="E310" i="3"/>
  <c r="F310" i="3"/>
  <c r="G310" i="3"/>
  <c r="H310" i="3"/>
  <c r="J310" i="3"/>
  <c r="B311" i="3"/>
  <c r="I311" i="3" s="1"/>
  <c r="C311" i="3"/>
  <c r="D311" i="3"/>
  <c r="E311" i="3"/>
  <c r="F311" i="3"/>
  <c r="G311" i="3"/>
  <c r="H311" i="3"/>
  <c r="J311" i="3"/>
  <c r="B312" i="3"/>
  <c r="I312" i="3" s="1"/>
  <c r="C312" i="3"/>
  <c r="D312" i="3"/>
  <c r="E312" i="3"/>
  <c r="F312" i="3"/>
  <c r="G312" i="3"/>
  <c r="H312" i="3"/>
  <c r="J312" i="3"/>
  <c r="B313" i="3"/>
  <c r="I313" i="3" s="1"/>
  <c r="C313" i="3"/>
  <c r="D313" i="3"/>
  <c r="E313" i="3"/>
  <c r="F313" i="3"/>
  <c r="G313" i="3"/>
  <c r="H313" i="3"/>
  <c r="J313" i="3"/>
  <c r="B314" i="3"/>
  <c r="I314" i="3" s="1"/>
  <c r="C314" i="3"/>
  <c r="D314" i="3"/>
  <c r="E314" i="3"/>
  <c r="F314" i="3"/>
  <c r="G314" i="3"/>
  <c r="H314" i="3"/>
  <c r="J314" i="3"/>
  <c r="B315" i="3"/>
  <c r="I315" i="3" s="1"/>
  <c r="C315" i="3"/>
  <c r="D315" i="3"/>
  <c r="E315" i="3"/>
  <c r="F315" i="3"/>
  <c r="G315" i="3"/>
  <c r="H315" i="3"/>
  <c r="J315" i="3"/>
  <c r="B316" i="3"/>
  <c r="I316" i="3" s="1"/>
  <c r="C316" i="3"/>
  <c r="D316" i="3"/>
  <c r="E316" i="3"/>
  <c r="F316" i="3"/>
  <c r="G316" i="3"/>
  <c r="H316" i="3"/>
  <c r="J316" i="3"/>
  <c r="B317" i="3"/>
  <c r="I317" i="3" s="1"/>
  <c r="C317" i="3"/>
  <c r="D317" i="3"/>
  <c r="E317" i="3"/>
  <c r="F317" i="3"/>
  <c r="G317" i="3"/>
  <c r="H317" i="3"/>
  <c r="J317" i="3"/>
  <c r="B318" i="3"/>
  <c r="C318" i="3"/>
  <c r="D318" i="3"/>
  <c r="E318" i="3"/>
  <c r="F318" i="3"/>
  <c r="G318" i="3"/>
  <c r="H318" i="3"/>
  <c r="J318" i="3"/>
  <c r="B319" i="3"/>
  <c r="I319" i="3" s="1"/>
  <c r="C319" i="3"/>
  <c r="D319" i="3"/>
  <c r="E319" i="3"/>
  <c r="F319" i="3"/>
  <c r="G319" i="3"/>
  <c r="H319" i="3"/>
  <c r="J319" i="3"/>
  <c r="B320" i="3"/>
  <c r="I320" i="3" s="1"/>
  <c r="C320" i="3"/>
  <c r="D320" i="3"/>
  <c r="E320" i="3"/>
  <c r="F320" i="3"/>
  <c r="G320" i="3"/>
  <c r="H320" i="3"/>
  <c r="J320" i="3"/>
  <c r="B321" i="3"/>
  <c r="C321" i="3"/>
  <c r="D321" i="3"/>
  <c r="E321" i="3"/>
  <c r="F321" i="3"/>
  <c r="G321" i="3"/>
  <c r="H321" i="3"/>
  <c r="J321" i="3"/>
  <c r="B322" i="3"/>
  <c r="I322" i="3" s="1"/>
  <c r="C322" i="3"/>
  <c r="D322" i="3"/>
  <c r="E322" i="3"/>
  <c r="F322" i="3"/>
  <c r="G322" i="3"/>
  <c r="H322" i="3"/>
  <c r="J322" i="3"/>
  <c r="B323" i="3"/>
  <c r="C323" i="3"/>
  <c r="D323" i="3"/>
  <c r="E323" i="3"/>
  <c r="F323" i="3"/>
  <c r="G323" i="3"/>
  <c r="H323" i="3"/>
  <c r="J323" i="3"/>
  <c r="B324" i="3"/>
  <c r="C324" i="3"/>
  <c r="D324" i="3"/>
  <c r="E324" i="3"/>
  <c r="F324" i="3"/>
  <c r="G324" i="3"/>
  <c r="H324" i="3"/>
  <c r="J324" i="3"/>
  <c r="B325" i="3"/>
  <c r="C325" i="3"/>
  <c r="D325" i="3"/>
  <c r="E325" i="3"/>
  <c r="F325" i="3"/>
  <c r="G325" i="3"/>
  <c r="H325" i="3"/>
  <c r="J325" i="3"/>
  <c r="B326" i="3"/>
  <c r="C326" i="3"/>
  <c r="D326" i="3"/>
  <c r="E326" i="3"/>
  <c r="F326" i="3"/>
  <c r="G326" i="3"/>
  <c r="H326" i="3"/>
  <c r="J326" i="3"/>
  <c r="B327" i="3"/>
  <c r="I327" i="3" s="1"/>
  <c r="C327" i="3"/>
  <c r="D327" i="3"/>
  <c r="E327" i="3"/>
  <c r="F327" i="3"/>
  <c r="G327" i="3"/>
  <c r="H327" i="3"/>
  <c r="J327" i="3"/>
  <c r="B328" i="3"/>
  <c r="C328" i="3"/>
  <c r="D328" i="3"/>
  <c r="E328" i="3"/>
  <c r="F328" i="3"/>
  <c r="G328" i="3"/>
  <c r="H328" i="3"/>
  <c r="J328" i="3"/>
  <c r="B329" i="3"/>
  <c r="I329" i="3" s="1"/>
  <c r="C329" i="3"/>
  <c r="D329" i="3"/>
  <c r="E329" i="3"/>
  <c r="F329" i="3"/>
  <c r="G329" i="3"/>
  <c r="H329" i="3"/>
  <c r="J329" i="3"/>
  <c r="B330" i="3"/>
  <c r="I330" i="3" s="1"/>
  <c r="C330" i="3"/>
  <c r="D330" i="3"/>
  <c r="E330" i="3"/>
  <c r="F330" i="3"/>
  <c r="G330" i="3"/>
  <c r="H330" i="3"/>
  <c r="J330" i="3"/>
  <c r="B331" i="3"/>
  <c r="I331" i="3" s="1"/>
  <c r="C331" i="3"/>
  <c r="D331" i="3"/>
  <c r="E331" i="3"/>
  <c r="F331" i="3"/>
  <c r="G331" i="3"/>
  <c r="H331" i="3"/>
  <c r="J331" i="3"/>
  <c r="B332" i="3"/>
  <c r="I332" i="3" s="1"/>
  <c r="C332" i="3"/>
  <c r="D332" i="3"/>
  <c r="E332" i="3"/>
  <c r="F332" i="3"/>
  <c r="G332" i="3"/>
  <c r="H332" i="3"/>
  <c r="J332" i="3"/>
  <c r="B333" i="3"/>
  <c r="I333" i="3" s="1"/>
  <c r="C333" i="3"/>
  <c r="D333" i="3"/>
  <c r="E333" i="3"/>
  <c r="F333" i="3"/>
  <c r="G333" i="3"/>
  <c r="H333" i="3"/>
  <c r="J333" i="3"/>
  <c r="B334" i="3"/>
  <c r="I334" i="3" s="1"/>
  <c r="C334" i="3"/>
  <c r="D334" i="3"/>
  <c r="E334" i="3"/>
  <c r="F334" i="3"/>
  <c r="G334" i="3"/>
  <c r="H334" i="3"/>
  <c r="J334" i="3"/>
  <c r="B335" i="3"/>
  <c r="I335" i="3" s="1"/>
  <c r="C335" i="3"/>
  <c r="D335" i="3"/>
  <c r="E335" i="3"/>
  <c r="F335" i="3"/>
  <c r="G335" i="3"/>
  <c r="H335" i="3"/>
  <c r="J335" i="3"/>
  <c r="B336" i="3"/>
  <c r="I336" i="3" s="1"/>
  <c r="C336" i="3"/>
  <c r="D336" i="3"/>
  <c r="E336" i="3"/>
  <c r="F336" i="3"/>
  <c r="G336" i="3"/>
  <c r="H336" i="3"/>
  <c r="J336" i="3"/>
  <c r="B337" i="3"/>
  <c r="I337" i="3" s="1"/>
  <c r="C337" i="3"/>
  <c r="D337" i="3"/>
  <c r="E337" i="3"/>
  <c r="F337" i="3"/>
  <c r="G337" i="3"/>
  <c r="H337" i="3"/>
  <c r="J337" i="3"/>
  <c r="B338" i="3"/>
  <c r="C338" i="3"/>
  <c r="D338" i="3"/>
  <c r="E338" i="3"/>
  <c r="F338" i="3"/>
  <c r="G338" i="3"/>
  <c r="H338" i="3"/>
  <c r="J338" i="3"/>
  <c r="B339" i="3"/>
  <c r="I339" i="3" s="1"/>
  <c r="C339" i="3"/>
  <c r="D339" i="3"/>
  <c r="E339" i="3"/>
  <c r="F339" i="3"/>
  <c r="G339" i="3"/>
  <c r="H339" i="3"/>
  <c r="J339" i="3"/>
  <c r="B340" i="3"/>
  <c r="I340" i="3" s="1"/>
  <c r="C340" i="3"/>
  <c r="D340" i="3"/>
  <c r="E340" i="3"/>
  <c r="F340" i="3"/>
  <c r="G340" i="3"/>
  <c r="H340" i="3"/>
  <c r="J340" i="3"/>
  <c r="B341" i="3"/>
  <c r="C341" i="3"/>
  <c r="D341" i="3"/>
  <c r="E341" i="3"/>
  <c r="F341" i="3"/>
  <c r="G341" i="3"/>
  <c r="H341" i="3"/>
  <c r="J341" i="3"/>
  <c r="B342" i="3"/>
  <c r="I342" i="3" s="1"/>
  <c r="C342" i="3"/>
  <c r="D342" i="3"/>
  <c r="E342" i="3"/>
  <c r="F342" i="3"/>
  <c r="G342" i="3"/>
  <c r="H342" i="3"/>
  <c r="J342" i="3"/>
  <c r="B343" i="3"/>
  <c r="C343" i="3"/>
  <c r="D343" i="3"/>
  <c r="E343" i="3"/>
  <c r="F343" i="3"/>
  <c r="G343" i="3"/>
  <c r="H343" i="3"/>
  <c r="J343" i="3"/>
  <c r="B344" i="3"/>
  <c r="C344" i="3"/>
  <c r="D344" i="3"/>
  <c r="E344" i="3"/>
  <c r="F344" i="3"/>
  <c r="G344" i="3"/>
  <c r="H344" i="3"/>
  <c r="J344" i="3"/>
  <c r="B345" i="3"/>
  <c r="C345" i="3"/>
  <c r="D345" i="3"/>
  <c r="E345" i="3"/>
  <c r="F345" i="3"/>
  <c r="G345" i="3"/>
  <c r="H345" i="3"/>
  <c r="J345" i="3"/>
  <c r="B346" i="3"/>
  <c r="C346" i="3"/>
  <c r="D346" i="3"/>
  <c r="E346" i="3"/>
  <c r="F346" i="3"/>
  <c r="G346" i="3"/>
  <c r="H346" i="3"/>
  <c r="J346" i="3"/>
  <c r="B347" i="3"/>
  <c r="I347" i="3" s="1"/>
  <c r="C347" i="3"/>
  <c r="D347" i="3"/>
  <c r="E347" i="3"/>
  <c r="F347" i="3"/>
  <c r="G347" i="3"/>
  <c r="H347" i="3"/>
  <c r="J347" i="3"/>
  <c r="B348" i="3"/>
  <c r="C348" i="3"/>
  <c r="D348" i="3"/>
  <c r="E348" i="3"/>
  <c r="F348" i="3"/>
  <c r="G348" i="3"/>
  <c r="H348" i="3"/>
  <c r="J348" i="3"/>
  <c r="B349" i="3"/>
  <c r="I349" i="3" s="1"/>
  <c r="C349" i="3"/>
  <c r="D349" i="3"/>
  <c r="E349" i="3"/>
  <c r="F349" i="3"/>
  <c r="G349" i="3"/>
  <c r="H349" i="3"/>
  <c r="J349" i="3"/>
  <c r="B350" i="3"/>
  <c r="I350" i="3" s="1"/>
  <c r="C350" i="3"/>
  <c r="D350" i="3"/>
  <c r="E350" i="3"/>
  <c r="F350" i="3"/>
  <c r="G350" i="3"/>
  <c r="H350" i="3"/>
  <c r="J350" i="3"/>
  <c r="B351" i="3"/>
  <c r="I351" i="3" s="1"/>
  <c r="C351" i="3"/>
  <c r="D351" i="3"/>
  <c r="E351" i="3"/>
  <c r="F351" i="3"/>
  <c r="G351" i="3"/>
  <c r="H351" i="3"/>
  <c r="J351" i="3"/>
  <c r="B352" i="3"/>
  <c r="I352" i="3" s="1"/>
  <c r="C352" i="3"/>
  <c r="D352" i="3"/>
  <c r="E352" i="3"/>
  <c r="F352" i="3"/>
  <c r="G352" i="3"/>
  <c r="H352" i="3"/>
  <c r="J352" i="3"/>
  <c r="B353" i="3"/>
  <c r="I353" i="3" s="1"/>
  <c r="C353" i="3"/>
  <c r="D353" i="3"/>
  <c r="E353" i="3"/>
  <c r="F353" i="3"/>
  <c r="G353" i="3"/>
  <c r="H353" i="3"/>
  <c r="J353" i="3"/>
  <c r="B354" i="3"/>
  <c r="I354" i="3" s="1"/>
  <c r="C354" i="3"/>
  <c r="D354" i="3"/>
  <c r="E354" i="3"/>
  <c r="F354" i="3"/>
  <c r="G354" i="3"/>
  <c r="H354" i="3"/>
  <c r="J354" i="3"/>
  <c r="B355" i="3"/>
  <c r="I355" i="3" s="1"/>
  <c r="C355" i="3"/>
  <c r="D355" i="3"/>
  <c r="E355" i="3"/>
  <c r="F355" i="3"/>
  <c r="G355" i="3"/>
  <c r="H355" i="3"/>
  <c r="J355" i="3"/>
  <c r="B356" i="3"/>
  <c r="I356" i="3" s="1"/>
  <c r="C356" i="3"/>
  <c r="D356" i="3"/>
  <c r="E356" i="3"/>
  <c r="F356" i="3"/>
  <c r="G356" i="3"/>
  <c r="H356" i="3"/>
  <c r="J356" i="3"/>
  <c r="B357" i="3"/>
  <c r="I357" i="3" s="1"/>
  <c r="C357" i="3"/>
  <c r="D357" i="3"/>
  <c r="E357" i="3"/>
  <c r="F357" i="3"/>
  <c r="G357" i="3"/>
  <c r="H357" i="3"/>
  <c r="J357" i="3"/>
  <c r="B358" i="3"/>
  <c r="C358" i="3"/>
  <c r="D358" i="3"/>
  <c r="E358" i="3"/>
  <c r="F358" i="3"/>
  <c r="G358" i="3"/>
  <c r="H358" i="3"/>
  <c r="J358" i="3"/>
  <c r="B359" i="3"/>
  <c r="I359" i="3" s="1"/>
  <c r="C359" i="3"/>
  <c r="D359" i="3"/>
  <c r="E359" i="3"/>
  <c r="F359" i="3"/>
  <c r="G359" i="3"/>
  <c r="H359" i="3"/>
  <c r="J359" i="3"/>
  <c r="B360" i="3"/>
  <c r="I360" i="3" s="1"/>
  <c r="C360" i="3"/>
  <c r="D360" i="3"/>
  <c r="E360" i="3"/>
  <c r="F360" i="3"/>
  <c r="G360" i="3"/>
  <c r="H360" i="3"/>
  <c r="J360" i="3"/>
  <c r="B361" i="3"/>
  <c r="C361" i="3"/>
  <c r="D361" i="3"/>
  <c r="E361" i="3"/>
  <c r="F361" i="3"/>
  <c r="G361" i="3"/>
  <c r="H361" i="3"/>
  <c r="J361" i="3"/>
  <c r="B362" i="3"/>
  <c r="I362" i="3" s="1"/>
  <c r="C362" i="3"/>
  <c r="D362" i="3"/>
  <c r="E362" i="3"/>
  <c r="F362" i="3"/>
  <c r="G362" i="3"/>
  <c r="H362" i="3"/>
  <c r="J362" i="3"/>
  <c r="B363" i="3"/>
  <c r="C363" i="3"/>
  <c r="D363" i="3"/>
  <c r="E363" i="3"/>
  <c r="F363" i="3"/>
  <c r="G363" i="3"/>
  <c r="H363" i="3"/>
  <c r="J363" i="3"/>
  <c r="B364" i="3"/>
  <c r="C364" i="3"/>
  <c r="D364" i="3"/>
  <c r="E364" i="3"/>
  <c r="F364" i="3"/>
  <c r="G364" i="3"/>
  <c r="H364" i="3"/>
  <c r="J364" i="3"/>
  <c r="B365" i="3"/>
  <c r="C365" i="3"/>
  <c r="D365" i="3"/>
  <c r="E365" i="3"/>
  <c r="F365" i="3"/>
  <c r="G365" i="3"/>
  <c r="H365" i="3"/>
  <c r="J365" i="3"/>
  <c r="B366" i="3"/>
  <c r="C366" i="3"/>
  <c r="D366" i="3"/>
  <c r="E366" i="3"/>
  <c r="F366" i="3"/>
  <c r="G366" i="3"/>
  <c r="H366" i="3"/>
  <c r="J366" i="3"/>
  <c r="B367" i="3"/>
  <c r="I367" i="3" s="1"/>
  <c r="C367" i="3"/>
  <c r="D367" i="3"/>
  <c r="E367" i="3"/>
  <c r="F367" i="3"/>
  <c r="G367" i="3"/>
  <c r="H367" i="3"/>
  <c r="J367" i="3"/>
  <c r="B368" i="3"/>
  <c r="C368" i="3"/>
  <c r="D368" i="3"/>
  <c r="E368" i="3"/>
  <c r="F368" i="3"/>
  <c r="G368" i="3"/>
  <c r="H368" i="3"/>
  <c r="J368" i="3"/>
  <c r="B369" i="3"/>
  <c r="I369" i="3" s="1"/>
  <c r="C369" i="3"/>
  <c r="D369" i="3"/>
  <c r="E369" i="3"/>
  <c r="F369" i="3"/>
  <c r="G369" i="3"/>
  <c r="H369" i="3"/>
  <c r="J369" i="3"/>
  <c r="B370" i="3"/>
  <c r="I370" i="3" s="1"/>
  <c r="C370" i="3"/>
  <c r="D370" i="3"/>
  <c r="E370" i="3"/>
  <c r="F370" i="3"/>
  <c r="G370" i="3"/>
  <c r="H370" i="3"/>
  <c r="J370" i="3"/>
  <c r="B371" i="3"/>
  <c r="I371" i="3" s="1"/>
  <c r="C371" i="3"/>
  <c r="D371" i="3"/>
  <c r="E371" i="3"/>
  <c r="F371" i="3"/>
  <c r="G371" i="3"/>
  <c r="H371" i="3"/>
  <c r="J371" i="3"/>
  <c r="B372" i="3"/>
  <c r="I372" i="3" s="1"/>
  <c r="C372" i="3"/>
  <c r="D372" i="3"/>
  <c r="E372" i="3"/>
  <c r="F372" i="3"/>
  <c r="G372" i="3"/>
  <c r="H372" i="3"/>
  <c r="J372" i="3"/>
  <c r="B373" i="3"/>
  <c r="I373" i="3" s="1"/>
  <c r="C373" i="3"/>
  <c r="D373" i="3"/>
  <c r="E373" i="3"/>
  <c r="F373" i="3"/>
  <c r="G373" i="3"/>
  <c r="H373" i="3"/>
  <c r="J373" i="3"/>
  <c r="B374" i="3"/>
  <c r="I374" i="3" s="1"/>
  <c r="C374" i="3"/>
  <c r="D374" i="3"/>
  <c r="E374" i="3"/>
  <c r="F374" i="3"/>
  <c r="G374" i="3"/>
  <c r="H374" i="3"/>
  <c r="J374" i="3"/>
  <c r="B375" i="3"/>
  <c r="I375" i="3" s="1"/>
  <c r="C375" i="3"/>
  <c r="D375" i="3"/>
  <c r="E375" i="3"/>
  <c r="F375" i="3"/>
  <c r="G375" i="3"/>
  <c r="H375" i="3"/>
  <c r="J375" i="3"/>
  <c r="B376" i="3"/>
  <c r="I376" i="3" s="1"/>
  <c r="C376" i="3"/>
  <c r="D376" i="3"/>
  <c r="E376" i="3"/>
  <c r="F376" i="3"/>
  <c r="G376" i="3"/>
  <c r="H376" i="3"/>
  <c r="J376" i="3"/>
  <c r="B377" i="3"/>
  <c r="I377" i="3" s="1"/>
  <c r="C377" i="3"/>
  <c r="D377" i="3"/>
  <c r="E377" i="3"/>
  <c r="F377" i="3"/>
  <c r="G377" i="3"/>
  <c r="H377" i="3"/>
  <c r="J377" i="3"/>
  <c r="B378" i="3"/>
  <c r="C378" i="3"/>
  <c r="D378" i="3"/>
  <c r="E378" i="3"/>
  <c r="F378" i="3"/>
  <c r="G378" i="3"/>
  <c r="H378" i="3"/>
  <c r="J378" i="3"/>
  <c r="B379" i="3"/>
  <c r="I379" i="3" s="1"/>
  <c r="C379" i="3"/>
  <c r="D379" i="3"/>
  <c r="E379" i="3"/>
  <c r="F379" i="3"/>
  <c r="G379" i="3"/>
  <c r="H379" i="3"/>
  <c r="J379" i="3"/>
  <c r="B380" i="3"/>
  <c r="I380" i="3" s="1"/>
  <c r="C380" i="3"/>
  <c r="D380" i="3"/>
  <c r="E380" i="3"/>
  <c r="F380" i="3"/>
  <c r="G380" i="3"/>
  <c r="H380" i="3"/>
  <c r="J380" i="3"/>
  <c r="B381" i="3"/>
  <c r="C381" i="3"/>
  <c r="D381" i="3"/>
  <c r="E381" i="3"/>
  <c r="F381" i="3"/>
  <c r="G381" i="3"/>
  <c r="H381" i="3"/>
  <c r="J381" i="3"/>
  <c r="B382" i="3"/>
  <c r="I382" i="3" s="1"/>
  <c r="C382" i="3"/>
  <c r="D382" i="3"/>
  <c r="E382" i="3"/>
  <c r="F382" i="3"/>
  <c r="G382" i="3"/>
  <c r="H382" i="3"/>
  <c r="J382" i="3"/>
  <c r="B383" i="3"/>
  <c r="C383" i="3"/>
  <c r="D383" i="3"/>
  <c r="E383" i="3"/>
  <c r="F383" i="3"/>
  <c r="G383" i="3"/>
  <c r="H383" i="3"/>
  <c r="J383" i="3"/>
  <c r="B384" i="3"/>
  <c r="C384" i="3"/>
  <c r="D384" i="3"/>
  <c r="E384" i="3"/>
  <c r="F384" i="3"/>
  <c r="G384" i="3"/>
  <c r="H384" i="3"/>
  <c r="J384" i="3"/>
  <c r="B385" i="3"/>
  <c r="C385" i="3"/>
  <c r="D385" i="3"/>
  <c r="E385" i="3"/>
  <c r="F385" i="3"/>
  <c r="G385" i="3"/>
  <c r="H385" i="3"/>
  <c r="J385" i="3"/>
  <c r="B386" i="3"/>
  <c r="C386" i="3"/>
  <c r="D386" i="3"/>
  <c r="E386" i="3"/>
  <c r="F386" i="3"/>
  <c r="G386" i="3"/>
  <c r="H386" i="3"/>
  <c r="J386" i="3"/>
  <c r="B387" i="3"/>
  <c r="I387" i="3" s="1"/>
  <c r="C387" i="3"/>
  <c r="D387" i="3"/>
  <c r="E387" i="3"/>
  <c r="F387" i="3"/>
  <c r="G387" i="3"/>
  <c r="H387" i="3"/>
  <c r="J387" i="3"/>
  <c r="B388" i="3"/>
  <c r="C388" i="3"/>
  <c r="D388" i="3"/>
  <c r="E388" i="3"/>
  <c r="F388" i="3"/>
  <c r="G388" i="3"/>
  <c r="H388" i="3"/>
  <c r="J388" i="3"/>
  <c r="B389" i="3"/>
  <c r="I389" i="3" s="1"/>
  <c r="C389" i="3"/>
  <c r="D389" i="3"/>
  <c r="E389" i="3"/>
  <c r="F389" i="3"/>
  <c r="G389" i="3"/>
  <c r="H389" i="3"/>
  <c r="J389" i="3"/>
  <c r="B390" i="3"/>
  <c r="I390" i="3" s="1"/>
  <c r="C390" i="3"/>
  <c r="D390" i="3"/>
  <c r="E390" i="3"/>
  <c r="F390" i="3"/>
  <c r="G390" i="3"/>
  <c r="H390" i="3"/>
  <c r="J390" i="3"/>
  <c r="B391" i="3"/>
  <c r="I391" i="3" s="1"/>
  <c r="C391" i="3"/>
  <c r="D391" i="3"/>
  <c r="E391" i="3"/>
  <c r="F391" i="3"/>
  <c r="G391" i="3"/>
  <c r="H391" i="3"/>
  <c r="J391" i="3"/>
  <c r="B392" i="3"/>
  <c r="I392" i="3" s="1"/>
  <c r="C392" i="3"/>
  <c r="D392" i="3"/>
  <c r="E392" i="3"/>
  <c r="F392" i="3"/>
  <c r="G392" i="3"/>
  <c r="H392" i="3"/>
  <c r="J392" i="3"/>
  <c r="B393" i="3"/>
  <c r="I393" i="3" s="1"/>
  <c r="C393" i="3"/>
  <c r="D393" i="3"/>
  <c r="E393" i="3"/>
  <c r="F393" i="3"/>
  <c r="G393" i="3"/>
  <c r="H393" i="3"/>
  <c r="J393" i="3"/>
  <c r="B394" i="3"/>
  <c r="I394" i="3" s="1"/>
  <c r="C394" i="3"/>
  <c r="D394" i="3"/>
  <c r="E394" i="3"/>
  <c r="F394" i="3"/>
  <c r="G394" i="3"/>
  <c r="H394" i="3"/>
  <c r="J394" i="3"/>
  <c r="B395" i="3"/>
  <c r="I395" i="3" s="1"/>
  <c r="C395" i="3"/>
  <c r="D395" i="3"/>
  <c r="E395" i="3"/>
  <c r="F395" i="3"/>
  <c r="G395" i="3"/>
  <c r="H395" i="3"/>
  <c r="J395" i="3"/>
  <c r="B396" i="3"/>
  <c r="I396" i="3" s="1"/>
  <c r="C396" i="3"/>
  <c r="D396" i="3"/>
  <c r="E396" i="3"/>
  <c r="F396" i="3"/>
  <c r="G396" i="3"/>
  <c r="H396" i="3"/>
  <c r="J396" i="3"/>
  <c r="B397" i="3"/>
  <c r="I397" i="3" s="1"/>
  <c r="C397" i="3"/>
  <c r="D397" i="3"/>
  <c r="E397" i="3"/>
  <c r="F397" i="3"/>
  <c r="G397" i="3"/>
  <c r="H397" i="3"/>
  <c r="J397" i="3"/>
  <c r="B398" i="3"/>
  <c r="C398" i="3"/>
  <c r="D398" i="3"/>
  <c r="E398" i="3"/>
  <c r="F398" i="3"/>
  <c r="G398" i="3"/>
  <c r="H398" i="3"/>
  <c r="J398" i="3"/>
  <c r="B399" i="3"/>
  <c r="I399" i="3" s="1"/>
  <c r="C399" i="3"/>
  <c r="D399" i="3"/>
  <c r="E399" i="3"/>
  <c r="F399" i="3"/>
  <c r="G399" i="3"/>
  <c r="H399" i="3"/>
  <c r="J399" i="3"/>
  <c r="B400" i="3"/>
  <c r="I400" i="3" s="1"/>
  <c r="C400" i="3"/>
  <c r="D400" i="3"/>
  <c r="E400" i="3"/>
  <c r="F400" i="3"/>
  <c r="G400" i="3"/>
  <c r="H400" i="3"/>
  <c r="J400" i="3"/>
  <c r="B401" i="3"/>
  <c r="C401" i="3"/>
  <c r="D401" i="3"/>
  <c r="E401" i="3"/>
  <c r="F401" i="3"/>
  <c r="G401" i="3"/>
  <c r="H401" i="3"/>
  <c r="J401" i="3"/>
  <c r="B402" i="3"/>
  <c r="I402" i="3" s="1"/>
  <c r="C402" i="3"/>
  <c r="D402" i="3"/>
  <c r="E402" i="3"/>
  <c r="F402" i="3"/>
  <c r="G402" i="3"/>
  <c r="H402" i="3"/>
  <c r="J402" i="3"/>
  <c r="B403" i="3"/>
  <c r="C403" i="3"/>
  <c r="D403" i="3"/>
  <c r="E403" i="3"/>
  <c r="F403" i="3"/>
  <c r="G403" i="3"/>
  <c r="H403" i="3"/>
  <c r="J403" i="3"/>
  <c r="B404" i="3"/>
  <c r="C404" i="3"/>
  <c r="D404" i="3"/>
  <c r="E404" i="3"/>
  <c r="F404" i="3"/>
  <c r="G404" i="3"/>
  <c r="H404" i="3"/>
  <c r="J404" i="3"/>
  <c r="B405" i="3"/>
  <c r="C405" i="3"/>
  <c r="D405" i="3"/>
  <c r="E405" i="3"/>
  <c r="F405" i="3"/>
  <c r="G405" i="3"/>
  <c r="H405" i="3"/>
  <c r="J405" i="3"/>
  <c r="B406" i="3"/>
  <c r="C406" i="3"/>
  <c r="D406" i="3"/>
  <c r="E406" i="3"/>
  <c r="F406" i="3"/>
  <c r="G406" i="3"/>
  <c r="H406" i="3"/>
  <c r="J406" i="3"/>
  <c r="B407" i="3"/>
  <c r="I407" i="3" s="1"/>
  <c r="C407" i="3"/>
  <c r="D407" i="3"/>
  <c r="E407" i="3"/>
  <c r="F407" i="3"/>
  <c r="G407" i="3"/>
  <c r="H407" i="3"/>
  <c r="J407" i="3"/>
  <c r="B408" i="3"/>
  <c r="C408" i="3"/>
  <c r="D408" i="3"/>
  <c r="E408" i="3"/>
  <c r="F408" i="3"/>
  <c r="G408" i="3"/>
  <c r="H408" i="3"/>
  <c r="J408" i="3"/>
  <c r="B409" i="3"/>
  <c r="I409" i="3" s="1"/>
  <c r="C409" i="3"/>
  <c r="D409" i="3"/>
  <c r="E409" i="3"/>
  <c r="F409" i="3"/>
  <c r="G409" i="3"/>
  <c r="H409" i="3"/>
  <c r="J409" i="3"/>
  <c r="B410" i="3"/>
  <c r="I410" i="3" s="1"/>
  <c r="C410" i="3"/>
  <c r="D410" i="3"/>
  <c r="E410" i="3"/>
  <c r="F410" i="3"/>
  <c r="G410" i="3"/>
  <c r="H410" i="3"/>
  <c r="J410" i="3"/>
  <c r="B411" i="3"/>
  <c r="I411" i="3" s="1"/>
  <c r="C411" i="3"/>
  <c r="D411" i="3"/>
  <c r="E411" i="3"/>
  <c r="F411" i="3"/>
  <c r="G411" i="3"/>
  <c r="H411" i="3"/>
  <c r="J411" i="3"/>
  <c r="B412" i="3"/>
  <c r="I412" i="3" s="1"/>
  <c r="C412" i="3"/>
  <c r="D412" i="3"/>
  <c r="E412" i="3"/>
  <c r="F412" i="3"/>
  <c r="G412" i="3"/>
  <c r="H412" i="3"/>
  <c r="J412" i="3"/>
  <c r="B413" i="3"/>
  <c r="I413" i="3" s="1"/>
  <c r="C413" i="3"/>
  <c r="D413" i="3"/>
  <c r="E413" i="3"/>
  <c r="F413" i="3"/>
  <c r="G413" i="3"/>
  <c r="H413" i="3"/>
  <c r="J413" i="3"/>
  <c r="B414" i="3"/>
  <c r="I414" i="3" s="1"/>
  <c r="C414" i="3"/>
  <c r="D414" i="3"/>
  <c r="E414" i="3"/>
  <c r="F414" i="3"/>
  <c r="G414" i="3"/>
  <c r="H414" i="3"/>
  <c r="J414" i="3"/>
  <c r="B415" i="3"/>
  <c r="I415" i="3" s="1"/>
  <c r="C415" i="3"/>
  <c r="D415" i="3"/>
  <c r="E415" i="3"/>
  <c r="F415" i="3"/>
  <c r="G415" i="3"/>
  <c r="H415" i="3"/>
  <c r="J415" i="3"/>
  <c r="B416" i="3"/>
  <c r="I416" i="3" s="1"/>
  <c r="C416" i="3"/>
  <c r="D416" i="3"/>
  <c r="E416" i="3"/>
  <c r="F416" i="3"/>
  <c r="G416" i="3"/>
  <c r="H416" i="3"/>
  <c r="J416" i="3"/>
  <c r="B417" i="3"/>
  <c r="I417" i="3" s="1"/>
  <c r="C417" i="3"/>
  <c r="D417" i="3"/>
  <c r="E417" i="3"/>
  <c r="F417" i="3"/>
  <c r="G417" i="3"/>
  <c r="H417" i="3"/>
  <c r="J417" i="3"/>
  <c r="B418" i="3"/>
  <c r="C418" i="3"/>
  <c r="D418" i="3"/>
  <c r="E418" i="3"/>
  <c r="F418" i="3"/>
  <c r="G418" i="3"/>
  <c r="H418" i="3"/>
  <c r="J418" i="3"/>
  <c r="B419" i="3"/>
  <c r="I419" i="3" s="1"/>
  <c r="C419" i="3"/>
  <c r="D419" i="3"/>
  <c r="E419" i="3"/>
  <c r="F419" i="3"/>
  <c r="G419" i="3"/>
  <c r="H419" i="3"/>
  <c r="J419" i="3"/>
  <c r="B420" i="3"/>
  <c r="I420" i="3" s="1"/>
  <c r="C420" i="3"/>
  <c r="D420" i="3"/>
  <c r="E420" i="3"/>
  <c r="F420" i="3"/>
  <c r="G420" i="3"/>
  <c r="H420" i="3"/>
  <c r="J420" i="3"/>
  <c r="B421" i="3"/>
  <c r="C421" i="3"/>
  <c r="D421" i="3"/>
  <c r="E421" i="3"/>
  <c r="F421" i="3"/>
  <c r="G421" i="3"/>
  <c r="H421" i="3"/>
  <c r="J421" i="3"/>
  <c r="B422" i="3"/>
  <c r="I422" i="3" s="1"/>
  <c r="C422" i="3"/>
  <c r="D422" i="3"/>
  <c r="E422" i="3"/>
  <c r="F422" i="3"/>
  <c r="G422" i="3"/>
  <c r="H422" i="3"/>
  <c r="J422" i="3"/>
  <c r="B423" i="3"/>
  <c r="C423" i="3"/>
  <c r="D423" i="3"/>
  <c r="E423" i="3"/>
  <c r="F423" i="3"/>
  <c r="G423" i="3"/>
  <c r="H423" i="3"/>
  <c r="J423" i="3"/>
  <c r="B424" i="3"/>
  <c r="C424" i="3"/>
  <c r="D424" i="3"/>
  <c r="E424" i="3"/>
  <c r="F424" i="3"/>
  <c r="G424" i="3"/>
  <c r="H424" i="3"/>
  <c r="J424" i="3"/>
  <c r="B425" i="3"/>
  <c r="C425" i="3"/>
  <c r="D425" i="3"/>
  <c r="E425" i="3"/>
  <c r="F425" i="3"/>
  <c r="G425" i="3"/>
  <c r="H425" i="3"/>
  <c r="J425" i="3"/>
  <c r="B426" i="3"/>
  <c r="C426" i="3"/>
  <c r="D426" i="3"/>
  <c r="E426" i="3"/>
  <c r="F426" i="3"/>
  <c r="G426" i="3"/>
  <c r="H426" i="3"/>
  <c r="J426" i="3"/>
  <c r="B427" i="3"/>
  <c r="I427" i="3" s="1"/>
  <c r="C427" i="3"/>
  <c r="D427" i="3"/>
  <c r="E427" i="3"/>
  <c r="F427" i="3"/>
  <c r="G427" i="3"/>
  <c r="H427" i="3"/>
  <c r="J427" i="3"/>
  <c r="B428" i="3"/>
  <c r="C428" i="3"/>
  <c r="D428" i="3"/>
  <c r="E428" i="3"/>
  <c r="F428" i="3"/>
  <c r="G428" i="3"/>
  <c r="H428" i="3"/>
  <c r="J428" i="3"/>
  <c r="B429" i="3"/>
  <c r="I429" i="3" s="1"/>
  <c r="C429" i="3"/>
  <c r="D429" i="3"/>
  <c r="E429" i="3"/>
  <c r="F429" i="3"/>
  <c r="G429" i="3"/>
  <c r="H429" i="3"/>
  <c r="J429" i="3"/>
  <c r="B430" i="3"/>
  <c r="I430" i="3" s="1"/>
  <c r="C430" i="3"/>
  <c r="D430" i="3"/>
  <c r="E430" i="3"/>
  <c r="F430" i="3"/>
  <c r="G430" i="3"/>
  <c r="H430" i="3"/>
  <c r="J430" i="3"/>
  <c r="B431" i="3"/>
  <c r="I431" i="3" s="1"/>
  <c r="C431" i="3"/>
  <c r="D431" i="3"/>
  <c r="E431" i="3"/>
  <c r="F431" i="3"/>
  <c r="G431" i="3"/>
  <c r="H431" i="3"/>
  <c r="J431" i="3"/>
  <c r="B432" i="3"/>
  <c r="I432" i="3" s="1"/>
  <c r="C432" i="3"/>
  <c r="D432" i="3"/>
  <c r="E432" i="3"/>
  <c r="F432" i="3"/>
  <c r="G432" i="3"/>
  <c r="H432" i="3"/>
  <c r="J432" i="3"/>
  <c r="B433" i="3"/>
  <c r="I433" i="3" s="1"/>
  <c r="C433" i="3"/>
  <c r="D433" i="3"/>
  <c r="E433" i="3"/>
  <c r="F433" i="3"/>
  <c r="G433" i="3"/>
  <c r="H433" i="3"/>
  <c r="J433" i="3"/>
  <c r="B434" i="3"/>
  <c r="I434" i="3" s="1"/>
  <c r="C434" i="3"/>
  <c r="D434" i="3"/>
  <c r="E434" i="3"/>
  <c r="F434" i="3"/>
  <c r="G434" i="3"/>
  <c r="H434" i="3"/>
  <c r="J434" i="3"/>
  <c r="B435" i="3"/>
  <c r="I435" i="3" s="1"/>
  <c r="C435" i="3"/>
  <c r="D435" i="3"/>
  <c r="E435" i="3"/>
  <c r="F435" i="3"/>
  <c r="G435" i="3"/>
  <c r="H435" i="3"/>
  <c r="J435" i="3"/>
  <c r="B436" i="3"/>
  <c r="I436" i="3" s="1"/>
  <c r="C436" i="3"/>
  <c r="D436" i="3"/>
  <c r="E436" i="3"/>
  <c r="F436" i="3"/>
  <c r="G436" i="3"/>
  <c r="H436" i="3"/>
  <c r="J436" i="3"/>
  <c r="B437" i="3"/>
  <c r="I437" i="3" s="1"/>
  <c r="C437" i="3"/>
  <c r="D437" i="3"/>
  <c r="E437" i="3"/>
  <c r="F437" i="3"/>
  <c r="G437" i="3"/>
  <c r="H437" i="3"/>
  <c r="J437" i="3"/>
  <c r="B438" i="3"/>
  <c r="C438" i="3"/>
  <c r="D438" i="3"/>
  <c r="E438" i="3"/>
  <c r="F438" i="3"/>
  <c r="G438" i="3"/>
  <c r="H438" i="3"/>
  <c r="J438" i="3"/>
  <c r="B439" i="3"/>
  <c r="I439" i="3" s="1"/>
  <c r="C439" i="3"/>
  <c r="D439" i="3"/>
  <c r="E439" i="3"/>
  <c r="F439" i="3"/>
  <c r="G439" i="3"/>
  <c r="H439" i="3"/>
  <c r="J439" i="3"/>
  <c r="B440" i="3"/>
  <c r="I440" i="3" s="1"/>
  <c r="C440" i="3"/>
  <c r="D440" i="3"/>
  <c r="E440" i="3"/>
  <c r="F440" i="3"/>
  <c r="G440" i="3"/>
  <c r="H440" i="3"/>
  <c r="J440" i="3"/>
  <c r="B441" i="3"/>
  <c r="C441" i="3"/>
  <c r="D441" i="3"/>
  <c r="E441" i="3"/>
  <c r="F441" i="3"/>
  <c r="G441" i="3"/>
  <c r="H441" i="3"/>
  <c r="J441" i="3"/>
  <c r="B442" i="3"/>
  <c r="I442" i="3" s="1"/>
  <c r="C442" i="3"/>
  <c r="D442" i="3"/>
  <c r="E442" i="3"/>
  <c r="F442" i="3"/>
  <c r="G442" i="3"/>
  <c r="H442" i="3"/>
  <c r="J442" i="3"/>
  <c r="B443" i="3"/>
  <c r="C443" i="3"/>
  <c r="D443" i="3"/>
  <c r="E443" i="3"/>
  <c r="F443" i="3"/>
  <c r="G443" i="3"/>
  <c r="H443" i="3"/>
  <c r="J443" i="3"/>
  <c r="B444" i="3"/>
  <c r="C444" i="3"/>
  <c r="D444" i="3"/>
  <c r="E444" i="3"/>
  <c r="F444" i="3"/>
  <c r="G444" i="3"/>
  <c r="H444" i="3"/>
  <c r="J444" i="3"/>
  <c r="B445" i="3"/>
  <c r="C445" i="3"/>
  <c r="D445" i="3"/>
  <c r="E445" i="3"/>
  <c r="F445" i="3"/>
  <c r="G445" i="3"/>
  <c r="H445" i="3"/>
  <c r="J445" i="3"/>
  <c r="B446" i="3"/>
  <c r="C446" i="3"/>
  <c r="D446" i="3"/>
  <c r="E446" i="3"/>
  <c r="F446" i="3"/>
  <c r="G446" i="3"/>
  <c r="H446" i="3"/>
  <c r="J446" i="3"/>
  <c r="B447" i="3"/>
  <c r="I447" i="3" s="1"/>
  <c r="C447" i="3"/>
  <c r="D447" i="3"/>
  <c r="E447" i="3"/>
  <c r="F447" i="3"/>
  <c r="G447" i="3"/>
  <c r="H447" i="3"/>
  <c r="J447" i="3"/>
  <c r="B448" i="3"/>
  <c r="C448" i="3"/>
  <c r="D448" i="3"/>
  <c r="E448" i="3"/>
  <c r="F448" i="3"/>
  <c r="G448" i="3"/>
  <c r="H448" i="3"/>
  <c r="J448" i="3"/>
  <c r="J3" i="3"/>
  <c r="H3" i="3"/>
  <c r="G3" i="3"/>
  <c r="F3" i="3"/>
  <c r="E3" i="3"/>
  <c r="D3" i="3"/>
  <c r="C3" i="3"/>
  <c r="B3" i="3"/>
  <c r="I3" i="3" s="1"/>
  <c r="V50" i="4" l="1"/>
  <c r="V402" i="4"/>
  <c r="V323" i="4"/>
  <c r="V347" i="4"/>
  <c r="V71" i="4"/>
  <c r="V455" i="4"/>
  <c r="V344" i="4"/>
  <c r="V408" i="4"/>
  <c r="V82" i="4"/>
  <c r="V11" i="4"/>
  <c r="V426" i="4"/>
  <c r="V397" i="4"/>
  <c r="V401" i="4"/>
  <c r="V291" i="4"/>
  <c r="V432" i="4"/>
  <c r="V447" i="4"/>
  <c r="V460" i="4"/>
  <c r="V451" i="4"/>
  <c r="V3" i="4"/>
  <c r="V449" i="4"/>
  <c r="V79" i="4"/>
  <c r="V39" i="4"/>
  <c r="V22" i="4"/>
  <c r="V331" i="4"/>
  <c r="V133" i="4"/>
  <c r="V119" i="4"/>
  <c r="V158" i="4"/>
  <c r="V144" i="4"/>
  <c r="V130" i="4"/>
  <c r="V113" i="4"/>
  <c r="W370" i="4"/>
  <c r="V412" i="4"/>
  <c r="V282" i="4"/>
  <c r="V166" i="4"/>
  <c r="V152" i="4"/>
  <c r="W337" i="4"/>
  <c r="V299" i="4"/>
  <c r="V381" i="4"/>
  <c r="V457" i="4"/>
  <c r="V304" i="4"/>
  <c r="V293" i="4"/>
  <c r="V211" i="4"/>
  <c r="V197" i="4"/>
  <c r="W188" i="4"/>
  <c r="V446" i="4"/>
  <c r="V222" i="4"/>
  <c r="V177" i="4"/>
  <c r="V208" i="4"/>
  <c r="W350" i="4"/>
  <c r="V192" i="4"/>
  <c r="V164" i="4"/>
  <c r="V90" i="4"/>
  <c r="W290" i="4"/>
  <c r="W190" i="4"/>
  <c r="W120" i="4"/>
  <c r="W111" i="4"/>
  <c r="W108" i="4"/>
  <c r="W91" i="4"/>
  <c r="V58" i="4"/>
  <c r="W55" i="4"/>
  <c r="V238" i="4"/>
  <c r="V168" i="4"/>
  <c r="V361" i="4"/>
  <c r="V19" i="4"/>
  <c r="W52" i="4"/>
  <c r="V30" i="4"/>
  <c r="V382" i="4"/>
  <c r="V373" i="4"/>
  <c r="V193" i="4"/>
  <c r="W49" i="4"/>
  <c r="V332" i="4"/>
  <c r="V410" i="4"/>
  <c r="V353" i="4"/>
  <c r="V317" i="4"/>
  <c r="V413" i="4"/>
  <c r="V63" i="4"/>
  <c r="W435" i="4"/>
  <c r="V419" i="4"/>
  <c r="V366" i="4"/>
  <c r="V357" i="4"/>
  <c r="V38" i="4"/>
  <c r="W392" i="4"/>
  <c r="W41" i="4"/>
  <c r="V351" i="4"/>
  <c r="W448" i="4"/>
  <c r="W35" i="4"/>
  <c r="V444" i="4"/>
  <c r="V436" i="4"/>
  <c r="V352" i="4"/>
  <c r="V325" i="4"/>
  <c r="V442" i="4"/>
  <c r="V250" i="4"/>
  <c r="V153" i="4"/>
  <c r="V117" i="4"/>
  <c r="V106" i="4"/>
  <c r="V83" i="4"/>
  <c r="V42" i="4"/>
  <c r="W398" i="4"/>
  <c r="W434" i="4"/>
  <c r="W415" i="4"/>
  <c r="W375" i="4"/>
  <c r="W384" i="4"/>
  <c r="W289" i="4"/>
  <c r="W189" i="4"/>
  <c r="W112" i="4"/>
  <c r="W431" i="4"/>
  <c r="W390" i="4"/>
  <c r="W453" i="4"/>
  <c r="W355" i="4"/>
  <c r="W44" i="4"/>
  <c r="W445" i="4"/>
  <c r="W288" i="4"/>
  <c r="W427" i="4"/>
  <c r="W428" i="4"/>
  <c r="W414" i="4"/>
  <c r="W334" i="4"/>
  <c r="W363" i="4"/>
  <c r="W270" i="4"/>
  <c r="W185" i="4"/>
  <c r="W109" i="4"/>
  <c r="V416" i="4"/>
  <c r="V399" i="4"/>
  <c r="V383" i="4"/>
  <c r="V266" i="4"/>
  <c r="V258" i="4"/>
  <c r="V122" i="4"/>
  <c r="V66" i="4"/>
  <c r="W389" i="4"/>
  <c r="W404" i="4"/>
  <c r="W411" i="4"/>
  <c r="W369" i="4"/>
  <c r="W77" i="4"/>
  <c r="W456" i="4"/>
  <c r="W333" i="4"/>
  <c r="W269" i="4"/>
  <c r="W170" i="4"/>
  <c r="W48" i="4"/>
  <c r="W388" i="4"/>
  <c r="W265" i="4"/>
  <c r="W169" i="4"/>
  <c r="W100" i="4"/>
  <c r="W47" i="4"/>
  <c r="W387" i="4"/>
  <c r="W339" i="4"/>
  <c r="W376" i="4"/>
  <c r="W374" i="4"/>
  <c r="W324" i="4"/>
  <c r="W407" i="4"/>
  <c r="W371" i="4"/>
  <c r="W134" i="4"/>
  <c r="W422" i="4"/>
  <c r="W358" i="4"/>
  <c r="W249" i="4"/>
  <c r="W94" i="4"/>
  <c r="W452" i="4"/>
  <c r="W425" i="4"/>
  <c r="W458" i="4"/>
  <c r="W386" i="4"/>
  <c r="W421" i="4"/>
  <c r="W443" i="4"/>
  <c r="W391" i="4"/>
  <c r="W248" i="4"/>
  <c r="W165" i="4"/>
  <c r="V468" i="4"/>
  <c r="V362" i="4"/>
  <c r="V368" i="4"/>
  <c r="V418" i="4"/>
  <c r="V423" i="4"/>
  <c r="V377" i="4"/>
  <c r="V312" i="4"/>
  <c r="W354" i="4"/>
  <c r="W349" i="4"/>
  <c r="W342" i="4"/>
  <c r="W424" i="4"/>
  <c r="W359" i="4"/>
  <c r="W245" i="4"/>
  <c r="W160" i="4"/>
  <c r="V438" i="4"/>
  <c r="V336" i="4"/>
  <c r="V327" i="4"/>
  <c r="V279" i="4"/>
  <c r="V246" i="4"/>
  <c r="W417" i="4"/>
  <c r="W364" i="4"/>
  <c r="W395" i="4"/>
  <c r="W326" i="4"/>
  <c r="W329" i="4"/>
  <c r="W330" i="4"/>
  <c r="W343" i="4"/>
  <c r="W240" i="4"/>
  <c r="W150" i="4"/>
  <c r="W89" i="4"/>
  <c r="W319" i="4"/>
  <c r="W394" i="4"/>
  <c r="W148" i="4"/>
  <c r="W88" i="4"/>
  <c r="W34" i="4"/>
  <c r="V406" i="4"/>
  <c r="W380" i="4"/>
  <c r="W356" i="4"/>
  <c r="W322" i="4"/>
  <c r="W441" i="4"/>
  <c r="W229" i="4"/>
  <c r="W145" i="4"/>
  <c r="V462" i="4"/>
  <c r="V396" i="4"/>
  <c r="V372" i="4"/>
  <c r="V341" i="4"/>
  <c r="V84" i="4"/>
  <c r="V43" i="4"/>
  <c r="W2" i="4"/>
  <c r="W385" i="4"/>
  <c r="W228" i="4"/>
  <c r="W76" i="4"/>
  <c r="W29" i="4"/>
  <c r="V348" i="4"/>
  <c r="V338" i="4"/>
  <c r="V262" i="4"/>
  <c r="V92" i="4"/>
  <c r="V51" i="4"/>
  <c r="V10" i="4"/>
  <c r="W464" i="4"/>
  <c r="W379" i="4"/>
  <c r="W335" i="4"/>
  <c r="W225" i="4"/>
  <c r="W140" i="4"/>
  <c r="V430" i="4"/>
  <c r="V59" i="4"/>
  <c r="W328" i="4"/>
  <c r="W454" i="4"/>
  <c r="W440" i="4"/>
  <c r="W420" i="4"/>
  <c r="W320" i="4"/>
  <c r="W316" i="4"/>
  <c r="W220" i="4"/>
  <c r="W136" i="4"/>
  <c r="W68" i="4"/>
  <c r="W21" i="4"/>
  <c r="V259" i="4"/>
  <c r="V237" i="4"/>
  <c r="V173" i="4"/>
  <c r="V137" i="4"/>
  <c r="V104" i="4"/>
  <c r="V18" i="4"/>
  <c r="W393" i="4"/>
  <c r="W346" i="4"/>
  <c r="W365" i="4"/>
  <c r="W400" i="4"/>
  <c r="W403" i="4"/>
  <c r="W360" i="4"/>
  <c r="W310" i="4"/>
  <c r="W209" i="4"/>
  <c r="W439" i="4"/>
  <c r="V311" i="4"/>
  <c r="V184" i="4"/>
  <c r="V26" i="4"/>
  <c r="W409" i="4"/>
  <c r="W345" i="4"/>
  <c r="W378" i="4"/>
  <c r="W340" i="4"/>
  <c r="W321" i="4"/>
  <c r="W450" i="4"/>
  <c r="W309" i="4"/>
  <c r="V318" i="4"/>
  <c r="V367" i="4"/>
  <c r="V278" i="4"/>
  <c r="W308" i="4"/>
  <c r="W205" i="4"/>
  <c r="W129" i="4"/>
  <c r="W60" i="4"/>
  <c r="V286" i="4"/>
  <c r="V264" i="4"/>
  <c r="V242" i="4"/>
  <c r="V217" i="4"/>
  <c r="W405" i="4"/>
  <c r="W437" i="4"/>
  <c r="W300" i="4"/>
  <c r="W200" i="4"/>
  <c r="W128" i="4"/>
  <c r="W9" i="4"/>
  <c r="W467" i="4"/>
  <c r="W466" i="4"/>
  <c r="W465" i="4"/>
  <c r="W463" i="4"/>
  <c r="W461" i="4"/>
  <c r="W429" i="4"/>
  <c r="W433" i="4"/>
  <c r="W149" i="4"/>
  <c r="V206" i="4"/>
  <c r="W307" i="4"/>
  <c r="W287" i="4"/>
  <c r="W267" i="4"/>
  <c r="W247" i="4"/>
  <c r="W227" i="4"/>
  <c r="W207" i="4"/>
  <c r="W187" i="4"/>
  <c r="W167" i="4"/>
  <c r="W147" i="4"/>
  <c r="W268" i="4"/>
  <c r="V251" i="4"/>
  <c r="V198" i="4"/>
  <c r="V272" i="4"/>
  <c r="V219" i="4"/>
  <c r="V182" i="4"/>
  <c r="W306" i="4"/>
  <c r="W226" i="4"/>
  <c r="W186" i="4"/>
  <c r="W146" i="4"/>
  <c r="W305" i="4"/>
  <c r="W210" i="4"/>
  <c r="W285" i="4"/>
  <c r="V232" i="4"/>
  <c r="V179" i="4"/>
  <c r="V142" i="4"/>
  <c r="W284" i="4"/>
  <c r="W244" i="4"/>
  <c r="W224" i="4"/>
  <c r="W204" i="4"/>
  <c r="V277" i="4"/>
  <c r="V253" i="4"/>
  <c r="V171" i="4"/>
  <c r="W303" i="4"/>
  <c r="W283" i="4"/>
  <c r="W263" i="4"/>
  <c r="W243" i="4"/>
  <c r="W223" i="4"/>
  <c r="W203" i="4"/>
  <c r="W183" i="4"/>
  <c r="W163" i="4"/>
  <c r="W143" i="4"/>
  <c r="V139" i="4"/>
  <c r="W302" i="4"/>
  <c r="W202" i="4"/>
  <c r="W162" i="4"/>
  <c r="W301" i="4"/>
  <c r="W281" i="4"/>
  <c r="W261" i="4"/>
  <c r="W241" i="4"/>
  <c r="W221" i="4"/>
  <c r="W201" i="4"/>
  <c r="W181" i="4"/>
  <c r="W161" i="4"/>
  <c r="W141" i="4"/>
  <c r="W180" i="4"/>
  <c r="W239" i="4"/>
  <c r="W199" i="4"/>
  <c r="W159" i="4"/>
  <c r="V271" i="4"/>
  <c r="V218" i="4"/>
  <c r="W178" i="4"/>
  <c r="W138" i="4"/>
  <c r="V292" i="4"/>
  <c r="V157" i="4"/>
  <c r="W297" i="4"/>
  <c r="W257" i="4"/>
  <c r="V231" i="4"/>
  <c r="W296" i="4"/>
  <c r="W276" i="4"/>
  <c r="W256" i="4"/>
  <c r="W236" i="4"/>
  <c r="W216" i="4"/>
  <c r="W196" i="4"/>
  <c r="W176" i="4"/>
  <c r="W156" i="4"/>
  <c r="W280" i="4"/>
  <c r="V313" i="4"/>
  <c r="V252" i="4"/>
  <c r="W315" i="4"/>
  <c r="W295" i="4"/>
  <c r="W275" i="4"/>
  <c r="W255" i="4"/>
  <c r="W235" i="4"/>
  <c r="W215" i="4"/>
  <c r="W195" i="4"/>
  <c r="W175" i="4"/>
  <c r="W155" i="4"/>
  <c r="W135" i="4"/>
  <c r="V273" i="4"/>
  <c r="V191" i="4"/>
  <c r="W314" i="4"/>
  <c r="W294" i="4"/>
  <c r="W274" i="4"/>
  <c r="W254" i="4"/>
  <c r="W234" i="4"/>
  <c r="W214" i="4"/>
  <c r="W194" i="4"/>
  <c r="W174" i="4"/>
  <c r="W154" i="4"/>
  <c r="V212" i="4"/>
  <c r="W233" i="4"/>
  <c r="W260" i="4"/>
  <c r="V151" i="4"/>
  <c r="W172" i="4"/>
  <c r="W40" i="4"/>
  <c r="W20" i="4"/>
  <c r="V32" i="4"/>
  <c r="V24" i="4"/>
  <c r="W37" i="4"/>
  <c r="W17" i="4"/>
  <c r="W36" i="4"/>
  <c r="W16" i="4"/>
  <c r="V13" i="4"/>
  <c r="W14" i="4"/>
  <c r="W15" i="4"/>
  <c r="W33" i="4"/>
  <c r="W12" i="4"/>
  <c r="W31" i="4"/>
  <c r="W28" i="4"/>
  <c r="W8" i="4"/>
  <c r="V23" i="4"/>
  <c r="W27" i="4"/>
  <c r="W7" i="4"/>
  <c r="V4" i="4"/>
  <c r="W25" i="4"/>
  <c r="W5" i="4"/>
  <c r="W102" i="4"/>
  <c r="W62" i="4"/>
  <c r="W121" i="4"/>
  <c r="W101" i="4"/>
  <c r="W81" i="4"/>
  <c r="W61" i="4"/>
  <c r="W80" i="4"/>
  <c r="V126" i="4"/>
  <c r="V72" i="4"/>
  <c r="V64" i="4"/>
  <c r="W99" i="4"/>
  <c r="V118" i="4"/>
  <c r="V93" i="4"/>
  <c r="W78" i="4"/>
  <c r="V110" i="4"/>
  <c r="W97" i="4"/>
  <c r="W459" i="4"/>
  <c r="W57" i="4"/>
  <c r="V131" i="4"/>
  <c r="V123" i="4"/>
  <c r="V53" i="4"/>
  <c r="W116" i="4"/>
  <c r="W96" i="4"/>
  <c r="W56" i="4"/>
  <c r="W115" i="4"/>
  <c r="W95" i="4"/>
  <c r="W75" i="4"/>
  <c r="W114" i="4"/>
  <c r="W74" i="4"/>
  <c r="W54" i="4"/>
  <c r="W73" i="4"/>
  <c r="W132" i="4"/>
  <c r="W70" i="4"/>
  <c r="W127" i="4"/>
  <c r="W107" i="4"/>
  <c r="W87" i="4"/>
  <c r="W67" i="4"/>
  <c r="W86" i="4"/>
  <c r="W46" i="4"/>
  <c r="V103" i="4"/>
  <c r="W125" i="4"/>
  <c r="W105" i="4"/>
  <c r="W85" i="4"/>
  <c r="W65" i="4"/>
  <c r="W45" i="4"/>
  <c r="V124" i="4"/>
  <c r="W69" i="4"/>
</calcChain>
</file>

<file path=xl/sharedStrings.xml><?xml version="1.0" encoding="utf-8"?>
<sst xmlns="http://schemas.openxmlformats.org/spreadsheetml/2006/main" count="32936" uniqueCount="6394">
  <si>
    <t>EBTAQ25-06.001</t>
  </si>
  <si>
    <t>SITI NUR SALSABILA</t>
  </si>
  <si>
    <t>Perempuan</t>
  </si>
  <si>
    <t>Kendal</t>
  </si>
  <si>
    <t>SHOLIKHIN</t>
  </si>
  <si>
    <t>NGASTI'AH</t>
  </si>
  <si>
    <t>BIO_Images/EBTAQ25-06.001.jpg</t>
  </si>
  <si>
    <t>Mranggen - Futuhiyyah</t>
  </si>
  <si>
    <t>EBTAQ25-01.111</t>
  </si>
  <si>
    <t>WAKHIDATUN NAILIS SA'ADAH</t>
  </si>
  <si>
    <t>Demak</t>
  </si>
  <si>
    <t>MAD SOLEH</t>
  </si>
  <si>
    <t>SITI KHOLIFAH</t>
  </si>
  <si>
    <t>BIO_Images/EBTAQ25-01.111.jpg</t>
  </si>
  <si>
    <t>Demak - TPQ KH ALJAZERI</t>
  </si>
  <si>
    <t>EBTAQ25-01.112</t>
  </si>
  <si>
    <t>Atika Zahra Latifa</t>
  </si>
  <si>
    <t>Abdul Hadi</t>
  </si>
  <si>
    <t>Tika Ikhwal Maryana</t>
  </si>
  <si>
    <t>BIO_Images/EBTAQ25-01.112atika - safaroh nizam</t>
  </si>
  <si>
    <t>EBTAQ25-01.113</t>
  </si>
  <si>
    <t>Keisha Laila Fajrina</t>
  </si>
  <si>
    <t>Mohamad Fatkhan</t>
  </si>
  <si>
    <t>Sukinah</t>
  </si>
  <si>
    <t>BIO_Images/EBTAQ25-01.113.jpg</t>
  </si>
  <si>
    <t>Demak - TPQ ALHADID</t>
  </si>
  <si>
    <t>EBTAQ25-01.114</t>
  </si>
  <si>
    <t>ADELIA KHAIRA WILDA</t>
  </si>
  <si>
    <t>DEMAK</t>
  </si>
  <si>
    <t>ZAENAL ABIDIN</t>
  </si>
  <si>
    <t>JIJIN TURIASIH</t>
  </si>
  <si>
    <t>BIO_Images/EBTAQ25-01.114.jpg</t>
  </si>
  <si>
    <t>EBTAQ25-01.115</t>
  </si>
  <si>
    <t>Annisa faiha</t>
  </si>
  <si>
    <t>Kholil Bisri</t>
  </si>
  <si>
    <t>Himmatul Ulliya</t>
  </si>
  <si>
    <t>BIO_Images/EBTAQ25-01.115.jpg</t>
  </si>
  <si>
    <t>EBTAQ25-01.116</t>
  </si>
  <si>
    <t>octafia ayu rahmawati</t>
  </si>
  <si>
    <t>purwadi</t>
  </si>
  <si>
    <t>saudah</t>
  </si>
  <si>
    <t>BIO_Images/EBTAQ25-01.116.jpg</t>
  </si>
  <si>
    <t>EBTAQ25-01.117</t>
  </si>
  <si>
    <t>AQILA QURROTU A'YUN</t>
  </si>
  <si>
    <t>Sucipto</t>
  </si>
  <si>
    <t>Kholisoh</t>
  </si>
  <si>
    <t>BIO_Images/EBTAQ25-01.117.jpg</t>
  </si>
  <si>
    <t>EBTAQ25-01.118</t>
  </si>
  <si>
    <t>Nurul Fauziyah Ramadhani</t>
  </si>
  <si>
    <t>Muhidin</t>
  </si>
  <si>
    <t>Sri kumaidah</t>
  </si>
  <si>
    <t>BIO_Images/EBTAQ25-01.118.jpg</t>
  </si>
  <si>
    <t>EBTAQ25-01.119</t>
  </si>
  <si>
    <t>Aisya Faiha Maulidya</t>
  </si>
  <si>
    <t>Masri</t>
  </si>
  <si>
    <t>Kasiroh</t>
  </si>
  <si>
    <t>BIO_Images/EBTAQ25-01.119.jpg</t>
  </si>
  <si>
    <t>EBTAQ25-06.002</t>
  </si>
  <si>
    <t>AQILA RAISA AILANI MA'ARIF</t>
  </si>
  <si>
    <t>Semarang</t>
  </si>
  <si>
    <t>Khusnul Ma'arif</t>
  </si>
  <si>
    <t>Nur Khoiroh Wijayanti</t>
  </si>
  <si>
    <t>BIO_Images/EBTAQ25-06.002.jpg</t>
  </si>
  <si>
    <t>Mranggen - Darul qur'an</t>
  </si>
  <si>
    <t>EBTAQ25-06.003</t>
  </si>
  <si>
    <t>Ahmad Fakhryl Mubarok</t>
  </si>
  <si>
    <t>Laki-laki</t>
  </si>
  <si>
    <t>Anton Husni Mubarok</t>
  </si>
  <si>
    <t>Akmalia</t>
  </si>
  <si>
    <t>BIO_Images/EBTAQ25-06.003.jpg</t>
  </si>
  <si>
    <t>EBTAQ25-06.004</t>
  </si>
  <si>
    <t>Ayyash</t>
  </si>
  <si>
    <t>Dian Hadi Saputra</t>
  </si>
  <si>
    <t>May Kurniawati</t>
  </si>
  <si>
    <t>BIO_Images/EBTAQ25-06.004.jpg</t>
  </si>
  <si>
    <t>EBTAQ25-06.005</t>
  </si>
  <si>
    <t>Muhammad Gibran Hifdzi Sarkan</t>
  </si>
  <si>
    <t>Ahmad Nasik</t>
  </si>
  <si>
    <t>Munawaroh</t>
  </si>
  <si>
    <t>BIO_Images/EBTAQ25-06.005.jpg</t>
  </si>
  <si>
    <t>EBTAQ25-06.006</t>
  </si>
  <si>
    <t>Missela Rifalena</t>
  </si>
  <si>
    <t>Ahmad Mafaza</t>
  </si>
  <si>
    <t>Rina Andriyani</t>
  </si>
  <si>
    <t>BIO_Images/EBTAQ25-06.006.jpg</t>
  </si>
  <si>
    <t>EBTAQ25-06.007</t>
  </si>
  <si>
    <t>Anugrah Malik Ihlaq Saputra</t>
  </si>
  <si>
    <t>Boyolali</t>
  </si>
  <si>
    <t>Agung Nugroho</t>
  </si>
  <si>
    <t>Fitroh</t>
  </si>
  <si>
    <t>BIO_Images/EBTAQ25-06.007.jpg</t>
  </si>
  <si>
    <t>EBTAQ25.03.001</t>
  </si>
  <si>
    <t>MUHAMMAD ARHAB REYHAN ARDHANI</t>
  </si>
  <si>
    <t>FATIKHIN</t>
  </si>
  <si>
    <t>NURUL INAROH</t>
  </si>
  <si>
    <t>BIO_Images/EBTAQ25-03.001.jpg</t>
  </si>
  <si>
    <t>BMW - Taisirul Qurro'</t>
  </si>
  <si>
    <t>EBTAQ25-03.002</t>
  </si>
  <si>
    <t>QORROTUL AINI ZULFA</t>
  </si>
  <si>
    <t>ABDUL ROKHIB</t>
  </si>
  <si>
    <t>KOIDAH</t>
  </si>
  <si>
    <t>BIO_Images/EBTAQ25-03.002.jpg</t>
  </si>
  <si>
    <t>EBTAQ25-03.003</t>
  </si>
  <si>
    <t>AHMAD RAFIF AYDIN ALVARO</t>
  </si>
  <si>
    <t>JEPARA</t>
  </si>
  <si>
    <t>AHMAD SYUKRON</t>
  </si>
  <si>
    <t>SITI TRI ALFI</t>
  </si>
  <si>
    <t>BIO_Images/EBTAQ25-03.003.jpg</t>
  </si>
  <si>
    <t>EBTAQ25-01.121</t>
  </si>
  <si>
    <t>Mirza Raja Al Fath</t>
  </si>
  <si>
    <t>Agus Suyitno</t>
  </si>
  <si>
    <t>Anik Eka Anasari</t>
  </si>
  <si>
    <t>BIO_Images/EBTAQ25-01.121.jpg</t>
  </si>
  <si>
    <t>Demak - AL IMAN Mangunjiwan</t>
  </si>
  <si>
    <t>EBTAQ25-01.122</t>
  </si>
  <si>
    <t>Elmeera Sheenaz Khalifa</t>
  </si>
  <si>
    <t>Kudus</t>
  </si>
  <si>
    <t>Ikha Dalinar Kurnia Putra</t>
  </si>
  <si>
    <t>Siti Chanifah</t>
  </si>
  <si>
    <t>BIO_Images/EBTAQ25-01.122.jpg</t>
  </si>
  <si>
    <t>EBTAQ25-01.123</t>
  </si>
  <si>
    <t>MUHAMMAD AFFAN MUHADDZIB ABQARY</t>
  </si>
  <si>
    <t>AHMAD SOLIKIN</t>
  </si>
  <si>
    <t>ANISSA NIRMA CAHYANINGRUM</t>
  </si>
  <si>
    <t>BIO_Images/EBTAQ25-01.123.jpg</t>
  </si>
  <si>
    <t>EBTAQ25-01.124</t>
  </si>
  <si>
    <t>Hamizan Arsakha Rasyid</t>
  </si>
  <si>
    <t>Riyuniawan Subekti</t>
  </si>
  <si>
    <t>Paramitha Hanifia</t>
  </si>
  <si>
    <t>BIO_Images/EBTAQ25-01.124.jpg</t>
  </si>
  <si>
    <t>EBTAQ25-01.125</t>
  </si>
  <si>
    <t>MUHAMMAD GHANI AQILLEO</t>
  </si>
  <si>
    <t>ABDUL ROUF</t>
  </si>
  <si>
    <t>LAILI SURYANI</t>
  </si>
  <si>
    <t>BIO_Images/EBTAQ25-01.125.jpeg</t>
  </si>
  <si>
    <t>EBTAQ25-01.126</t>
  </si>
  <si>
    <t>Arkana Adhiyatsa Rayhan</t>
  </si>
  <si>
    <t>Nurul Ariyanto</t>
  </si>
  <si>
    <t>Herlia Murbawati</t>
  </si>
  <si>
    <t>BIO_Images/EBTAQ25-01.126.jpg</t>
  </si>
  <si>
    <t>EBTAQ25-01.127</t>
  </si>
  <si>
    <t>Lubna Atsila Basyasyah</t>
  </si>
  <si>
    <t>Wahid Hasyim</t>
  </si>
  <si>
    <t>Laili Pandiawati</t>
  </si>
  <si>
    <t>BIO_Images/EBTAQ25-01.127.jpg</t>
  </si>
  <si>
    <t>EBTAQ25-01.128</t>
  </si>
  <si>
    <t>MUHAMMAD SAKHA MAHATVAVIRYA</t>
  </si>
  <si>
    <t>JEIHAN YOGANA</t>
  </si>
  <si>
    <t>ISNA KURNIA ANDINTIAS</t>
  </si>
  <si>
    <t>BIO_Images/EBTAQ25-01.128.jpeg</t>
  </si>
  <si>
    <t>EBTAQ25-01.129</t>
  </si>
  <si>
    <t>Hanun El Rusyda Saputra</t>
  </si>
  <si>
    <t>Pamungkas Hijrah Saputra</t>
  </si>
  <si>
    <t>Dwi Octaviyanti</t>
  </si>
  <si>
    <t>BIO_Images/EBTAQ25-01.129.jpg</t>
  </si>
  <si>
    <t>EBTAQ25-05.001</t>
  </si>
  <si>
    <t>Irsyad Kafin Al Ghifari</t>
  </si>
  <si>
    <t>Nur Eko kuntoro</t>
  </si>
  <si>
    <t>Umayah</t>
  </si>
  <si>
    <t>BIO_Images/EBTAQ25-05.001.jpg</t>
  </si>
  <si>
    <t>Kr. Awen - TPQ MASITHOH 2</t>
  </si>
  <si>
    <t>EBTAQ25-05.002</t>
  </si>
  <si>
    <t>Iskrasophia Dinasty Al - Qudsia</t>
  </si>
  <si>
    <t>Mustholih</t>
  </si>
  <si>
    <t>Sri Wahyuningsih</t>
  </si>
  <si>
    <t>BIO_Images/EBTAQ25-05.002.jpg</t>
  </si>
  <si>
    <t>EBTAQ25-05.003</t>
  </si>
  <si>
    <t>Muhammad Fakhrudin Hasyim</t>
  </si>
  <si>
    <t>Miftaqul Ulun</t>
  </si>
  <si>
    <t>Aminatus Sa'adah</t>
  </si>
  <si>
    <t>BIO_Images/EBTAQ25-05.003.jpg</t>
  </si>
  <si>
    <t>EBTAQ25-05.004</t>
  </si>
  <si>
    <t>Khalisha Azza Shafitri</t>
  </si>
  <si>
    <t>Subandi</t>
  </si>
  <si>
    <t>Qutrotuz Zamzami</t>
  </si>
  <si>
    <t>BIO_Images/EBTAQ25-05.004.jpg</t>
  </si>
  <si>
    <t>EBTAQ25-05.005</t>
  </si>
  <si>
    <t>Laili Nur Safitri Nikmatu Azzahra</t>
  </si>
  <si>
    <t>Koko</t>
  </si>
  <si>
    <t>Safaatun</t>
  </si>
  <si>
    <t>BIO_Images/EBTAQ25-05.005.jpg</t>
  </si>
  <si>
    <t>EBTAQ25-05.006</t>
  </si>
  <si>
    <t>Muhammad Fariz Maulana Akbar</t>
  </si>
  <si>
    <t>Syaikun</t>
  </si>
  <si>
    <t>Istiqomah</t>
  </si>
  <si>
    <t>BIO_Images/EBTAQ25-05.006.jpg</t>
  </si>
  <si>
    <t>EBTAQ25-05.007</t>
  </si>
  <si>
    <t>Shakila Dzahin Nicky Azzahra</t>
  </si>
  <si>
    <t>Nicky Yulianto</t>
  </si>
  <si>
    <t>Mimin Afita Sari</t>
  </si>
  <si>
    <t>BIO_Images/EBTAQ25-05.007.jpg</t>
  </si>
  <si>
    <t>EBTAQ25-03.004</t>
  </si>
  <si>
    <t>GEBRIEL JUNITA AZ-ZAHRA</t>
  </si>
  <si>
    <t>ROMDHON</t>
  </si>
  <si>
    <t>NUR HAYATI</t>
  </si>
  <si>
    <t>BIO_Images/EBTAQ25-03.004.jpeg</t>
  </si>
  <si>
    <t>BMW - Roudhotus Syifa</t>
  </si>
  <si>
    <t>EBTAQ25-03.005</t>
  </si>
  <si>
    <t>NELY LIZA LISTIANY</t>
  </si>
  <si>
    <t>NUR KHOLIS</t>
  </si>
  <si>
    <t>NUR AZIZAH</t>
  </si>
  <si>
    <t>BIO_Images/EBTAQ25-03.005.jpg</t>
  </si>
  <si>
    <t>EBTAQ25-01.130</t>
  </si>
  <si>
    <t>FATIMATUZ ZAHRA ADNAN</t>
  </si>
  <si>
    <t>SEMARANG</t>
  </si>
  <si>
    <t>AHMAD ADNAN</t>
  </si>
  <si>
    <t>UCI NOVIATI</t>
  </si>
  <si>
    <t>BIO_Images/EBTAQ25-01.130.jpg</t>
  </si>
  <si>
    <t>SDIT KOTAWALI</t>
  </si>
  <si>
    <t>EBTAQ25-01.131</t>
  </si>
  <si>
    <t>Sabrina aqila rahma</t>
  </si>
  <si>
    <t>Khoirul latif</t>
  </si>
  <si>
    <t>Lukluatul khadziroh</t>
  </si>
  <si>
    <t>BIO_Images/EBTAQ25-01.131.jpg</t>
  </si>
  <si>
    <t>Karbon - TPQ Qurrotul 'Ain</t>
  </si>
  <si>
    <t>EBTAQ25-01.132</t>
  </si>
  <si>
    <t>ANA NAFISATUZZAHRO</t>
  </si>
  <si>
    <t>KARTONO</t>
  </si>
  <si>
    <t>NURUL HIKMAH</t>
  </si>
  <si>
    <t>BIO_Images/EBTAQ25-01.132.jpg</t>
  </si>
  <si>
    <t>EBTAQ25-01.133</t>
  </si>
  <si>
    <t>Ahmad Muiz Halim</t>
  </si>
  <si>
    <t>Sutiyono</t>
  </si>
  <si>
    <t>Novita Murtiyani</t>
  </si>
  <si>
    <t>BIO_Images/EBTAQ25-01.133.jpg</t>
  </si>
  <si>
    <t>NO</t>
  </si>
  <si>
    <t>Nama</t>
  </si>
  <si>
    <t>JK</t>
  </si>
  <si>
    <t>Tempat Lahir</t>
  </si>
  <si>
    <t>AYAH</t>
  </si>
  <si>
    <t>IBU</t>
  </si>
  <si>
    <t>Lembaga</t>
  </si>
  <si>
    <t>DAFTAR PESERTA EBTAQ KORCAB DEMAK, PERIODE ROJAB 1447 H</t>
  </si>
  <si>
    <t>EBTAQ25-01.134</t>
  </si>
  <si>
    <t>Ahmad Muiz halim</t>
  </si>
  <si>
    <t>Novitamurtiyani</t>
  </si>
  <si>
    <t>BIO_Images/EBTAQ25-01.134.jpg</t>
  </si>
  <si>
    <t>EBTAQ25-01.135</t>
  </si>
  <si>
    <t>ahmad muiz halim</t>
  </si>
  <si>
    <t>sutiyono</t>
  </si>
  <si>
    <t>novita murtiyani</t>
  </si>
  <si>
    <t>BIO_Images/EBTAQ25-01.135.jpg</t>
  </si>
  <si>
    <t>EBTAQ25-01.136</t>
  </si>
  <si>
    <t>Ahmad muiz halim</t>
  </si>
  <si>
    <t>Murtiyani</t>
  </si>
  <si>
    <t>BIO_Images/EBTAQ25-01.136.jpg</t>
  </si>
  <si>
    <t>EBTAQ25-01.137</t>
  </si>
  <si>
    <t>Muhammad Revan Putra pambudi</t>
  </si>
  <si>
    <t>Galuh eka pambudi</t>
  </si>
  <si>
    <t>Sumi kastutik</t>
  </si>
  <si>
    <t>BIO_Images/EBTAQ25-01.137.jpg</t>
  </si>
  <si>
    <t>EBTAQ25-01.138</t>
  </si>
  <si>
    <t>Syaffira Maharani Putri Fie</t>
  </si>
  <si>
    <t>Fahruddin Lutfiei</t>
  </si>
  <si>
    <t>Eka Prasetya Ningrum</t>
  </si>
  <si>
    <t>BIO_Images/EBTAQ25-01.138.jpg</t>
  </si>
  <si>
    <t>Dewoka - Nuzulur Rohmah</t>
  </si>
  <si>
    <t>EBTAQ25-01.139</t>
  </si>
  <si>
    <t>Zidnatul ilma</t>
  </si>
  <si>
    <t>Mlaten, karang melati, kec. Demak, kab. Semakin</t>
  </si>
  <si>
    <t>Hadi mahmudi</t>
  </si>
  <si>
    <t>Siti azizah</t>
  </si>
  <si>
    <t>BIO_Images/EBTAQ25-01.139.jpg</t>
  </si>
  <si>
    <t>EBTAQ25-03.006</t>
  </si>
  <si>
    <t>Nur Alifah</t>
  </si>
  <si>
    <t>Abu rozin</t>
  </si>
  <si>
    <t>Nur hidayah</t>
  </si>
  <si>
    <t>BIO_Images/EBTAQ25-03.006.jpg</t>
  </si>
  <si>
    <t>BMW - Matholiul Falah</t>
  </si>
  <si>
    <t>EBTAQ25-03.007</t>
  </si>
  <si>
    <t>Asaa Najma Azzahra</t>
  </si>
  <si>
    <t>Ahmad Muhajir</t>
  </si>
  <si>
    <t>Musokhikah</t>
  </si>
  <si>
    <t>BIO_Images/EBTAQ25-03.007.jpg</t>
  </si>
  <si>
    <t>EBTAQ25-03.008</t>
  </si>
  <si>
    <t>Reva Dwi Rahmadhani</t>
  </si>
  <si>
    <t>Nur cipto</t>
  </si>
  <si>
    <t>Nur ismah</t>
  </si>
  <si>
    <t>BIO_Images/EBTAQ25-03.008.jpg</t>
  </si>
  <si>
    <t>EBTAQ25-01.140</t>
  </si>
  <si>
    <t>ARSYA MAULANA FIRMANSYAH</t>
  </si>
  <si>
    <t>MEN KARSIMAN</t>
  </si>
  <si>
    <t>ZAKHIYAH SYAFITRI</t>
  </si>
  <si>
    <t>BIO_Images/EBTAQ25-01.140.jpg</t>
  </si>
  <si>
    <t>EBTAQ25-03.009</t>
  </si>
  <si>
    <t>ALFIAH JULIANTI</t>
  </si>
  <si>
    <t>ACHSANU ROHIM</t>
  </si>
  <si>
    <t>DEWI KHUSAEMAH</t>
  </si>
  <si>
    <t>BIO_Images/EBTAQ25-03.009.jpg</t>
  </si>
  <si>
    <t>BMW - Al Khoiriyah</t>
  </si>
  <si>
    <t>EBTAQ25-03.010</t>
  </si>
  <si>
    <t>NUFIKHO SOFARA KHOIRIYAH</t>
  </si>
  <si>
    <t>ACHMAD SIFULFAZI</t>
  </si>
  <si>
    <t>LAIKHATUN</t>
  </si>
  <si>
    <t>BIO_Images/EBTAQ25-03.010.jpg</t>
  </si>
  <si>
    <t>EBTAQ25-01.141</t>
  </si>
  <si>
    <t>MURNI ASIH ARDIANTI</t>
  </si>
  <si>
    <t>Zaenal Sodikin</t>
  </si>
  <si>
    <t>Dewi Ratnawati</t>
  </si>
  <si>
    <t>BIO_Images/EBTAQ25-01.141.jpg</t>
  </si>
  <si>
    <t>EBTAQ25-01.142</t>
  </si>
  <si>
    <t>Kamilatun Ni'mah</t>
  </si>
  <si>
    <t>Nur Alex</t>
  </si>
  <si>
    <t>Romi Zuli astuti</t>
  </si>
  <si>
    <t>BIO_Images/EBTAQ25-01.142.jpg</t>
  </si>
  <si>
    <t>EBTAQ25-03.011</t>
  </si>
  <si>
    <t>Indah fadhilah</t>
  </si>
  <si>
    <t>Nur Rohman</t>
  </si>
  <si>
    <t>Nazidatul ula</t>
  </si>
  <si>
    <t>BIO_Images/EBTAQ25-03.011.jpg</t>
  </si>
  <si>
    <t>EBTAQ25-03.012</t>
  </si>
  <si>
    <t>Nur rohman</t>
  </si>
  <si>
    <t>BIO_Images/EBTAQ25-03.012.jpg</t>
  </si>
  <si>
    <t>EBTAQ25-01.143</t>
  </si>
  <si>
    <t>MUHAMMAD TAUFIQ ALANSYAH</t>
  </si>
  <si>
    <t>JAKARTA</t>
  </si>
  <si>
    <t>NURHADI</t>
  </si>
  <si>
    <t>CICI MEININGSIH</t>
  </si>
  <si>
    <t>BIO_Images/EBTAQ25-01.143.png</t>
  </si>
  <si>
    <t>Karbon - Hidayatul Mubtadi'in</t>
  </si>
  <si>
    <t>EBTAQ25-01.144</t>
  </si>
  <si>
    <t>Wakhidatunnailissaadah</t>
  </si>
  <si>
    <t>Krajan mangunjiwan 02 04</t>
  </si>
  <si>
    <t>Mad soleh</t>
  </si>
  <si>
    <t>Siti kholifah</t>
  </si>
  <si>
    <t>BIO_Images/EBTAQ25-01.144.jpg</t>
  </si>
  <si>
    <t>EBTAQ25-06.008</t>
  </si>
  <si>
    <t>IBNU ASSYFA'</t>
  </si>
  <si>
    <t>Grobogan</t>
  </si>
  <si>
    <t>EDY SUSANTO</t>
  </si>
  <si>
    <t>NUR CHAMIDAH</t>
  </si>
  <si>
    <t>BIO_Images/EBTAQ25-06.008.jpg</t>
  </si>
  <si>
    <t>BMW - Hidayatul Mubtadiin</t>
  </si>
  <si>
    <t>EBTAQ25-01.145</t>
  </si>
  <si>
    <t>Arsya pradipta kurniawan</t>
  </si>
  <si>
    <t>Ganda kurniawan</t>
  </si>
  <si>
    <t>Nurul ulfa kartika bintarum</t>
  </si>
  <si>
    <t>BIO_Images/EBTAQ25-01.145.jpg</t>
  </si>
  <si>
    <t>EBTAQ25-01.146</t>
  </si>
  <si>
    <t>MUHAMMAD FAHRIZ SETIAWAN</t>
  </si>
  <si>
    <t>NUR YANAH</t>
  </si>
  <si>
    <t>BIO_Images/EBTAQ25-01.146.jpg</t>
  </si>
  <si>
    <t>Demak - TPQ BUQ</t>
  </si>
  <si>
    <t>EBTAQ25-01.147</t>
  </si>
  <si>
    <t>Muhammad khoirul azam</t>
  </si>
  <si>
    <t>Subakir</t>
  </si>
  <si>
    <t>Kusrini</t>
  </si>
  <si>
    <t>BIO_Images/EBTAQ25-01.147.jpg</t>
  </si>
  <si>
    <t>Tpq Raudlatul muta'allimin</t>
  </si>
  <si>
    <t>EBTAQ25-01.148</t>
  </si>
  <si>
    <t>MASAYU REGINA RAHMAH</t>
  </si>
  <si>
    <t>Achmat Munif</t>
  </si>
  <si>
    <t>BIO_Images/EBTAQ25-01.148.jpg</t>
  </si>
  <si>
    <t>EBTAQ25-01.149</t>
  </si>
  <si>
    <t>Fadhil Yaqdan Nasrullah</t>
  </si>
  <si>
    <t>Faizal Riza</t>
  </si>
  <si>
    <t>Nur Hasanah</t>
  </si>
  <si>
    <t>BIO_Images/EBTAQ25-01.149.jpg</t>
  </si>
  <si>
    <t>EBTAQ25-01.150</t>
  </si>
  <si>
    <t>ALESYA FATIM GHINARA</t>
  </si>
  <si>
    <t>SURYO HADI WIBOWO</t>
  </si>
  <si>
    <t>DHUROHMAH</t>
  </si>
  <si>
    <t>BIO_Images/EBTAQ25-01.150.jpg</t>
  </si>
  <si>
    <t>EBTAQ25-01.151</t>
  </si>
  <si>
    <t>ELVIRA ZAHWA ALESHA</t>
  </si>
  <si>
    <t>KUDUS</t>
  </si>
  <si>
    <t>ROIS ALI SYAHBANA</t>
  </si>
  <si>
    <t>LILIK MUSTAKFIROH</t>
  </si>
  <si>
    <t>BIO_Images/EBTAQ25-01.151.jpg</t>
  </si>
  <si>
    <t>EBTAQ25-01.152</t>
  </si>
  <si>
    <t>ALYA APRIANA</t>
  </si>
  <si>
    <t>DIDIK HARYANTO</t>
  </si>
  <si>
    <t>HARDbANTI SETIYO UTAMI</t>
  </si>
  <si>
    <t>BIO_Images/EBTAQ25-01.152.jpg</t>
  </si>
  <si>
    <t>EBTAQ25-01.153</t>
  </si>
  <si>
    <t>DANESH RAFASYA</t>
  </si>
  <si>
    <t>CIPTO LEGOWO</t>
  </si>
  <si>
    <t>ERNA TRI PUJIASTUTI</t>
  </si>
  <si>
    <t>BIO_Images/EBTAQ25-01.153.jpg</t>
  </si>
  <si>
    <t>EBTAQ25-01.154</t>
  </si>
  <si>
    <t>NABILA INDAH PERMATA</t>
  </si>
  <si>
    <t>SUBARI</t>
  </si>
  <si>
    <t>NUR KHASANAH</t>
  </si>
  <si>
    <t>BIO_Images/EBTAQ25-01.154.jpg</t>
  </si>
  <si>
    <t>EBTAQ25-01.155</t>
  </si>
  <si>
    <t>HAMDA SAKHIA ABDILLAH</t>
  </si>
  <si>
    <t>RIF'AAN ABDILLAH</t>
  </si>
  <si>
    <t>NUR HASANAH</t>
  </si>
  <si>
    <t>BIO_Images/EBTAQ25-01.155.jpg</t>
  </si>
  <si>
    <t>ZUHDI SETIAWAN ( ALM)</t>
  </si>
  <si>
    <t>Perbaikan atau ralat bisa lapor / konfirmasi ke WA 0896-0898-6635</t>
  </si>
  <si>
    <t>EBTAQ25-01.156</t>
  </si>
  <si>
    <t>ARDILA SEPTIANI</t>
  </si>
  <si>
    <t>Drajad sigit marsinggih</t>
  </si>
  <si>
    <t>Nur faida</t>
  </si>
  <si>
    <t>BIO_Images/EBTAQ25-01.156.jpg</t>
  </si>
  <si>
    <t>EBTAQ25-01.157</t>
  </si>
  <si>
    <t>Shofia naila saadah</t>
  </si>
  <si>
    <t>Chairul Anam</t>
  </si>
  <si>
    <t>Khoirotun Nisa</t>
  </si>
  <si>
    <t>BIO_Images/EBTAQ25-01.157.jpg</t>
  </si>
  <si>
    <t>EBTAQ25-01.158</t>
  </si>
  <si>
    <t>demak</t>
  </si>
  <si>
    <t>ABDUL HADI</t>
  </si>
  <si>
    <t>TIKA IKHWAL MARYANA</t>
  </si>
  <si>
    <t>BIO_Images/EBTAQ25-01.158.jpg</t>
  </si>
  <si>
    <t>EBTAQ25-01.159</t>
  </si>
  <si>
    <t>Atika zahra latifa</t>
  </si>
  <si>
    <t>Abdul hadi</t>
  </si>
  <si>
    <t>Tika ikhwal maryana</t>
  </si>
  <si>
    <t>BIO_Images/EBTAQ25-01.159.jpg</t>
  </si>
  <si>
    <t>EBTAQ25-01.160</t>
  </si>
  <si>
    <t>Naella Putri Olivia</t>
  </si>
  <si>
    <t>Muhammad muntoha</t>
  </si>
  <si>
    <t>Upik Nilawati</t>
  </si>
  <si>
    <t>BIO_Images/EBTAQ25-01.160.jpg</t>
  </si>
  <si>
    <t>EBTAQ25-01.161</t>
  </si>
  <si>
    <t>JIHAN AZZAHRA</t>
  </si>
  <si>
    <t>IPUNG TRI YUWANTORO</t>
  </si>
  <si>
    <t>RAMAYANTI</t>
  </si>
  <si>
    <t>BIO_Images/EBTAQ25-01.161.jpg</t>
  </si>
  <si>
    <t>EBTAQ25-01.162</t>
  </si>
  <si>
    <t>Murni Asih Ardianti</t>
  </si>
  <si>
    <t>Demak, Jawa tengah</t>
  </si>
  <si>
    <t>BIO_Images/EBTAQ25-01.162.jpg</t>
  </si>
  <si>
    <t>EBTAQ25-01.163</t>
  </si>
  <si>
    <t>RAFA DANI PEDROSA</t>
  </si>
  <si>
    <t>MUSTAKIM</t>
  </si>
  <si>
    <t>UMI MAGHFIROH</t>
  </si>
  <si>
    <t>BIO_Images/EBTAQ25-01.163.jpg</t>
  </si>
  <si>
    <t>EBTAQ25-01.164</t>
  </si>
  <si>
    <t>Abdi Khusen Teguh Pratama</t>
  </si>
  <si>
    <t>Yuliyono</t>
  </si>
  <si>
    <t>Nur Magfiroh</t>
  </si>
  <si>
    <t>BIO_Images/EBTAQ25-01.164.jpeg</t>
  </si>
  <si>
    <t>Demak - TPQ NURUL IMAN</t>
  </si>
  <si>
    <t>EBTAQ25-01.165</t>
  </si>
  <si>
    <t>ABDULLAH ARFA</t>
  </si>
  <si>
    <t>M. Arif Effendi</t>
  </si>
  <si>
    <t>SRI UTAMI</t>
  </si>
  <si>
    <t>BIO_Images/EBTAQ25-01.165.jpeg</t>
  </si>
  <si>
    <t>Demak - SD NURUL HUDA</t>
  </si>
  <si>
    <t>EBTAQ25-01.166</t>
  </si>
  <si>
    <t>KEISHA ANGELIA BUNGA</t>
  </si>
  <si>
    <t>BUNGA</t>
  </si>
  <si>
    <t>BIO_Images/EBTAQ25-01.166.jpg</t>
  </si>
  <si>
    <t>EBTAQ25-03.013</t>
  </si>
  <si>
    <t>Siti khoiriyah safinatul aulia</t>
  </si>
  <si>
    <t>Syaichul Hadi</t>
  </si>
  <si>
    <t>Maftukhah</t>
  </si>
  <si>
    <t>BIO_Images/EBTAQ25-03.013.jpg</t>
  </si>
  <si>
    <t>EBTAQ25-01.167</t>
  </si>
  <si>
    <t>ISHMAH FARADISA</t>
  </si>
  <si>
    <t>ROKAN HULU</t>
  </si>
  <si>
    <t>M. ULIL ABSHOR</t>
  </si>
  <si>
    <t>MUNAWAROH</t>
  </si>
  <si>
    <t>BIO_Images/EBTAQ25-01.167.jpg</t>
  </si>
  <si>
    <t>Demak - TPQ Nuzulur Rohmah</t>
  </si>
  <si>
    <t>EBTAQ25-01.168</t>
  </si>
  <si>
    <t>ALMA SURYANINGTYAS</t>
  </si>
  <si>
    <t>MUH NATSIR APRIYANTO</t>
  </si>
  <si>
    <t>ARIYAH</t>
  </si>
  <si>
    <t>BIO_Images/EBTAQ25-01.168.png</t>
  </si>
  <si>
    <t>EBTAQ25-01.169</t>
  </si>
  <si>
    <t>KHOFIFATUS SYIFA</t>
  </si>
  <si>
    <t>MUHAMMAD CHOIRI</t>
  </si>
  <si>
    <t>SITI MUSYAIROH</t>
  </si>
  <si>
    <t>BIO_Images/EBTAQ25-01.169.png</t>
  </si>
  <si>
    <t>EBTAQ25-01.170</t>
  </si>
  <si>
    <t>FAJRA NADA NADIFA</t>
  </si>
  <si>
    <t>ALI MAHFUD</t>
  </si>
  <si>
    <t>ZULFAH</t>
  </si>
  <si>
    <t>BIO_Images/EBTAQ25-01.170.jpg</t>
  </si>
  <si>
    <t>Karangga - Mubarokah</t>
  </si>
  <si>
    <t>EBTAQ25-03.014</t>
  </si>
  <si>
    <t>SANIA INDANA ZULFA</t>
  </si>
  <si>
    <t>MUHSON</t>
  </si>
  <si>
    <t>ISTIKOMAH</t>
  </si>
  <si>
    <t>BIO_Images/EBTAQ25-03.014.jpg</t>
  </si>
  <si>
    <t>EBTAQ25-01.171</t>
  </si>
  <si>
    <t>Muhammad Sultan Al Fatih</t>
  </si>
  <si>
    <t>Sofi Luthfi</t>
  </si>
  <si>
    <t>Evi Khosiatul Kholisoh</t>
  </si>
  <si>
    <t>BIO_Images/EBTAQ25-01.171.jpg</t>
  </si>
  <si>
    <t>Karangga - Al Hikmah</t>
  </si>
  <si>
    <t>EBTAQ25-01.172</t>
  </si>
  <si>
    <t>Myiesha Aquina</t>
  </si>
  <si>
    <t>Cholil</t>
  </si>
  <si>
    <t>Muryani</t>
  </si>
  <si>
    <t>BIO_Images/EBTAQ25-01.172.jpeg</t>
  </si>
  <si>
    <t>Demak - TPQ ITSBATU TAQWA</t>
  </si>
  <si>
    <t>EBTAQ25-01.173</t>
  </si>
  <si>
    <t>Faza Husni Mubarok</t>
  </si>
  <si>
    <t>Kusmanto</t>
  </si>
  <si>
    <t>Suasmiati</t>
  </si>
  <si>
    <t>BIO_Images/EBTAQ25-01.173.jpeg</t>
  </si>
  <si>
    <t>EBTAQ25-01.174</t>
  </si>
  <si>
    <t>MUHAMMAD IRHAM DAIMUL HUSNA</t>
  </si>
  <si>
    <t>TRI JARWANTO</t>
  </si>
  <si>
    <t>ERMA DAMAYANTI</t>
  </si>
  <si>
    <t>BIO_Images/EBTAQ25-01.174.jpg</t>
  </si>
  <si>
    <t>EBTAQ25-01.175</t>
  </si>
  <si>
    <t>MUHAMMAD ABYAN PRATAMA</t>
  </si>
  <si>
    <t>Edhi Handayanto</t>
  </si>
  <si>
    <t>Indah Wahyuningsih</t>
  </si>
  <si>
    <t>BIO_Images/EBTAQ25-01.175.jpg</t>
  </si>
  <si>
    <t>EBTAQ25-01.176</t>
  </si>
  <si>
    <t>Rihma maharani</t>
  </si>
  <si>
    <t>Ahmad kholis</t>
  </si>
  <si>
    <t>Prahyuningrum</t>
  </si>
  <si>
    <t>BIO_Images/EBTAQ25-01.176.jpg</t>
  </si>
  <si>
    <t>Karangga - Miftahul Ulum</t>
  </si>
  <si>
    <t>EBTAQ25-01.177</t>
  </si>
  <si>
    <t>MIRZA SYARIF ASSAJID</t>
  </si>
  <si>
    <t>PARMONO</t>
  </si>
  <si>
    <t>RIF'AH</t>
  </si>
  <si>
    <t>BIO_Images/EBTAQ25-01.177.jpg</t>
  </si>
  <si>
    <t>EBTAQ25-01.178</t>
  </si>
  <si>
    <t>MUHAMMAD FARZANA ECNA ALFATTAH</t>
  </si>
  <si>
    <t>Eko budi cahyono</t>
  </si>
  <si>
    <t>Lucyana dwi puspitaningrum</t>
  </si>
  <si>
    <t>BIO_Images/EBTAQ25-01.178.jpg</t>
  </si>
  <si>
    <t>EBTAQ25-03.015</t>
  </si>
  <si>
    <t>afifa fitiya</t>
  </si>
  <si>
    <t>Arif Wibowo</t>
  </si>
  <si>
    <t>siti zulaekhah</t>
  </si>
  <si>
    <t>BIO_Images/EBTAQ25-03.015.jpg</t>
  </si>
  <si>
    <t>EBTAQ25-01.179</t>
  </si>
  <si>
    <t>HAMZI PRADIPTA</t>
  </si>
  <si>
    <t>BAYU NUR PAMBUDI</t>
  </si>
  <si>
    <t>TRI WULAN PRASTIWI</t>
  </si>
  <si>
    <t>BIO_Images/EBTAQ25-01.179.jpg</t>
  </si>
  <si>
    <t>EBTAQ25-01.180</t>
  </si>
  <si>
    <t>ANINDITA FARADILLA ZALFA</t>
  </si>
  <si>
    <t>RIZA ZAENUDDIN</t>
  </si>
  <si>
    <t>TITIK MUSTAQFIROH</t>
  </si>
  <si>
    <t>BIO_Images/EBTAQ25-01.180.jpg</t>
  </si>
  <si>
    <t>EBTAQ25-01.181</t>
  </si>
  <si>
    <t>ARJUNA KHAIRY WICAKSONO</t>
  </si>
  <si>
    <t>GANJAR AGUNG WICAKSONO</t>
  </si>
  <si>
    <t>VERA TRI YUIANTI</t>
  </si>
  <si>
    <t>BIO_Images/EBTAQ25-01.181.jpg</t>
  </si>
  <si>
    <t>EBTAQ25-03.016</t>
  </si>
  <si>
    <t>ISTIQOMAH</t>
  </si>
  <si>
    <t>BIO_Images/EBTAQ25-03.016.jpg</t>
  </si>
  <si>
    <t>EBTAQ25-01.182</t>
  </si>
  <si>
    <t>HASNA ARSYILA FATIMA</t>
  </si>
  <si>
    <t>RACHMAD FAYSHAL</t>
  </si>
  <si>
    <t>NUR LAILATUL JANNAH</t>
  </si>
  <si>
    <t>BIO_Images/EBTAQ25-01.182.jpg</t>
  </si>
  <si>
    <t>Demak - SD BUQ BET.DEMAK</t>
  </si>
  <si>
    <t>EBTAQ25-01.183</t>
  </si>
  <si>
    <t>ABIYAN ALKHALIFI ZUHDI</t>
  </si>
  <si>
    <t>Bogor</t>
  </si>
  <si>
    <t>ANTON KUSWARA</t>
  </si>
  <si>
    <t>TITI ISMU</t>
  </si>
  <si>
    <t>BIO_Images/EBTAQ25-01.183.jpg</t>
  </si>
  <si>
    <t>EBTAQ25-01.184</t>
  </si>
  <si>
    <t>SEKAR AYU NAYLA</t>
  </si>
  <si>
    <t>JOKO SUBIYANTO</t>
  </si>
  <si>
    <t>NI'MATUS SA'ADAH</t>
  </si>
  <si>
    <t>BIO_Images/EBTAQ25-01.184.jpg</t>
  </si>
  <si>
    <t>EBTAQ25-01.185</t>
  </si>
  <si>
    <t>Aqila Misha Shafana</t>
  </si>
  <si>
    <t>Slamet Rochim</t>
  </si>
  <si>
    <t>Siti Rodhiyah</t>
  </si>
  <si>
    <t>BIO_Images/EBTAQ25-01.185.png</t>
  </si>
  <si>
    <t>Demak - TPQ AL IMAN (KALIKONDANG)</t>
  </si>
  <si>
    <t>EBTAQ25-01.186</t>
  </si>
  <si>
    <t>Talitha Meisya Ardiningrum</t>
  </si>
  <si>
    <t>Eko Nugroho Apriyanto</t>
  </si>
  <si>
    <t>Dewi Puspito Sari</t>
  </si>
  <si>
    <t>BIO_Images/EBTAQ25-01.186.jpg</t>
  </si>
  <si>
    <t>EBTAQ25-01.188</t>
  </si>
  <si>
    <t>Ayunindya Rahmatin Azzahra</t>
  </si>
  <si>
    <t>Khoirul Miftah</t>
  </si>
  <si>
    <t>Rikha Desy Ristiyani</t>
  </si>
  <si>
    <t>BIO_Images/EBTAQ25-01.188.jpg</t>
  </si>
  <si>
    <t>RASENDRIYA RAKHA WIRAWAN</t>
  </si>
  <si>
    <t>DEMAk</t>
  </si>
  <si>
    <t>FHITHA DHORIEZ</t>
  </si>
  <si>
    <t>SRI JATMIKO SARI</t>
  </si>
  <si>
    <t>EBTAQ25-01.189</t>
  </si>
  <si>
    <t>FAKHRI RIZKI DESTANIAWAN</t>
  </si>
  <si>
    <t>AGUS SETIYAWAN</t>
  </si>
  <si>
    <t>NIA SUSNIAWATI</t>
  </si>
  <si>
    <t>BIO_Images/EBTAQ25-01.189.jpg</t>
  </si>
  <si>
    <t>EBTAQ25-01.190</t>
  </si>
  <si>
    <t>GIBRAN MUHAMMAD IRSYAD AL ALKA-FI</t>
  </si>
  <si>
    <t>Surodadi gajah demak</t>
  </si>
  <si>
    <t>Ali Mustahar</t>
  </si>
  <si>
    <t>Laelatun Nafiah</t>
  </si>
  <si>
    <t>BIO_Images/EBTAQ25-01.190.jpg</t>
  </si>
  <si>
    <t>Karangga - Darul Hikam</t>
  </si>
  <si>
    <t>EBTAQ25-01.191</t>
  </si>
  <si>
    <t>Fakhri Hafiz Taufiqul Hakim</t>
  </si>
  <si>
    <t>Widodo</t>
  </si>
  <si>
    <t>Enik Lestari</t>
  </si>
  <si>
    <t>BIO_Images/EBTAQ25-01.191.jpg</t>
  </si>
  <si>
    <t>EBTAQ25-03.017</t>
  </si>
  <si>
    <t>ADILA NISA ARDHANI</t>
  </si>
  <si>
    <t>KUSMIYANTO</t>
  </si>
  <si>
    <t>NUR AFIFAH</t>
  </si>
  <si>
    <t>BIO_Images/EBTAQ25-03.017.jpeg</t>
  </si>
  <si>
    <t>EBTAQ25-03.018</t>
  </si>
  <si>
    <t>Ahmad Fadhil Rizqy Pratama</t>
  </si>
  <si>
    <t>Hamdan Fais</t>
  </si>
  <si>
    <t>Solekhah</t>
  </si>
  <si>
    <t>BIO_Images/EBTAQ25-03.018.jpg</t>
  </si>
  <si>
    <t>BMW - Roudhotut Tholibin</t>
  </si>
  <si>
    <t>EBTAQ25-03.019</t>
  </si>
  <si>
    <t>Raka Dwi Prahasta</t>
  </si>
  <si>
    <t>Sofii</t>
  </si>
  <si>
    <t>Miyati</t>
  </si>
  <si>
    <t>BIO_Images/EBTAQ25-03.019.jpg</t>
  </si>
  <si>
    <t>EBTAQ25-01.192</t>
  </si>
  <si>
    <t>SYAMILA ADELINE NIESHA</t>
  </si>
  <si>
    <t>BIO_Images/EBTAQ25-01.192.jpg</t>
  </si>
  <si>
    <t>EBTAQ25-03.020</t>
  </si>
  <si>
    <t>Ahmad Najib Anugraha</t>
  </si>
  <si>
    <t>Wahyudi</t>
  </si>
  <si>
    <t>Sukarlin</t>
  </si>
  <si>
    <t>BIO_Images/EBTAQ25-03.020.jpg</t>
  </si>
  <si>
    <t>EBTAQ25-03.021</t>
  </si>
  <si>
    <t>Rafaizza Aquila Bilqis Annur</t>
  </si>
  <si>
    <t>Nur Rondi</t>
  </si>
  <si>
    <t>Diah Apriliani</t>
  </si>
  <si>
    <t>BIO_Images/EBTAQ25-03.021.jpg</t>
  </si>
  <si>
    <t>EBTAQ25-03.022</t>
  </si>
  <si>
    <t>Mahera Adelia wibowo</t>
  </si>
  <si>
    <t>Aji krisna Wibowo</t>
  </si>
  <si>
    <t>Siti khamidah</t>
  </si>
  <si>
    <t>BIO_Images/EBTAQ25-03.022.jpg</t>
  </si>
  <si>
    <t>EBTAQ25-03.023</t>
  </si>
  <si>
    <t>Shofatul Aini</t>
  </si>
  <si>
    <t>Mat Sholeh</t>
  </si>
  <si>
    <t>Sarodah</t>
  </si>
  <si>
    <t>BIO_Images/EBTAQ25-03.023.jpg</t>
  </si>
  <si>
    <t>EBTAQ25-03.024</t>
  </si>
  <si>
    <t>Muhammad Ganjar Jatmiko</t>
  </si>
  <si>
    <t>Muakhorin</t>
  </si>
  <si>
    <t>Iskowati</t>
  </si>
  <si>
    <t>BIO_Images/EBTAQ25-03.024.jpg</t>
  </si>
  <si>
    <t>EBTAQ25-03.025</t>
  </si>
  <si>
    <t>Muhammad Syarif Hilmi</t>
  </si>
  <si>
    <t>Ubaidillah</t>
  </si>
  <si>
    <t>Mujiatun</t>
  </si>
  <si>
    <t>BIO_Images/EBTAQ25-03.025.jpg</t>
  </si>
  <si>
    <t>EBTAQ25-03.027</t>
  </si>
  <si>
    <t>Nadia Aulia</t>
  </si>
  <si>
    <t>Abdul shomad</t>
  </si>
  <si>
    <t>Rina susanti</t>
  </si>
  <si>
    <t>BIO_Images/EBTAQ25-03.027.jpg</t>
  </si>
  <si>
    <t>Elsa Aninandia</t>
  </si>
  <si>
    <t>Suroso</t>
  </si>
  <si>
    <t>Nikmatul Khikmah</t>
  </si>
  <si>
    <t>EBTAQ25-03.028</t>
  </si>
  <si>
    <t>Fahril Maliqu Zhafran</t>
  </si>
  <si>
    <t>Ahmad Malik</t>
  </si>
  <si>
    <t>Siti Khoiriyah</t>
  </si>
  <si>
    <t>BIO_Images/EBTAQ25-03.028.jpg</t>
  </si>
  <si>
    <t>EBTAQ25-03.029</t>
  </si>
  <si>
    <t>Diah Puspita Sari</t>
  </si>
  <si>
    <t>NurHadi</t>
  </si>
  <si>
    <t>Tutik Ati</t>
  </si>
  <si>
    <t>BIO_Images/EBTAQ25-03.029.jpg</t>
  </si>
  <si>
    <t>EBTAQ25-01.193</t>
  </si>
  <si>
    <t>AMIRA AINUN MAHYA</t>
  </si>
  <si>
    <t>ZAENURI</t>
  </si>
  <si>
    <t>TUMI HARYATUN</t>
  </si>
  <si>
    <t>BIO_Images/EBTAQ25-01.193.jpg</t>
  </si>
  <si>
    <t>Demak - TPQ ALMUBAROK</t>
  </si>
  <si>
    <t>EBTAQ25-03.030</t>
  </si>
  <si>
    <t>NAURA AUBA RAFIKA</t>
  </si>
  <si>
    <t>AHMAD ROFIQ</t>
  </si>
  <si>
    <t>KHOIRROTUN NISA'</t>
  </si>
  <si>
    <t>BIO_Images/EBTAQ25-03.030.jpg</t>
  </si>
  <si>
    <t>BMW - Subulussalam</t>
  </si>
  <si>
    <t>EBTAQ25-03.031</t>
  </si>
  <si>
    <t>ZIDA FARA NABILA</t>
  </si>
  <si>
    <t>Muhamad ismail</t>
  </si>
  <si>
    <t>khilya syafaatun ni'mah</t>
  </si>
  <si>
    <t>BIO_Images/EBTAQ25-03.031.jpg</t>
  </si>
  <si>
    <t>EBTAQ25-03.032</t>
  </si>
  <si>
    <t>Muhammad Ivan Ghifari</t>
  </si>
  <si>
    <t>Marsono</t>
  </si>
  <si>
    <t>Siti Munawaroh</t>
  </si>
  <si>
    <t>BIO_Images/EBTAQ25-03.032.jpg</t>
  </si>
  <si>
    <t>EBTAQ25-03.033</t>
  </si>
  <si>
    <t>Tsania Khoirun Nisa</t>
  </si>
  <si>
    <t>Eko Prasetyo</t>
  </si>
  <si>
    <t>Sitta Zulfiana</t>
  </si>
  <si>
    <t>BIO_Images/EBTAQ25-03.033.jpg</t>
  </si>
  <si>
    <t>EBTAQ25-01.194</t>
  </si>
  <si>
    <t>Tiara salsabila putri</t>
  </si>
  <si>
    <t>Cangkring rembang</t>
  </si>
  <si>
    <t>Ahmad fatkur rozi</t>
  </si>
  <si>
    <t>Mufidah</t>
  </si>
  <si>
    <t>BIO_Images/EBTAQ25-01.194.jpg</t>
  </si>
  <si>
    <t>Demak - TPQ al Furqon</t>
  </si>
  <si>
    <t>EBTAQ25-03.034</t>
  </si>
  <si>
    <t>YUMEINA RAISA SYAKIRA</t>
  </si>
  <si>
    <t>RIJAL AULADI</t>
  </si>
  <si>
    <t>NUR BAITI</t>
  </si>
  <si>
    <t>BIO_Images/EBTAQ25-03.034.jpg</t>
  </si>
  <si>
    <t>EBTAQ25-03.036</t>
  </si>
  <si>
    <t>Layyin almeera</t>
  </si>
  <si>
    <t>Mohammad showam</t>
  </si>
  <si>
    <t>Erna setya ningsih</t>
  </si>
  <si>
    <t>BIO_Images/EBTAQ25-03.036.jpg</t>
  </si>
  <si>
    <t>EBTAQ25-03.037</t>
  </si>
  <si>
    <t>Muhammadzakaramadhan</t>
  </si>
  <si>
    <t>Ahmad faizin</t>
  </si>
  <si>
    <t>Nailul Muna</t>
  </si>
  <si>
    <t>BIO_Images/EBTAQ25-03.037.jpg</t>
  </si>
  <si>
    <t>EBTAQ25-03.038</t>
  </si>
  <si>
    <t>ARSYILA AINUN MAHYA</t>
  </si>
  <si>
    <t>LUKMAN HAKIM</t>
  </si>
  <si>
    <t>AYU NINA</t>
  </si>
  <si>
    <t>BIO_Images/EBTAQ25-03.038.jpg</t>
  </si>
  <si>
    <t>EBTAQ25-03.039</t>
  </si>
  <si>
    <t>MAULIDA SAMHA MAHIRA</t>
  </si>
  <si>
    <t>ANIS SOLEH AFENDI</t>
  </si>
  <si>
    <t>AINI NURUL AF'IDAH</t>
  </si>
  <si>
    <t>BIO_Images/EBTAQ25-03.039.jpg</t>
  </si>
  <si>
    <t>BMW - Yanbu'ul Qur'an</t>
  </si>
  <si>
    <t>EBTAQ25-03.040</t>
  </si>
  <si>
    <t>WILLIS GANESA PUTRI</t>
  </si>
  <si>
    <t>Laki-laki, Perempuan</t>
  </si>
  <si>
    <t>SUTRISNO</t>
  </si>
  <si>
    <t>UMI FADLILAH</t>
  </si>
  <si>
    <t>BIO_Images/EBTAQ25-03.040.jpg</t>
  </si>
  <si>
    <t>EBTAQ25-03.041</t>
  </si>
  <si>
    <t>SAFIROTUL NURHAYATI</t>
  </si>
  <si>
    <t>AUNUR ROFIQ</t>
  </si>
  <si>
    <t>TATIK QOMARIYAH</t>
  </si>
  <si>
    <t>BIO_Images/EBTAQ25-03.041.jpg</t>
  </si>
  <si>
    <t>EBTAQ25-01.195</t>
  </si>
  <si>
    <t>Ahmad Abdika Assyauqi</t>
  </si>
  <si>
    <t>Alaudin</t>
  </si>
  <si>
    <t>Lilis setyaningsih</t>
  </si>
  <si>
    <t>BIO_Images/EBTAQ25-01.195.jpg</t>
  </si>
  <si>
    <t>Karangga - Al Ijtihad Al Mubarok</t>
  </si>
  <si>
    <t>EBTAQ25-03.042</t>
  </si>
  <si>
    <t>RAHMA ARDI RAMADHANI</t>
  </si>
  <si>
    <t>SUHARDI</t>
  </si>
  <si>
    <t>ROFIAH</t>
  </si>
  <si>
    <t>BIO_Images/EBTAQ25-03.042.jpg</t>
  </si>
  <si>
    <t>EBTAQ25-03.043</t>
  </si>
  <si>
    <t>AZRIL RASYA ABQORY</t>
  </si>
  <si>
    <t>AHMAD SUPRAPTO</t>
  </si>
  <si>
    <t>DURROTUN NI'MAH</t>
  </si>
  <si>
    <t>BIO_Images/EBTAQ25-03.043.jpg</t>
  </si>
  <si>
    <t>BMW - As-Sa'idiyyah</t>
  </si>
  <si>
    <t>EBTAQ25-01.196</t>
  </si>
  <si>
    <t>JOKO JAYA PRAKOSO</t>
  </si>
  <si>
    <t>SUWOTO</t>
  </si>
  <si>
    <t>ERNA WATI</t>
  </si>
  <si>
    <t>BIO_Images/EBTAQ25-01.196.jpg</t>
  </si>
  <si>
    <t>EBTAQ25-01.197</t>
  </si>
  <si>
    <t>NOVA ADELIA</t>
  </si>
  <si>
    <t>Sugiharto</t>
  </si>
  <si>
    <t>Juni Kundari</t>
  </si>
  <si>
    <t>BIO_Images/EBTAQ25-01.197.jpg</t>
  </si>
  <si>
    <t>EBTAQ25-01.198</t>
  </si>
  <si>
    <t>DEVINDA QIARA ALFADILA</t>
  </si>
  <si>
    <t>SUGONDO</t>
  </si>
  <si>
    <t>DIYAH SUTANTI</t>
  </si>
  <si>
    <t>BIO_Images/EBTAQ25-01.198.jpg</t>
  </si>
  <si>
    <t>EBTAQ25-01.199</t>
  </si>
  <si>
    <t>Siti mawar adiya</t>
  </si>
  <si>
    <t>Muhammad rochim</t>
  </si>
  <si>
    <t>Ponirah</t>
  </si>
  <si>
    <t>BIO_Images/EBTAQ25-01.199.jpg</t>
  </si>
  <si>
    <t>EBTAQ25-01.200</t>
  </si>
  <si>
    <t>Muhammad ali akbar</t>
  </si>
  <si>
    <t>Wahyu Budi Utomo</t>
  </si>
  <si>
    <t>Heni Sulistiyoningsih</t>
  </si>
  <si>
    <t>BIO_Images/EBTAQ25-01.200.jpg</t>
  </si>
  <si>
    <t>EBTAQ25-03.044</t>
  </si>
  <si>
    <t>ARNAWA BAHIROTUN NAZIKHA</t>
  </si>
  <si>
    <t>Rindin Ulin Nuha</t>
  </si>
  <si>
    <t>Mustainah</t>
  </si>
  <si>
    <t>BIO_Images/EBTAQ25-03.044.jpg</t>
  </si>
  <si>
    <t>EBTAQ25-01.201</t>
  </si>
  <si>
    <t>Iqbal Zada Pradipta</t>
  </si>
  <si>
    <t>Winarno</t>
  </si>
  <si>
    <t>Mastiah</t>
  </si>
  <si>
    <t>BIO_Images/EBTAQ25-01.201.jpeg</t>
  </si>
  <si>
    <t>EBTAQ25-01.202</t>
  </si>
  <si>
    <t>Muhammad Fahriza Rahman</t>
  </si>
  <si>
    <t>Budiyanto</t>
  </si>
  <si>
    <t>Naily Rahmawati</t>
  </si>
  <si>
    <t>BIO_Images/EBTAQ25-01.202.jpg</t>
  </si>
  <si>
    <t>EBTAQ25-03.045</t>
  </si>
  <si>
    <t>AVA SHAKINA FITRI</t>
  </si>
  <si>
    <t>RIKHA LUTFI</t>
  </si>
  <si>
    <t>SRI WAHYUNI</t>
  </si>
  <si>
    <t>BIO_Images/EBTAQ25-03.045.jpg</t>
  </si>
  <si>
    <t>EBTAQ25-01.203</t>
  </si>
  <si>
    <t>BIO_Images/EBTAQ25-01.203.jpg</t>
  </si>
  <si>
    <t>EBTAQ25-01.204</t>
  </si>
  <si>
    <t>BIO_Images/EBTAQ25-01.204.jpg</t>
  </si>
  <si>
    <t>EBTAQ25-01.205</t>
  </si>
  <si>
    <t>SITI MASRIDATUN NAFIAH</t>
  </si>
  <si>
    <t>PARWONO</t>
  </si>
  <si>
    <t>PIK WIDAYAH</t>
  </si>
  <si>
    <t>BIO_Images/EBTAQ25-01.205.jpg</t>
  </si>
  <si>
    <t>EBTAQ25-01.206</t>
  </si>
  <si>
    <t>Assyifa Mufidatur Rochmah</t>
  </si>
  <si>
    <t>Rochmadi</t>
  </si>
  <si>
    <t>Isnawiyah</t>
  </si>
  <si>
    <t>BIO_Images/EBTAQ25-01.206.jpg</t>
  </si>
  <si>
    <t>EBTAQ25-01.207</t>
  </si>
  <si>
    <t>Izza lailatul muna</t>
  </si>
  <si>
    <t>Cangring rembang,DEMAK</t>
  </si>
  <si>
    <t>Masturin</t>
  </si>
  <si>
    <t>tri lasmiatun</t>
  </si>
  <si>
    <t>BIO_Images/EBTAQ25-01.207.jpg</t>
  </si>
  <si>
    <t>EBTAQ25-01.208</t>
  </si>
  <si>
    <t>Adelia faranisa azni</t>
  </si>
  <si>
    <t>Puji Widarto</t>
  </si>
  <si>
    <t>Ratnasari</t>
  </si>
  <si>
    <t>BIO_Images/EBTAQ25-01.208.jpg</t>
  </si>
  <si>
    <t>EBTAQ25-01.209</t>
  </si>
  <si>
    <t>A'inur Riza Wafiroh</t>
  </si>
  <si>
    <t>Saeful Hadi</t>
  </si>
  <si>
    <t>Alm.Munawaroh</t>
  </si>
  <si>
    <t>BIO_Images/EBTAQ25-01.209.jpg</t>
  </si>
  <si>
    <t>EBTAQ25-01.210</t>
  </si>
  <si>
    <t>prischaila hanny alvenira</t>
  </si>
  <si>
    <t>budi suyanto</t>
  </si>
  <si>
    <t>eni setiyowati</t>
  </si>
  <si>
    <t>BIO_Images/EBTAQ25-01.210.jpg</t>
  </si>
  <si>
    <t>EBTAQ25-01.211</t>
  </si>
  <si>
    <t>KEYSHA Al MAQHVIRA</t>
  </si>
  <si>
    <t>Agus suradi</t>
  </si>
  <si>
    <t>Purwaningsih</t>
  </si>
  <si>
    <t>BIO_Images/EBTAQ25-01.211.jpg</t>
  </si>
  <si>
    <t>EBTAQ25-01.212</t>
  </si>
  <si>
    <t>Prischaila hanny alvenira</t>
  </si>
  <si>
    <t>Budi suyanto</t>
  </si>
  <si>
    <t>Eni setiyowati</t>
  </si>
  <si>
    <t>BIO_Images/EBTAQ25-01.212.jpeg</t>
  </si>
  <si>
    <t>EBTAQ25-01.213</t>
  </si>
  <si>
    <t>Fitriana aida syifa</t>
  </si>
  <si>
    <t>Budi utomo</t>
  </si>
  <si>
    <t>Siti masroyah</t>
  </si>
  <si>
    <t>BIO_Images/EBTAQ25-01.213.jpg</t>
  </si>
  <si>
    <t>EBTAQ25-01.214</t>
  </si>
  <si>
    <t>Kanza Tichtania Akshafani Irawan</t>
  </si>
  <si>
    <t>IRAWAN NOOR ARIFIANTO</t>
  </si>
  <si>
    <t>IDA MUZANIFAH</t>
  </si>
  <si>
    <t>BIO_Images/EBTAQ25-01.214.jpg</t>
  </si>
  <si>
    <t>Karangga - Al Furqon</t>
  </si>
  <si>
    <t>EBTAQ25-01.215</t>
  </si>
  <si>
    <t>KHANZA AZZAHRA SAID</t>
  </si>
  <si>
    <t>ANWAR SAID</t>
  </si>
  <si>
    <t>ROIKHATIN NI'MAH</t>
  </si>
  <si>
    <t>BIO_Images/EBTAQ25-01.215.jpg</t>
  </si>
  <si>
    <t>EBTAQ25-01.216</t>
  </si>
  <si>
    <t>ABID FHADIL PRANAJA</t>
  </si>
  <si>
    <t>SETIYO PURNOMO</t>
  </si>
  <si>
    <t>MAULIDDIYAH NINGRUM</t>
  </si>
  <si>
    <t>BIO_Images/EBTAQ25-01.216.jpg</t>
  </si>
  <si>
    <t>EBTAQ25-01.217</t>
  </si>
  <si>
    <t>Athaya Zahira Rifda</t>
  </si>
  <si>
    <t>Samiono</t>
  </si>
  <si>
    <t>Sri ngatini</t>
  </si>
  <si>
    <t>BIO_Images/EBTAQ25-01.217.jpg</t>
  </si>
  <si>
    <t>EBTAQ25-01.218</t>
  </si>
  <si>
    <t>Zidny 'Ilma Annayla</t>
  </si>
  <si>
    <t>KHOIRUN NIAM</t>
  </si>
  <si>
    <t>RINAWATI</t>
  </si>
  <si>
    <t>BIO_Images/EBTAQ25-01.218.jpg</t>
  </si>
  <si>
    <t>EBTAQ25-01.219</t>
  </si>
  <si>
    <t>Silvia adinda neng tias</t>
  </si>
  <si>
    <t>Ahmad nur hasyim</t>
  </si>
  <si>
    <t>Sulyati</t>
  </si>
  <si>
    <t>BIO_Images/EBTAQ25-01.219.jpg</t>
  </si>
  <si>
    <t>EBTAQ25-01.220</t>
  </si>
  <si>
    <t>Ardian rizqina fajri</t>
  </si>
  <si>
    <t>Ardi kusmiran</t>
  </si>
  <si>
    <t>Laela cholisna</t>
  </si>
  <si>
    <t>BIO_Images/EBTAQ25-01.220.jpg</t>
  </si>
  <si>
    <t>EBTAQ25-01.221</t>
  </si>
  <si>
    <t>Silvia Adinda Ningtias</t>
  </si>
  <si>
    <t>Ahmad Nur Hasyim</t>
  </si>
  <si>
    <t>BIO_Images/EBTAQ25-01.221.jpg</t>
  </si>
  <si>
    <t>EBTAQ25-01.222</t>
  </si>
  <si>
    <t>Muhammad Farid Al Hafizh</t>
  </si>
  <si>
    <t>Ali Sobirin</t>
  </si>
  <si>
    <t>Mariya ulfa</t>
  </si>
  <si>
    <t>BIO_Images/EBTAQ25-01.222.jpg</t>
  </si>
  <si>
    <t>EBTAQ25-01.223</t>
  </si>
  <si>
    <t>Mariya Ulfa</t>
  </si>
  <si>
    <t>BIO_Images/EBTAQ25-01.223.jpg</t>
  </si>
  <si>
    <t>EBTAQ25-01.224</t>
  </si>
  <si>
    <t>MUHAMMAD FAHRIZA RAHMAN</t>
  </si>
  <si>
    <t>BUDIYANTO</t>
  </si>
  <si>
    <t>NAILY RAHMAWATI</t>
  </si>
  <si>
    <t>BIO_Images/EBTAQ25-01.224.jpeg</t>
  </si>
  <si>
    <t>DEMAK - SDIT AZZAHRA</t>
  </si>
  <si>
    <t>Tanggal Lahir</t>
  </si>
  <si>
    <t>Diupdate pada Rabu, 10 Desember 2025 - 07.30 WIB</t>
  </si>
  <si>
    <t>Mranggen</t>
  </si>
  <si>
    <t>https://drive.google.com/open?id=1mrEM8U6G0fnxB_WTM_uGprNxAl7eOq0e</t>
  </si>
  <si>
    <t>fatimatuzzahra828@gmail.com</t>
  </si>
  <si>
    <t>https://drive.google.com/open?id=1CxbLWtvE5o0cP9rqTU94xgy6vevWYehK</t>
  </si>
  <si>
    <t>nikmaturrosyidah4@gmail.com</t>
  </si>
  <si>
    <t>https://drive.google.com/file/d/149ZcJWZKRBGgnZcEt-5zAFELzAWTeuhf/view?usp=drivesdk</t>
  </si>
  <si>
    <t>https://drive.google.com/open?id=1-nHm9EXUgpOrxGSEEER_gd2MzcM0-AUU</t>
  </si>
  <si>
    <t>safarohnizam@gmail.com</t>
  </si>
  <si>
    <t>https://drive.google.com/file/d/17FDEWneIX3pFjiXjVZWejPQ5zwFH3zq7/view?usp=drivesdk</t>
  </si>
  <si>
    <t>https://drive.google.com/open?id=1f5SwUGtvDG6QgH4U3gKJlQTxwe1MwDIH</t>
  </si>
  <si>
    <t>hikmatulishaq@gmail.com</t>
  </si>
  <si>
    <t>https://drive.google.com/file/d/1S1EnzUcSIlncCOXIW-y-UYZySpxnWtrK/view?usp=drivesdk</t>
  </si>
  <si>
    <t>https://drive.google.com/open?id=1x0WjMDp1vEONPYIFlWgEEhmV92TyO6i0</t>
  </si>
  <si>
    <t>nakhilajihan@gmail.com</t>
  </si>
  <si>
    <t>https://drive.google.com/file/d/1EvjlRBAVrIAOWUp1uoIG7LEz7ATejl9R/view?usp=drivesdk</t>
  </si>
  <si>
    <t>https://drive.google.com/open?id=17le2Igs59p_HTSCsAR3GNNJt2RIMSDCY</t>
  </si>
  <si>
    <t>faihaannisa632@gmail.com</t>
  </si>
  <si>
    <t>https://drive.google.com/file/d/1XjXJtEPl3B4Z5iGDIg75rMCNXz0i-1_f/view?usp=drivesdk</t>
  </si>
  <si>
    <t>https://drive.google.com/open?id=11JLbasjtEy0YNiuuHAGDR05kzL8r2mTs</t>
  </si>
  <si>
    <t>khusna8765@gmail.com</t>
  </si>
  <si>
    <t>https://drive.google.com/file/d/1sYSdtjmuBXfAU8eS9sDn2m_a-iJScwgf/view?usp=drivesdk</t>
  </si>
  <si>
    <t>https://drive.google.com/open?id=1rW0U4BxDjbyOl2mhyPLhvdRdedM758eF</t>
  </si>
  <si>
    <t>suciptokarangmlati@gmail.com</t>
  </si>
  <si>
    <t>https://drive.google.com/file/d/1lud1iW1ZfaSG2vQU33r5nidI79TTuo11/view?usp=drivesdk</t>
  </si>
  <si>
    <t>https://drive.google.com/open?id=1JNVvb5MHz_uR3Se5WpFia029sUNc5CvC</t>
  </si>
  <si>
    <t>fikriyahhd@gmail.com</t>
  </si>
  <si>
    <t>https://drive.google.com/file/d/1kd4F2IwGWQ2a0pKywjKyKjQDpOyfseEK/view?usp=drivesdk</t>
  </si>
  <si>
    <t>https://drive.google.com/open?id=1TWXX2Dc3Rz4kjWJ-tCJAgX26qkrP6gvh</t>
  </si>
  <si>
    <t>mawarmelati1503@gmail.com</t>
  </si>
  <si>
    <t>https://drive.google.com/file/d/15fXGhFlhRT0fllOpTzons26Mhuoo_NQz/view?usp=drivesdk</t>
  </si>
  <si>
    <t>https://drive.google.com/open?id=1kV7426-pZepQwruh-h4gakwsSJ1VIWc1</t>
  </si>
  <si>
    <t>rmaghfiroh881@gmail.com</t>
  </si>
  <si>
    <t>https://drive.google.com/file/d/1gt_POAXQ21jIiShA8tSKzkmzmGd0Kr9g/view?usp=drivesdk</t>
  </si>
  <si>
    <t>https://drive.google.com/open?id=1w25YpuRXIefDgcDRiGW1VWfusl3lFqcR</t>
  </si>
  <si>
    <t>zakiyazaa231@gmail.com</t>
  </si>
  <si>
    <t>https://drive.google.com/file/d/1Z8VAly-FHrt4-JIjrjnOWfb91tQRMS3H/view?usp=drivesdk</t>
  </si>
  <si>
    <t>https://drive.google.com/open?id=1jOANmbzmyYjUM6tdjRiWi4fMqMz5vD3g</t>
  </si>
  <si>
    <t>dinakhulala12@gmail.com</t>
  </si>
  <si>
    <t>https://drive.google.com/file/d/18qA0XYpW8znmpl-jwf8kLxpd3vcgDhl7/view?usp=drivesdk</t>
  </si>
  <si>
    <t>https://drive.google.com/open?id=1pRMvhhPakWHk3JmmvYk6b40bAoByDjzA</t>
  </si>
  <si>
    <t>maghfirahria1@gmail.com</t>
  </si>
  <si>
    <t>https://drive.google.com/file/d/1rbCJ9fGlKrMK_wX_lh4yjxkZXgs290vw/view?usp=drivesdk</t>
  </si>
  <si>
    <t>https://drive.google.com/open?id=131vEc_tb2CaI6NiXAmQlVeHz3MaJJZ8c</t>
  </si>
  <si>
    <t>umikhofifah47@gmail.com</t>
  </si>
  <si>
    <t>https://drive.google.com/file/d/1dY4k05JvqvcBF8ClydSxowkheonBbuYU/view?usp=drivesdk</t>
  </si>
  <si>
    <t>https://drive.google.com/open?id=1mffKwhPgMn00z0NCbZVvkfQisa6l1xnB</t>
  </si>
  <si>
    <t>nasiiruddinahmd@gmail.com</t>
  </si>
  <si>
    <t>https://drive.google.com/file/d/1MJieGOF4wwxIyBnxMe-bLgJPZ4wbeakH/view?usp=drivesdk</t>
  </si>
  <si>
    <t>BMW</t>
  </si>
  <si>
    <t>https://drive.google.com/open?id=1XJn7exgblE_C0cdVs8mVs4BYmXENPaed</t>
  </si>
  <si>
    <t>nurulinaroh6993@gmail.com</t>
  </si>
  <si>
    <t>EBTAQ25-03.001</t>
  </si>
  <si>
    <t>https://drive.google.com/file/d/1cbHWiV1ECKjSNILLkpgHmEvEytlXiwoI/view?usp=drivesdk</t>
  </si>
  <si>
    <t>https://drive.google.com/open?id=1E4csb5W-STQOw9FRg38eiP_P5pJUcJB4</t>
  </si>
  <si>
    <t>ffatikhin487@gmail.com</t>
  </si>
  <si>
    <t>https://drive.google.com/file/d/1JqkXfnzZ951QZZHAdPiUfB2ZNo53xQDz/view?usp=drivesdk</t>
  </si>
  <si>
    <t>https://drive.google.com/open?id=1-1klgcJlXxYe8igSJUmKUGLPBJMEahg1</t>
  </si>
  <si>
    <t>mariyahmariyah02@gmail.com</t>
  </si>
  <si>
    <t>https://drive.google.com/file/d/1eyISSuHTIJsKbD3-okOjioatG6FRhuKy/view?usp=drivesdk</t>
  </si>
  <si>
    <t>Muhammad Ghani Aqilleo</t>
  </si>
  <si>
    <t>Abdul Rouf</t>
  </si>
  <si>
    <t>Laili Suryani</t>
  </si>
  <si>
    <t>https://drive.google.com/open?id=1layLAjEW5waE-PElONo6q_d02rozq-Fj</t>
  </si>
  <si>
    <t>misbakhulmunirdmk@gmail.com</t>
  </si>
  <si>
    <t>EBTAQ25-01.120</t>
  </si>
  <si>
    <t>https://drive.google.com/file/d/1SVAkq0Xp0jfLcj6pszMlKZ2xy32aT36N/view?usp=drivesdk</t>
  </si>
  <si>
    <t>https://drive.google.com/open?id=1VFbJnLngCWLAnS2WIsiPL5ZOy0hUYxra</t>
  </si>
  <si>
    <t>aniekaanasari@gmail.com</t>
  </si>
  <si>
    <t>https://drive.google.com/file/d/1fHUlNEFCM7LfXIB1ee_rFSHq6U1QjMcn/view?usp=drivesdk</t>
  </si>
  <si>
    <t>https://drive.google.com/open?id=1IcjIiVs_nkbDbfGNy7mcGkVSrvHSPOKD</t>
  </si>
  <si>
    <t>sitichanifah0606@gmail.com</t>
  </si>
  <si>
    <t>https://drive.google.com/file/d/1_SujYlKbyvK7wiJSAKSl8u8zn_EMD8ZY/view?usp=drivesdk</t>
  </si>
  <si>
    <t>https://drive.google.com/open?id=1kNPXsNr8cpoppYLSIGFQo63l2eJbOOpM</t>
  </si>
  <si>
    <t>nescya07@gmail.com</t>
  </si>
  <si>
    <t>https://drive.google.com/file/d/1GnF5Jq5SgHl1wbOSotYT7yuCup9iQd5t/view?usp=drivesdk</t>
  </si>
  <si>
    <t>https://drive.google.com/open?id=1buT_gA_8WnR057QnjJcKJGpcqOXcrxpZ</t>
  </si>
  <si>
    <t>mitha.hanifia@gmail.com</t>
  </si>
  <si>
    <t>https://drive.google.com/file/d/1KVgyd-obhzgpGt-U48murLpfF7pvj7ju/view?usp=drivesdk</t>
  </si>
  <si>
    <t>https://drive.google.com/open?id=1Xt-4eR2om8sAeCpB37kBVM4OgqhVozBT</t>
  </si>
  <si>
    <t>lailisuryani50@guru.sd.belajar.id</t>
  </si>
  <si>
    <t>https://drive.google.com/file/d/14gP-SNC_bdljk1sN3rMS-CeoNsr9HoU1/view?usp=drivesdk</t>
  </si>
  <si>
    <t>https://drive.google.com/open?id=1KiT-i5-qROCkVo4sQQaYNGfYBqDBOklo</t>
  </si>
  <si>
    <t>dtalita784@gmail.com</t>
  </si>
  <si>
    <t>https://drive.google.com/file/d/1Tmk_OEOPy4g1cxTddw5k7pd1DTl4IJ_W/view?usp=drivesdk</t>
  </si>
  <si>
    <t>https://drive.google.com/open?id=1pwccknEVS32XQVbBan7a8RCs43KKe4SL</t>
  </si>
  <si>
    <t>bengokpapabeb@gmail.com</t>
  </si>
  <si>
    <t>https://drive.google.com/file/d/1eGvDWa6C7_9kH4RMz5ZL2s70r6jbMN40/view?usp=drivesdk</t>
  </si>
  <si>
    <t>https://drive.google.com/open?id=1xr_rr_Y7jZ8X2AS0bNQHe3ibHlF8bdy2</t>
  </si>
  <si>
    <t>isnaandintias@gmail.com</t>
  </si>
  <si>
    <t>https://drive.google.com/file/d/1wL6LkDyYPpv7TkkhIgM9FGUcQgJmMuul/view?usp=drivesdk</t>
  </si>
  <si>
    <t>https://drive.google.com/open?id=1QEkp6U6e4u90Z3X-3aINY58kKwgjuygn</t>
  </si>
  <si>
    <t>viyantielocta@gmail.com</t>
  </si>
  <si>
    <t>https://drive.google.com/file/d/1rtNIUlhFUOTgp0t5NPNnKGM2NBJuQB-U/view?usp=drivesdk</t>
  </si>
  <si>
    <t>Karbon</t>
  </si>
  <si>
    <t>Karbon - TPQ MASITHOH 2</t>
  </si>
  <si>
    <t>https://drive.google.com/open?id=1Tu4b8lvkyu7hGhMCpg7MCjrutLBpI3EX</t>
  </si>
  <si>
    <t>lailysholihah285@gmail.com</t>
  </si>
  <si>
    <t>https://drive.google.com/file/d/17N1AozQzDziBCSLN4csM9aI_XeIDBLnk/view?usp=drivesdk</t>
  </si>
  <si>
    <t>Karbon - TPQ MASITHOH 3</t>
  </si>
  <si>
    <t>https://drive.google.com/open?id=1XW61HOHCK0XVrUP7ANRL0eoOSASYPHQr</t>
  </si>
  <si>
    <t>annisabrambang@gmail.com</t>
  </si>
  <si>
    <t>https://drive.google.com/file/d/1ef8mSGbE_xGVtfujHMuHL9ufAT83Qhhf/view?usp=drivesdk</t>
  </si>
  <si>
    <t>Karbon - TPQ MASITHOH 4</t>
  </si>
  <si>
    <t>https://drive.google.com/open?id=1FncvB5Vcx9so08LAIrt9gIqtGLq8KJY4</t>
  </si>
  <si>
    <t>annisasinok@gmail.com</t>
  </si>
  <si>
    <t>https://drive.google.com/file/d/1ET2-muK3eJ-46EEHm9DAx5JqkL0a1Apv/view?usp=drivesdk</t>
  </si>
  <si>
    <t>Karbon - TPQ MASITHOH 5</t>
  </si>
  <si>
    <t>https://drive.google.com/open?id=1aqjkZhGHrKUqN5F-HA9Sm6tyIra27jA1</t>
  </si>
  <si>
    <t>bu.ida181195@gmail.com</t>
  </si>
  <si>
    <t>https://drive.google.com/file/d/1Pvsg3IngayRTExM_QWDU8J9mMJg6jD81/view?usp=drivesdk</t>
  </si>
  <si>
    <t>Karbon - TPQ MASITHOH 6</t>
  </si>
  <si>
    <t>https://drive.google.com/open?id=1e2rBLAZACsO2SMhgH2S8GJi_c6fm7A4Q</t>
  </si>
  <si>
    <t>ppsbrambang47@gmail.com</t>
  </si>
  <si>
    <t>https://drive.google.com/file/d/1U_QujdmXAUYZRz5C_KkUXTzwAeG5Fztp/view?usp=drivesdk</t>
  </si>
  <si>
    <t>Karbon - TPQ MASITHOH 7</t>
  </si>
  <si>
    <t>https://drive.google.com/open?id=1yq_ugUBH4_QnKVI9Uqy8Cu1pbDe06m1o</t>
  </si>
  <si>
    <t>ariekey459@gmail.com</t>
  </si>
  <si>
    <t>https://drive.google.com/file/d/19At_hqHHeLD00n2QWQ19sm3Ww1lDCDDF/view?usp=drivesdk</t>
  </si>
  <si>
    <t>Karbon - TPQ MASITHOH 8</t>
  </si>
  <si>
    <t>https://drive.google.com/open?id=1IuqZK1MDvBF-QJCHXfghgBFiYEvoAWbP</t>
  </si>
  <si>
    <t>kusm17889@gmail.com</t>
  </si>
  <si>
    <t>https://drive.google.com/file/d/1RG0r7j_f1DRlXA34orDGNeYRKGuwmreQ/view?usp=drivesdk</t>
  </si>
  <si>
    <t>Alif Nur Zakiyyah Akhfi</t>
  </si>
  <si>
    <t>Nur Sahid</t>
  </si>
  <si>
    <t>Arni Ardiyawati</t>
  </si>
  <si>
    <t>https://drive.google.com/open?id=1Ny17lnfX-4BOT0H8C84w8ILdAaOKAhfk</t>
  </si>
  <si>
    <t>saefudin17629@gmail.com</t>
  </si>
  <si>
    <t>https://drive.google.com/open?id=1N4I-rJoRqYO6-z-q8FDA3RPsKlCAo8yZ</t>
  </si>
  <si>
    <t>mmaruf0139@gmail.com</t>
  </si>
  <si>
    <t>https://drive.google.com/file/d/1YZXmYgHoUXIlrQmAIm56xGbOsPn0RHZ8/view?usp=drivesdk</t>
  </si>
  <si>
    <t>https://drive.google.com/open?id=1fTj32WcxxeyU5nhWY4a-9X_-EaZHo-pP</t>
  </si>
  <si>
    <t>mm5926704@gmail.com</t>
  </si>
  <si>
    <t>https://drive.google.com/file/d/1DhGseUBDz8r54aw6wcyydwSL3BTLCH8x/view?usp=drivesdk</t>
  </si>
  <si>
    <t>Karbon - TPQ Nahdlotul Qur'an</t>
  </si>
  <si>
    <t>RARA TRI APRILIANA</t>
  </si>
  <si>
    <t>RAKIMIN</t>
  </si>
  <si>
    <t>ROMLAH</t>
  </si>
  <si>
    <t>https://drive.google.com/open?id=1sdEp7nkHPIHNea7-o8dNU9j0J6t_RvVp</t>
  </si>
  <si>
    <t>nahdlotulqurantpq1@gmail.com</t>
  </si>
  <si>
    <t>naura latisha aquina</t>
  </si>
  <si>
    <t>ahmad saefudin</t>
  </si>
  <si>
    <t>ropiah</t>
  </si>
  <si>
    <t>https://drive.google.com/open?id=1b7iLYDeTO2_GAwCfNxeuWQ4j5H8DrQ6f</t>
  </si>
  <si>
    <t>ainamoena406@gmail.com</t>
  </si>
  <si>
    <t>NABILA NAILU ZAKIYYATUL MUNA</t>
  </si>
  <si>
    <t>MUHAMAD KOERI</t>
  </si>
  <si>
    <t>https://drive.google.com/open?id=1J6hgh25lrq6QxILNjyQ0YHMzEyONzlLz</t>
  </si>
  <si>
    <t>tpqnahdzathulquran@gmail.com</t>
  </si>
  <si>
    <t>DANISHA NAIRA NAJMI</t>
  </si>
  <si>
    <t>MOH AGUS SALIM</t>
  </si>
  <si>
    <t>NURUL KHOIRIYAH</t>
  </si>
  <si>
    <t>https://drive.google.com/open?id=1f7BauV_HURJdeOaOy528B_BsEqCXVuVk</t>
  </si>
  <si>
    <t>shivaalizzah@gmail.com</t>
  </si>
  <si>
    <t>TALITHA MUTIA AZZAHRA</t>
  </si>
  <si>
    <t>AKHID IRIADI</t>
  </si>
  <si>
    <t>IKA SILVIA MARTANIA</t>
  </si>
  <si>
    <t>https://drive.google.com/open?id=1ScalFEZn28SCwSvF1URw2lzAg2dTrZcW</t>
  </si>
  <si>
    <t>drah16022@gmail.com</t>
  </si>
  <si>
    <t>KHOIRUNNISA SALSABILA</t>
  </si>
  <si>
    <t>MIFTAHUL HUDA</t>
  </si>
  <si>
    <t>AINUL MAFROKAH</t>
  </si>
  <si>
    <t>https://drive.google.com/open?id=15osqENtLHUOcWDqiYr-GyV9HvWcOgpFL</t>
  </si>
  <si>
    <t>farikahica@gmail.com</t>
  </si>
  <si>
    <t>https://drive.google.com/open?id=19tCLQWzxYlOb3-WPS90V1hNJ0Hq1rBlO</t>
  </si>
  <si>
    <t>salwaazzlea@gmail.com</t>
  </si>
  <si>
    <t>https://drive.google.com/file/d/14Nv3YO6iRspLKQg4h1unQeYheO1cExyR/view?usp=drivesdk</t>
  </si>
  <si>
    <t>Karbon - TPQ Masithoh II</t>
  </si>
  <si>
    <t>Muhammad Danish Arkana</t>
  </si>
  <si>
    <t>Pekalongan</t>
  </si>
  <si>
    <t>Muhamad Rofiq</t>
  </si>
  <si>
    <t>Tri Umiati</t>
  </si>
  <si>
    <t>https://drive.google.com/open?id=1eZ7LPhPCfn0H3eIXC19-y6wrBpmN9vqK</t>
  </si>
  <si>
    <t>uswatunkhasanahh286@gmail.com</t>
  </si>
  <si>
    <t>https://drive.google.com/open?id=1EursjyoKVsOOdaX7_nmRhOD_sLJ_Xqpf</t>
  </si>
  <si>
    <t>aqilafifi1508@gmail.com</t>
  </si>
  <si>
    <t>https://drive.google.com/file/d/1duWKV1kvFWgFCWKHuZDEt35jKOtxj-wr/view?usp=drivesdk</t>
  </si>
  <si>
    <t>Maulida Naila nabila</t>
  </si>
  <si>
    <t>Demak,12 Desember 2016</t>
  </si>
  <si>
    <t>Muhammad mashuri</t>
  </si>
  <si>
    <t>Amin munzainah</t>
  </si>
  <si>
    <t>https://drive.google.com/open?id=1lXJ91qEoINauEsJBwCjp9JHhk5opuCoa</t>
  </si>
  <si>
    <t>maulidanailanabila@gmail.com</t>
  </si>
  <si>
    <t>Kiandra Aqila Hatmiko</t>
  </si>
  <si>
    <t>Anjar tri hatmiko</t>
  </si>
  <si>
    <t>Retno murdianingrum</t>
  </si>
  <si>
    <t>https://drive.google.com/open?id=1Z73nzZVBDsXoeelvZ2Obqnt6XdhGo7pk</t>
  </si>
  <si>
    <t>anjarhatmiko@gmail.com</t>
  </si>
  <si>
    <t>Maylani Ananda Putri</t>
  </si>
  <si>
    <t>Fendy Agus Riyanto</t>
  </si>
  <si>
    <t>Iatikomah</t>
  </si>
  <si>
    <t>https://drive.google.com/open?id=1KZ3BdpHkZJ91SxoNy2OxucX875ogiOMT</t>
  </si>
  <si>
    <t>islanisti@gmail.com</t>
  </si>
  <si>
    <t>https://drive.google.com/open?id=1RmOfQW2PGka_V6WNPufdkcdoh--62LC-</t>
  </si>
  <si>
    <t>nnurulhikmah66@gmail.com</t>
  </si>
  <si>
    <t>https://drive.google.com/file/d/1PO8E7oS2ehB8cYadjZVFLTgXGjGQI0Rk/view?usp=drivesdk</t>
  </si>
  <si>
    <t>https://drive.google.com/open?id=1GVSfUtAd-VG7N2w11azVOuPqlJ_pNFuw</t>
  </si>
  <si>
    <t>sutiyono181196@gmail.com</t>
  </si>
  <si>
    <t>https://drive.google.com/file/d/1DTrIoNS5cMoRVmaf0qupTwwlTE7YxG0M/view?usp=drivesdk</t>
  </si>
  <si>
    <t>https://drive.google.com/open?id=1oQsAvkXWCUF9n6b2_aeH4kFyF8shv37-</t>
  </si>
  <si>
    <t>ahmadmuishalim@gmail.com</t>
  </si>
  <si>
    <t>https://drive.google.com/file/d/16q53V4Laz3VSZSD_KyTHH57gFohSyxWP/view?usp=drivesdk</t>
  </si>
  <si>
    <t>https://drive.google.com/open?id=14E5FgdJRCNN0IW5-JZpQBrIEikxE3YJ1</t>
  </si>
  <si>
    <t>putraares16@gmail.com</t>
  </si>
  <si>
    <t>https://drive.google.com/file/d/1kprFT6bfGHlELBKpdd_wHDR2CaFUqKvH/view?usp=drivesdk</t>
  </si>
  <si>
    <t>https://drive.google.com/open?id=1lIcEYP_y7vtj35IiBeu0Avjean_3jfWO</t>
  </si>
  <si>
    <t>nunkciiu@gmail.com</t>
  </si>
  <si>
    <t>https://drive.google.com/file/d/1d2D3VZ5cR9VXYEmbLc3AhLPyv0yomnPB/view?usp=drivesdk</t>
  </si>
  <si>
    <t>https://drive.google.com/open?id=12S2kwR_D4ywJtsZGWeVh4sFmp_StkTPu</t>
  </si>
  <si>
    <t>revanpamudi@gmail.com</t>
  </si>
  <si>
    <t>https://drive.google.com/file/d/15bukjPSIKhtn074THOHOpcBmOU0pC7KY/view?usp=drivesdk</t>
  </si>
  <si>
    <t>https://drive.google.com/open?id=1sK6HeLqWPPg_hDzXX8TStXEgzC_J0OtB</t>
  </si>
  <si>
    <t>defatimah8@gmail.com</t>
  </si>
  <si>
    <t>https://drive.google.com/file/d/14jQTZGNIoxylLqXsorOx9I5LHpoFAl3e/view?usp=drivesdk</t>
  </si>
  <si>
    <t>RAFA AHMAD ANSHORI</t>
  </si>
  <si>
    <t>A. KHARIS MUKTAFI</t>
  </si>
  <si>
    <t>ANNI FARICHAH</t>
  </si>
  <si>
    <t>https://drive.google.com/open?id=1pOsKMAA76XvfpEVBXDNLQ8i4PUMEGwjQ</t>
  </si>
  <si>
    <t>rafakaka369@gmail.com</t>
  </si>
  <si>
    <t>Alif nur zakiyyah akhfi</t>
  </si>
  <si>
    <t>Nur sahid</t>
  </si>
  <si>
    <t>Arni ardiyawati</t>
  </si>
  <si>
    <t>https://drive.google.com/open?id=1JYaLZxWPQGhq2uzPz2Xkuujdbg3s7QwV</t>
  </si>
  <si>
    <t>sahidn688@gmail.com</t>
  </si>
  <si>
    <t>DIAS WAHYU PRATAMA</t>
  </si>
  <si>
    <t>Muhamad Nasi'in</t>
  </si>
  <si>
    <t>Rondiyah</t>
  </si>
  <si>
    <t>https://drive.google.com/open?id=1E0fThNgGcTVzGkiYXgSDjtsMTaiijxAO</t>
  </si>
  <si>
    <t>dito.cahsmc04@gmail.com</t>
  </si>
  <si>
    <t>Muhammad Khalid Sutarji</t>
  </si>
  <si>
    <t>Sutarji</t>
  </si>
  <si>
    <t>Novrida Ningsih Simangunsong</t>
  </si>
  <si>
    <t>https://drive.google.com/open?id=1FhWJy2sxBunzCyAWQEWREA6v6ALf73JP</t>
  </si>
  <si>
    <t>bputriaf@gmail.com</t>
  </si>
  <si>
    <t>Rafi Ahmad Anshori</t>
  </si>
  <si>
    <t>A. Kharis Muktafi</t>
  </si>
  <si>
    <t>Anni Farichah</t>
  </si>
  <si>
    <t>https://drive.google.com/open?id=1cHoPZvGcYBL4SuoKcoGMiXDGZ-46Thgo</t>
  </si>
  <si>
    <t>rafidede369@gmail.com</t>
  </si>
  <si>
    <t>Muhammad Zidan Alfarisi</t>
  </si>
  <si>
    <t>Saiful Amri</t>
  </si>
  <si>
    <t>Maftukah</t>
  </si>
  <si>
    <t>https://drive.google.com/open?id=16ATLLsdFV7EGPJqNlMV2ejRLfBkT65_D</t>
  </si>
  <si>
    <t>maftukahmaftukah750@gmail.com</t>
  </si>
  <si>
    <t>https://drive.google.com/open?id=1AlDt9UVWXT0HsGIrAGBrLDKIExqgKZX0</t>
  </si>
  <si>
    <t>sayfuluciha@gmail.com</t>
  </si>
  <si>
    <t>https://drive.google.com/open?id=1dyGM06YqSkXm9kVYE3yx83iJ5QNzesKx</t>
  </si>
  <si>
    <t>sa6627241@gmail.com</t>
  </si>
  <si>
    <t>https://drive.google.com/file/d/1IXwBZI99q9Ydgem9QzT__Uy8GtLVLtO5/view?usp=drivesdk</t>
  </si>
  <si>
    <t>Dewoka</t>
  </si>
  <si>
    <t>Roisatut Dzawin Najah</t>
  </si>
  <si>
    <t>Pati</t>
  </si>
  <si>
    <t>Mohammad Shodiqin</t>
  </si>
  <si>
    <t>Siti Aminah</t>
  </si>
  <si>
    <t>https://drive.google.com/open?id=1fjNxsrf9W7fYUvRpAigsHGf_U1kBjS3X</t>
  </si>
  <si>
    <t>fatkhurrokhim150@gmail.com</t>
  </si>
  <si>
    <t>https://drive.google.com/open?id=1b-EkNdMS0my60PkWXyCtM8EB8nRmb2ux</t>
  </si>
  <si>
    <t>fitrinada123@gmail.com</t>
  </si>
  <si>
    <t>https://drive.google.com/file/d/1z9CRczk6X-5xmflZmSDZmACM7ovFdclX/view?usp=drivesdk</t>
  </si>
  <si>
    <t>https://drive.google.com/open?id=1-JlOBkhsUxG-7ImEr68jtIx3WRFUWzE9</t>
  </si>
  <si>
    <t>istifaizah069@gmail.com</t>
  </si>
  <si>
    <t>https://drive.google.com/file/d/1zVHCpf7hCF1zawQMUuDp2eiYApv0aJ89/view?usp=drivesdk</t>
  </si>
  <si>
    <t>https://drive.google.com/open?id=194j5bxf8hHvd58MQybD5WjOwGInexIEl</t>
  </si>
  <si>
    <t>adamintanpuput@gmail.com</t>
  </si>
  <si>
    <t>https://drive.google.com/file/d/1dDIoKvzN_f43pjEfi6KxLn0omD4PRiLe/view?usp=drivesdk</t>
  </si>
  <si>
    <t>https://drive.google.com/open?id=1ZlGNkOiVxAQSBR6l42nD-P2b9zftDtG2</t>
  </si>
  <si>
    <t>arsyamaulana782@gmail.com</t>
  </si>
  <si>
    <t>https://drive.google.com/file/d/12IHTULbYcsC76cWMsEuoO6MQjLvxIcN3/view?usp=drivesdk</t>
  </si>
  <si>
    <t>https://drive.google.com/open?id=1psFhggJNjW0Q06-AS_03545oWNwba2eD</t>
  </si>
  <si>
    <t>aryfin@gmail.com</t>
  </si>
  <si>
    <t>https://drive.google.com/file/d/1tYqDdTv8EqNUN0WZnu_2Epzf1tel6Eko/view?usp=drivesdk</t>
  </si>
  <si>
    <t>https://drive.google.com/open?id=1s3LFdyMeqFalnRmaui5QMwT40phv-BJm</t>
  </si>
  <si>
    <t>andarunawa@gmail.com</t>
  </si>
  <si>
    <t>https://drive.google.com/file/d/1Q7S0_V5biKLuwb1gcwjgfACk3ZJm-nuE/view?usp=drivesdk</t>
  </si>
  <si>
    <t>https://drive.google.com/open?id=1kP52y2Rm7ZGrAQVe9fX6z0qCNskgdVEC</t>
  </si>
  <si>
    <t>dewiratnawati123@gmail.com</t>
  </si>
  <si>
    <t>https://drive.google.com/file/d/1emSs0Wb-vszNXcXUTm7_Nm5uuZ0C2W9A/view?usp=drivesdk</t>
  </si>
  <si>
    <t>Karbon- Darussalam</t>
  </si>
  <si>
    <t>MUHAMMAD DANISH BAYHAQI</t>
  </si>
  <si>
    <t>HERU PRASETIO</t>
  </si>
  <si>
    <t>ENI SUSILOWATI</t>
  </si>
  <si>
    <t>https://drive.google.com/open?id=1xq6-KrEMMLVtaP7VGdOphzl6VRW8AS_w</t>
  </si>
  <si>
    <t>sitiaisyahrodie@gmail.com</t>
  </si>
  <si>
    <t>https://drive.google.com/open?id=1UtVdy_RjMIhep5DDkvzLWLhsmyIAbNsL</t>
  </si>
  <si>
    <t>nura52760@gmail.com</t>
  </si>
  <si>
    <t>https://drive.google.com/file/d/1g-3eOYAH1AGZPHfctQq0PPRTmCge4lsA/view?usp=drivesdk</t>
  </si>
  <si>
    <t>Dewoka - Nurul Qur'an</t>
  </si>
  <si>
    <t>M. FAIZAL FADHIL</t>
  </si>
  <si>
    <t>MASRUKIN</t>
  </si>
  <si>
    <t>KASNI</t>
  </si>
  <si>
    <t>https://drive.google.com/open?id=1DuN6bIsbuOiOuR1ATblM_dNgkdF3_jLy</t>
  </si>
  <si>
    <t>alimasrury58@gmail.com</t>
  </si>
  <si>
    <t>CINTYA FEBRIYANA SAPUTRI</t>
  </si>
  <si>
    <t>AHMAD YASIN</t>
  </si>
  <si>
    <t>SITI SUPRIYATI</t>
  </si>
  <si>
    <t>https://drive.google.com/open?id=14pqDV13WIuvBrYa7A0CbccGzFQL2Mp1R</t>
  </si>
  <si>
    <t>tpqnurulquran86@gmail.com</t>
  </si>
  <si>
    <t>Karbon - TPQ Darussalam</t>
  </si>
  <si>
    <t>MUHAMMAD LABIB ALI MURTADHO</t>
  </si>
  <si>
    <t>SUDIRMAN</t>
  </si>
  <si>
    <t>ARIFATUL KHOIRIYAH</t>
  </si>
  <si>
    <t>https://drive.google.com/open?id=1aI69pndUZux8CwDJQVcz5ZtFAQi4_bT-</t>
  </si>
  <si>
    <t>bilqis020425@gmail.com</t>
  </si>
  <si>
    <t>GITHA AZALIA</t>
  </si>
  <si>
    <t>MAHMUDI</t>
  </si>
  <si>
    <t>LIA KRISTIYANTI</t>
  </si>
  <si>
    <t>https://drive.google.com/open?id=1WzteGUUDy3K7Kh7fBgAO8Am3_wKosKnz</t>
  </si>
  <si>
    <t>azrildmk908@gmail.com</t>
  </si>
  <si>
    <t>AISYA IZZATUL ALISA</t>
  </si>
  <si>
    <t>MOHAMAD ZAINAL ABIDIN</t>
  </si>
  <si>
    <t>SITI RUMIYATI</t>
  </si>
  <si>
    <t>https://drive.google.com/open?id=1J29laIM0JiLBc8SqJgIInKanMKUsWC-U</t>
  </si>
  <si>
    <t>ilyasaahmad485@gmail.com</t>
  </si>
  <si>
    <t>SYIFA ELYSIA DARAPUSPITA</t>
  </si>
  <si>
    <t>SUSILO</t>
  </si>
  <si>
    <t>ENDANG DWI SUNARTI</t>
  </si>
  <si>
    <t>https://drive.google.com/open?id=1WsQuosg1RaN-iN512pZRH5a7A3cRrauc</t>
  </si>
  <si>
    <t>bloggerpemula359@gmail.com</t>
  </si>
  <si>
    <t>ELISSA WILDA FATMA</t>
  </si>
  <si>
    <t>MAULUDI</t>
  </si>
  <si>
    <t>ANIS</t>
  </si>
  <si>
    <t>https://drive.google.com/open?id=1AV8wU-YNe_yGftD8P5wsiJAyykQ5iRLO</t>
  </si>
  <si>
    <t>atasbawah604@gmail.com</t>
  </si>
  <si>
    <t>MUHAMMAD ROBITH AZAMI</t>
  </si>
  <si>
    <t>Ismail</t>
  </si>
  <si>
    <t>Siti Asrofatunnihayah</t>
  </si>
  <si>
    <t>https://drive.google.com/open?id=1mkmjQL_YPptkRE3hNw4ehb8QdoHrJy5p</t>
  </si>
  <si>
    <t>malikrohmah0@gmail.com</t>
  </si>
  <si>
    <t>https://drive.google.com/open?id=1p-87wUAweFz5djzE2NGcW9_WcQULwH6t</t>
  </si>
  <si>
    <t>aqsolamri42@gmail.com</t>
  </si>
  <si>
    <t>https://drive.google.com/file/d/1NbX6Tlzaihu3k_UpWRg_8KklRm0ONtYd/view?usp=drivesdk</t>
  </si>
  <si>
    <t>https://drive.google.com/open?id=1fjnLwl7zpSjF3dSoFHhtmPVmJLK07gAh</t>
  </si>
  <si>
    <t>ahmadkarim2148@gmail.com</t>
  </si>
  <si>
    <t>https://drive.google.com/file/d/1xuj1HhYsAZrJ2PolUk50qChSzoagT21m/view?usp=drivesdk</t>
  </si>
  <si>
    <t>Dewoka - Nurus Shibyan</t>
  </si>
  <si>
    <t>Ahmad Ilham Nurul Fajar</t>
  </si>
  <si>
    <t>Nurul Dholam</t>
  </si>
  <si>
    <t>Anisatuz Zahro</t>
  </si>
  <si>
    <t>https://drive.google.com/open?id=1FiF3M-8WVtIfL6AGStRP7BZ-LKca63R1</t>
  </si>
  <si>
    <t>rizkyaml334@gmail.com</t>
  </si>
  <si>
    <t>https://drive.google.com/open?id=1f2z06ZFSyxfm_E9nDGHGfKUhpzgPTpgk</t>
  </si>
  <si>
    <t>alansyah2527@gmail.com</t>
  </si>
  <si>
    <t>https://drive.google.com/file/d/1CkBWbBgvzZQ2yKS-6uMCYiHBq-d0qXAX/view?usp=drivesdk</t>
  </si>
  <si>
    <t>https://drive.google.com/open?id=188LySejn2nonP8yXnS7kCg4ra4DoxsYv</t>
  </si>
  <si>
    <t>lisaadah458@gmail.com</t>
  </si>
  <si>
    <t>https://drive.google.com/file/d/1NoYtufkoNRXvUGCMVqEGiw0omjIz6GEb/view?usp=drivesdk</t>
  </si>
  <si>
    <t>https://drive.google.com/open?id=1zJxeD9iN9seXb_L27garPAey51BnnRwZ</t>
  </si>
  <si>
    <t>chamidahnur589@gmail.com</t>
  </si>
  <si>
    <t>https://drive.google.com/file/d/1OuRHfr08yQqGmPH4BV7mUAZ_47xJZGxO/view?usp=drivesdk</t>
  </si>
  <si>
    <t>Karbon - TPQ Asnawiyah</t>
  </si>
  <si>
    <t>AELUL NAJLA</t>
  </si>
  <si>
    <t>GROBOGAN</t>
  </si>
  <si>
    <t>MAT RIFA'I</t>
  </si>
  <si>
    <t>SITI AMINI</t>
  </si>
  <si>
    <t>https://drive.google.com/open?id=1JE8mIh0cGpD0DhKj4vpj6aARI95OqJPY</t>
  </si>
  <si>
    <t>sindianinadia@gmail.com</t>
  </si>
  <si>
    <t>Dewoka - Roudlotul Muta'allimin</t>
  </si>
  <si>
    <t>Muhammad Muwafiq</t>
  </si>
  <si>
    <t>Rohmanto</t>
  </si>
  <si>
    <t>Zahrotul ummah</t>
  </si>
  <si>
    <t>https://drive.google.com/open?id=1Mv4i0UoSZcVnknwgkMTt1DAvSDZaKQTi</t>
  </si>
  <si>
    <t>zahrotulummah5@gmail.com</t>
  </si>
  <si>
    <t>ARINI KARTIKA PUTRI</t>
  </si>
  <si>
    <t>SAWIDI</t>
  </si>
  <si>
    <t>SULISTYOWATI</t>
  </si>
  <si>
    <t>https://drive.google.com/open?id=1-aglZ5zUK6B09y6R7-hE-K_k8DG9BqS5</t>
  </si>
  <si>
    <t>finaidamatussilmi207@gmail.com</t>
  </si>
  <si>
    <t>Zafira Ayunda Rahmadani</t>
  </si>
  <si>
    <t>Dany Yuliantoko</t>
  </si>
  <si>
    <t>Ayu Dya Safitri</t>
  </si>
  <si>
    <t>https://drive.google.com/open?id=1-GtHLQMJpr-K1oJW_SXclPMmbXXYi-jK</t>
  </si>
  <si>
    <t>ayudya67@gmail.com</t>
  </si>
  <si>
    <t>https://drive.google.com/open?id=1S9itZYo6XSJP8cAl3eLy7ahkuJw1QHqN</t>
  </si>
  <si>
    <t>nurululfabintarum@gmail.com</t>
  </si>
  <si>
    <t>https://drive.google.com/file/d/1JeTSfIoT2Bu8fbTVducfIgtAfmr10xQ5/view?usp=drivesdk</t>
  </si>
  <si>
    <t>Alma Putri Hanifa</t>
  </si>
  <si>
    <t>Achmad Sodiq</t>
  </si>
  <si>
    <t>Nurul Umah</t>
  </si>
  <si>
    <t>https://drive.google.com/open?id=1sgYIqcVhXv5Gx01W1o8jxjsMHveG6_Cm</t>
  </si>
  <si>
    <t>umahnurul635@gmail.com</t>
  </si>
  <si>
    <t>ADILA KEISHA FATHIYYATURAHMA</t>
  </si>
  <si>
    <t>AHMAD ROFIK</t>
  </si>
  <si>
    <t>MASRUROH</t>
  </si>
  <si>
    <t>https://drive.google.com/open?id=15rkxskjSSz2NXTeNdUa9TKNTwVqBehWa</t>
  </si>
  <si>
    <t>masruroh.adliadila0806@gmail.com</t>
  </si>
  <si>
    <t>ZUHDI SETIAWAN ( ALMARHUM)</t>
  </si>
  <si>
    <t>https://drive.google.com/open?id=1KQuO5b8LJslak9xPO8NLAwAtFV3OIQfx</t>
  </si>
  <si>
    <t>aalsa5551@gmail.com</t>
  </si>
  <si>
    <t>https://drive.google.com/file/d/18fhfPVEKzt-7NNZAcz00ExkCsVDMavRC/view?usp=drivesdk</t>
  </si>
  <si>
    <t>https://drive.google.com/open?id=1UTslcn3OyPqC4-G7Ke2WjORM43S3M58-</t>
  </si>
  <si>
    <t>kusrini1522@gmail.com</t>
  </si>
  <si>
    <t>https://drive.google.com/file/d/1i3dolt8FHQwFzMWIJsHijpnr_Ys1ZxfI/view?usp=drivesdk</t>
  </si>
  <si>
    <t>SDS IT AZZAHRA DEMAK</t>
  </si>
  <si>
    <t>https://drive.google.com/open?id=1iDGuMOJoCZzFnl9NZiwe4w058dODbVqN</t>
  </si>
  <si>
    <t>fikianatul85@gmail.com</t>
  </si>
  <si>
    <t>https://drive.google.com/file/d/1ZSXqU6vxNag-BNj3AAUQtn7mzKYPQ0Ny/view?usp=drivesdk</t>
  </si>
  <si>
    <t>FABIAN SATYA AJI NUGRAHA</t>
  </si>
  <si>
    <t>BUDI UTOMO</t>
  </si>
  <si>
    <t>ETI YUNIA APITASARI</t>
  </si>
  <si>
    <t>https://drive.google.com/open?id=1XJd3VVyk8QxGnJMeU9hqWR1103vycfpc</t>
  </si>
  <si>
    <t>budiutomo57terus@gmail.com</t>
  </si>
  <si>
    <t>https://drive.google.com/open?id=1YoB_LfvFSJkdRfIgNvEHJrJ82JJVtzLq</t>
  </si>
  <si>
    <t>fadhilyaqdan193@gmail.com</t>
  </si>
  <si>
    <t>https://drive.google.com/file/d/1M92y7cSXlms9YYiXePQQBplnBiWpgOZP/view?usp=drivesdk</t>
  </si>
  <si>
    <t>https://drive.google.com/open?id=1aA0qlxUCYTueZZSSKLcZHWrcO8eknZSY</t>
  </si>
  <si>
    <t>ziyadah.kunyik@gmail.com</t>
  </si>
  <si>
    <t>https://drive.google.com/file/d/14Go4fTBTqrN3sJF1t0fq4D2U1KhRgpua/view?usp=drivesdk</t>
  </si>
  <si>
    <t>https://drive.google.com/open?id=1gPOJCOuwVVOrMQGPpLhV2Cba2Nyb-mam</t>
  </si>
  <si>
    <t>yayasanazzahrademak01@gmail.com</t>
  </si>
  <si>
    <t>https://drive.google.com/file/d/1_tiW0fHkk5MlTbxPfg66umBokEwoZP3q/view?usp=drivesdk</t>
  </si>
  <si>
    <t>https://drive.google.com/open?id=1nmSTzMOPJ44ihLrZxIRF_IZH92i4-LBk</t>
  </si>
  <si>
    <t>yayasanazzahrademak02@gmail.com</t>
  </si>
  <si>
    <t>https://drive.google.com/file/d/17rWNyB45wcf_W7ybeJ8LJQCFPQT12Xrb/view?usp=drivesdk</t>
  </si>
  <si>
    <t>Karangga</t>
  </si>
  <si>
    <t>Ahmad anshori lubiz</t>
  </si>
  <si>
    <t>Abdul Latif</t>
  </si>
  <si>
    <t>Farisatul muna</t>
  </si>
  <si>
    <t>https://drive.google.com/open?id=1WS21q1XEXuQ4H7Oqa4KS_Dk5fyaskRON</t>
  </si>
  <si>
    <t>ernawatiernawati2026@gmail.com</t>
  </si>
  <si>
    <t>https://drive.google.com/open?id=1BYanQ6byneB71NGnFyyfhABnxalIDwiS</t>
  </si>
  <si>
    <t>yayasanazzahrademak04@gmail.com</t>
  </si>
  <si>
    <t>https://drive.google.com/file/d/1lm7G6G0V-aMxLKnGbSeW2X4A_jqH-iOM/view?usp=drivesdk</t>
  </si>
  <si>
    <t>https://drive.google.com/open?id=1UVzijFz4lEmIvBtcNJe6OIS5gcMBpGHv</t>
  </si>
  <si>
    <t>yayasanazzahrademak05@gmail.com</t>
  </si>
  <si>
    <t>https://drive.google.com/file/d/1DWZFOXTZAqDplh3IJnCE_0acd3Zg6KoV/view?usp=drivesdk</t>
  </si>
  <si>
    <t>Ahmad Syariful Hikam</t>
  </si>
  <si>
    <t>Wonorejo karang anyar Demak</t>
  </si>
  <si>
    <t>Kusmi'an</t>
  </si>
  <si>
    <t>Isa murniasih</t>
  </si>
  <si>
    <t>https://drive.google.com/open?id=1342vwLcyzMpIzUrphViCK0gn_cHiZeu6</t>
  </si>
  <si>
    <t>syarifulhikam618@gmail.com</t>
  </si>
  <si>
    <t>https://drive.google.com/open?id=17H8BpI3I7PNYOOKVpWbna3Aj94TINIQ2</t>
  </si>
  <si>
    <t>sadiyah44@admin.sd.belajar.id</t>
  </si>
  <si>
    <t>https://drive.google.com/file/d/1OfSxwisVVx10Lewjhn3Jx8Rr2FjObqHA/view?usp=drivesdk</t>
  </si>
  <si>
    <t>https://drive.google.com/open?id=1NamK3-RoRoqoHltzOfEB5hpZlZSZiJmj</t>
  </si>
  <si>
    <t>sigitdrajad@gmail.com</t>
  </si>
  <si>
    <t>https://drive.google.com/file/d/18z_AfrrI-iNwrYNgVLaSe4p7I4VdjRa4/view?usp=drivesdk</t>
  </si>
  <si>
    <t>IKLIL HADAYA ASYROFI</t>
  </si>
  <si>
    <t>Tanjungpinang</t>
  </si>
  <si>
    <t>PURWANTO</t>
  </si>
  <si>
    <t>DEVI VITA YULIAWATI</t>
  </si>
  <si>
    <t>https://drive.google.com/open?id=1MlnSIhIqnoxxdlSDZ-VDqpTu8S2Kjliw</t>
  </si>
  <si>
    <t>devivitayyuliawati@gmail.com</t>
  </si>
  <si>
    <t>Aufa Khuliyyatun Nisak</t>
  </si>
  <si>
    <t>Ahmad Mualip</t>
  </si>
  <si>
    <t>Ainur Rohmah</t>
  </si>
  <si>
    <t>https://drive.google.com/open?id=1DKyLqwwUWKlOOpL8LSxkwSwAEqYiX60F</t>
  </si>
  <si>
    <t>diannuraidah878@gmail.com</t>
  </si>
  <si>
    <t>Dina putri auliya</t>
  </si>
  <si>
    <t>Demak, Sidomulyo</t>
  </si>
  <si>
    <t>Sujari</t>
  </si>
  <si>
    <t>Ngatminah</t>
  </si>
  <si>
    <t>https://drive.google.com/open?id=1NmOKzD-K_aekyGzoIbckTSlsGQ8_1xt4</t>
  </si>
  <si>
    <t>sujarisujari307@gmail.com</t>
  </si>
  <si>
    <t>https://drive.google.com/open?id=1L8m_8cl_sFHRLFbZwZzkm7-namnXLEIX</t>
  </si>
  <si>
    <t>anambakulanz@gmail.com</t>
  </si>
  <si>
    <t>https://drive.google.com/file/d/1HcEyh94zKpsfCz-umNAOEo9q1yzpG4KE/view?usp=drivesdk</t>
  </si>
  <si>
    <t>https://drive.google.com/open?id=1PamQCl-1UGrXJd_GL2PdCKSX88P26c5V</t>
  </si>
  <si>
    <t>vinakecilllll1@gmail.com</t>
  </si>
  <si>
    <t>https://drive.google.com/file/d/1omsxK5rza8yumj28u0mzNAMZGjsEiyT6/view?usp=drivesdk</t>
  </si>
  <si>
    <t>https://drive.google.com/open?id=1XmpuYd11stQ5C_wlAWa_xbpTyXXu7_-A</t>
  </si>
  <si>
    <t>safinazahra052@gmail.com</t>
  </si>
  <si>
    <t>https://drive.google.com/file/d/1lOzRiMbHi4yiGvzy7cGboHF1lps7CV2A/view?usp=drivesdk</t>
  </si>
  <si>
    <t>https://drive.google.com/open?id=1_NhMO69_Op17fTUS3dtet3fqctPIUw-k</t>
  </si>
  <si>
    <t>lalacicit11@gmail.com</t>
  </si>
  <si>
    <t>https://drive.google.com/file/d/1dAwqXUclQLlI1T8jyA5r6B0ASSlr5YON/view?usp=drivesdk</t>
  </si>
  <si>
    <t>https://drive.google.com/open?id=11FypsBoZ20PagvxHBS7rWPoyQ1Xdbsja</t>
  </si>
  <si>
    <t>ipunk2281@gmail.com</t>
  </si>
  <si>
    <t>https://drive.google.com/file/d/1TmYgnt11tLuW-wd-fpUJNNongLZLtIsK/view?usp=drivesdk</t>
  </si>
  <si>
    <t>https://drive.google.com/open?id=1tUsY2TeNRJhqNEOji5FiwEefPIZFoaIE</t>
  </si>
  <si>
    <t>mifta.tha26@gmail.com</t>
  </si>
  <si>
    <t>https://drive.google.com/file/d/1C0ppqcVAE73l1qoHaWlVQpzM4wbVRANl/view?usp=drivesdk</t>
  </si>
  <si>
    <t>https://drive.google.com/open?id=1UQEsF6lhuqU9urCJ-ssDP54oU3blBW1z</t>
  </si>
  <si>
    <t>khilmiyatunnasikhah5@gmail.com</t>
  </si>
  <si>
    <t>https://drive.google.com/file/d/12caEkVjYU8s6bOYfREMOk5MnAGkqKkjK/view?usp=drivesdk</t>
  </si>
  <si>
    <t>https://drive.google.com/open?id=1oqDaHJlZc3VToA6Q-Y17OqwwUbRmPbCU</t>
  </si>
  <si>
    <t>sdmulyorejo2demak@gmail.com</t>
  </si>
  <si>
    <t>https://drive.google.com/file/d/1SmKXjKU7ZTl6citNG1XTUdLQHI_01s8s/view?usp=drivesdk</t>
  </si>
  <si>
    <t>https://drive.google.com/open?id=1n1k3SqTPXXdb95exagphXtp8hoPs_bRe</t>
  </si>
  <si>
    <t>karimahinayatulkarimah46@gmail.com</t>
  </si>
  <si>
    <t>https://drive.google.com/file/d/137qR4d-X_zIltXXJA11DYHPLmKiSR1k-/view?usp=drivesdk</t>
  </si>
  <si>
    <t>Muhammad fawwaz Abdul qodir</t>
  </si>
  <si>
    <t>Muhammad haries suddin abdol rozaq</t>
  </si>
  <si>
    <t>Zulaikha nasuha</t>
  </si>
  <si>
    <t>https://drive.google.com/open?id=1kyerna70AHwNmG87Z_bisjfrWNMZVzeu</t>
  </si>
  <si>
    <t>zulaichanasucha5777@gmail.com</t>
  </si>
  <si>
    <t>Ali Ar Ridho</t>
  </si>
  <si>
    <t>Slamet Bidin</t>
  </si>
  <si>
    <t>Hamidah</t>
  </si>
  <si>
    <t>https://drive.google.com/open?id=1B0pqri8k2E8kFPMNGbPuens5AiLd-zRk</t>
  </si>
  <si>
    <t>demakmisbah@gmail.com</t>
  </si>
  <si>
    <t>Indri Nur Aini</t>
  </si>
  <si>
    <t>Sukemi</t>
  </si>
  <si>
    <t>Sri Astutik</t>
  </si>
  <si>
    <t>https://drive.google.com/open?id=1C6CP4pGdOgpC5NVs35jsftwgFDePmnAD</t>
  </si>
  <si>
    <t>bundaaminah12345@gmail.com</t>
  </si>
  <si>
    <t>https://drive.google.com/open?id=11nEfu10yfIuIviluH4OzlFUgCGZHMsOL</t>
  </si>
  <si>
    <t>fatihmuhdi9@gmail.com</t>
  </si>
  <si>
    <t>https://drive.google.com/file/d/1T4HhspTzQg2byJsP1XqKiH9eTZ4lh2gs/view?usp=drivesdk</t>
  </si>
  <si>
    <t>https://drive.google.com/open?id=1tnaOxZIXH5-IOreFXinQx6csJ4z-K9X4</t>
  </si>
  <si>
    <t>albaralif59@gmail.com</t>
  </si>
  <si>
    <t>https://drive.google.com/file/d/1eHMv7ucysTe3aakAi_asZ6bXNnteY7fv/view?usp=drivesdk</t>
  </si>
  <si>
    <t>https://drive.google.com/open?id=1Om7L15XSVeATyE78Laydz51DpDJKaSRv</t>
  </si>
  <si>
    <t>sukorini271@gmail.com</t>
  </si>
  <si>
    <t>https://drive.google.com/file/d/1oUUxYX_eoof-UP5DrXAuKRs7A1kB_-nw/view?usp=drivesdk</t>
  </si>
  <si>
    <t>https://drive.google.com/open?id=13BgRupaXjFWMGvBMOeHShfiUjNb4_Iz7</t>
  </si>
  <si>
    <t>allatief7717@gmail.com</t>
  </si>
  <si>
    <t>https://drive.google.com/file/d/1lSuzYmu1y6hPoa8AeDqJ1h0gAfAqieDQ/view?usp=drivesdk</t>
  </si>
  <si>
    <t>https://drive.google.com/open?id=1Sr8nUMFBiAw6xopvWbLeb_RZtjiFSJDs</t>
  </si>
  <si>
    <t>nurkholis767676@gmail.com</t>
  </si>
  <si>
    <t>https://drive.google.com/file/d/1m6lizUGKRNkI2JbXIN3IOQDDAZnAAs9a/view?usp=drivesdk</t>
  </si>
  <si>
    <t>https://drive.google.com/open?id=1TEK3hrYk_wIEGw34OFhGY_Y2hzllf80q</t>
  </si>
  <si>
    <t>sukijahsiti2@gmail.com</t>
  </si>
  <si>
    <t>https://drive.google.com/file/d/1HP0l_egnqc4UswCHQdxGq-r7iQJQjX7N/view?usp=drivesdk</t>
  </si>
  <si>
    <t>Na'ilatul izzah</t>
  </si>
  <si>
    <t>Muh Arwani</t>
  </si>
  <si>
    <t>Siti Mundakiroh</t>
  </si>
  <si>
    <t>https://drive.google.com/open?id=1J4oLPFyDpTSEcOGncacZfpBlUfcTO5Dg</t>
  </si>
  <si>
    <t>m.arwani2022abc@gmail.com</t>
  </si>
  <si>
    <t>AHMAD ALIN ATTAMAMI</t>
  </si>
  <si>
    <t>MAHMUD</t>
  </si>
  <si>
    <t>EKO PRIYANTI</t>
  </si>
  <si>
    <t>https://drive.google.com/open?id=1lXl8mcbKrrf6D8qCxW53exOrMsD3-msY</t>
  </si>
  <si>
    <t>bodemteam123@gmail.com</t>
  </si>
  <si>
    <t>Nazira leviasari</t>
  </si>
  <si>
    <t>Ruslani</t>
  </si>
  <si>
    <t>Nasiroh</t>
  </si>
  <si>
    <t>https://drive.google.com/open?id=100He4QTc7DOJHz-wdWkwQrJ95Bgb5X6F</t>
  </si>
  <si>
    <t>nasirroh82@gmail.com</t>
  </si>
  <si>
    <t>https://drive.google.com/open?id=1-NLujXjWJiioKGQu1ONTF_WtZE1cMUB6</t>
  </si>
  <si>
    <t>ansoriali38@gmail.com</t>
  </si>
  <si>
    <t>https://drive.google.com/open?id=1XaqQYLlRcrkoXcyEIDr0NAg9Zt9Mc-nV</t>
  </si>
  <si>
    <t>jalaludinsinin@gmail.com</t>
  </si>
  <si>
    <t>https://drive.google.com/file/d/1OMB9Rz-6NUlJIfq3D9a4RDDKlp0vSnR8/view?usp=drivesdk</t>
  </si>
  <si>
    <t>https://drive.google.com/open?id=1L3WshmBGPE7_6Ska8EkXv7Dk6yofWrNZ</t>
  </si>
  <si>
    <t>karsih282@gmail.com</t>
  </si>
  <si>
    <t>https://drive.google.com/file/d/1803pnVyC2fG5NVyMuxopVMX4w6k-rjma/view?usp=drivesdk</t>
  </si>
  <si>
    <t>https://drive.google.com/open?id=1mLR8w0ehbTr7JkkjSSgin78J7WinvqIs</t>
  </si>
  <si>
    <t>yusrinad1976@gmail.com</t>
  </si>
  <si>
    <t>https://drive.google.com/file/d/1Xs8WeFsejVz2hJMNOmso4j5cfZkrUIX1/view?usp=drivesdk</t>
  </si>
  <si>
    <t>https://drive.google.com/open?id=1GwkDE1f73cPaXB1PxzaBKpnPtWLzslVJ</t>
  </si>
  <si>
    <t>ndmarufah@gmail.com</t>
  </si>
  <si>
    <t>https://drive.google.com/file/d/1SCdMn_UGSX4bZHv_rM83h98gKpygeIyM/view?usp=drivesdk</t>
  </si>
  <si>
    <t>Marsya Adelia Qisya</t>
  </si>
  <si>
    <t>Busono</t>
  </si>
  <si>
    <t>Siti Sofiatun</t>
  </si>
  <si>
    <t>https://drive.google.com/open?id=1HfC19LdDd8dOFq6VALCq6kjBPVzshWwJ</t>
  </si>
  <si>
    <t>qisyaa42@gmail.com</t>
  </si>
  <si>
    <t>SD IT AZZAHRA DEMAK</t>
  </si>
  <si>
    <t>https://drive.google.com/open?id=1UioJKr_Hrfyr4IllR2rPV0vqyFw7Cfx5</t>
  </si>
  <si>
    <t>putrisaadah2219@gmail.com</t>
  </si>
  <si>
    <t>https://drive.google.com/file/d/1hovBP7tfxX0IOfaopzQUo-qJmabKM-sI/view?usp=drivesdk</t>
  </si>
  <si>
    <t>https://drive.google.com/open?id=1nrhw_0a66hb_8AGJh4SGNbl1jyEwuIsW</t>
  </si>
  <si>
    <t>paridadinata70@gmail.com</t>
  </si>
  <si>
    <t>https://drive.google.com/file/d/1iprFmOu52sRtvGKWRU96802hpGNyQXM_/view?usp=drivesdk</t>
  </si>
  <si>
    <t>NAUFAL VIDI APRILIO</t>
  </si>
  <si>
    <t>Budi prasetyo</t>
  </si>
  <si>
    <t>Fifi handayanti</t>
  </si>
  <si>
    <t>https://drive.google.com/open?id=1LPGdySWPZYFIEcv0Gv0wwXT511YG4QbI</t>
  </si>
  <si>
    <t>budiprasetiyo7437@gmail.com</t>
  </si>
  <si>
    <t>https://drive.google.com/open?id=1u8XFJ_tgVD9qwbNyNI5em7YtaKUhjQh7</t>
  </si>
  <si>
    <t>yuniahmad5585@gmail.com</t>
  </si>
  <si>
    <t>https://drive.google.com/file/d/1_In3p1BgpcLr1sJAQcF48bDuv0phNnci/view?usp=drivesdk</t>
  </si>
  <si>
    <t>SDS IT AZZAHRA</t>
  </si>
  <si>
    <t>https://drive.google.com/open?id=1T8zere1wiyP9t9N8zj2PMGiLGAp3hbap</t>
  </si>
  <si>
    <t>vinaizvina0@gmail.com</t>
  </si>
  <si>
    <t>https://drive.google.com/file/d/1Wwnl1OeNgICQnCnOY-X1hMET8IfZ7ill/view?usp=drivesdk</t>
  </si>
  <si>
    <t>https://drive.google.com/open?id=1mO5EK9-skUEQrBOhYJw0jBGKgiB_306I</t>
  </si>
  <si>
    <t>dea97517@gmail.com</t>
  </si>
  <si>
    <t>https://drive.google.com/file/d/1EXzBVCi1NvKg_Kv2Azxl_ARa7k8lpGOQ/view?usp=drivesdk</t>
  </si>
  <si>
    <t>https://drive.google.com/open?id=12k9bHA_DRXTNDzOqxM4jgu_VciwB8nxF</t>
  </si>
  <si>
    <t>khadzamynaura@gmail.com</t>
  </si>
  <si>
    <t>https://drive.google.com/file/d/1BLm7kfOxQCOjESwlxACpjHB2BHJwMeOb/view?usp=drivesdk</t>
  </si>
  <si>
    <t>https://drive.google.com/open?id=1m1VLto70ZUnCvPI5Lucug6xuO81QzxJH</t>
  </si>
  <si>
    <t>nurulhukama37@gmail.com</t>
  </si>
  <si>
    <t>https://drive.google.com/file/d/1s-ypow4CYfD0fMgdS_LSWdHn5Vk3M7tq/view?usp=drivesdk</t>
  </si>
  <si>
    <t>https://drive.google.com/open?id=1aVt13sJQo4mZSz3HdiEjx7ZeVqj3Ygi_</t>
  </si>
  <si>
    <t>afidaulya06@gmail.com</t>
  </si>
  <si>
    <t>https://drive.google.com/file/d/1jUDzXnQVdzPqo51YONdEqEDHg5y7BDkA/view?usp=drivesdk</t>
  </si>
  <si>
    <t>SDS IT AZZHARA DEMAK</t>
  </si>
  <si>
    <t>https://drive.google.com/open?id=1wmUTM0rvHM-7jXyPTKyxbLcpLQMnP6lS</t>
  </si>
  <si>
    <t>shafiaummu@gmail.com</t>
  </si>
  <si>
    <t>https://drive.google.com/file/d/1NGNBthihSUaJ2LFhlNPTO12fbtapFURO/view?usp=drivesdk</t>
  </si>
  <si>
    <t>https://drive.google.com/open?id=1W-cXwOG8OqdNQxHSrT752MHA7xtjA3FM</t>
  </si>
  <si>
    <t>fikriyatul.16@gmail.com</t>
  </si>
  <si>
    <t>https://drive.google.com/file/d/1Mh_Rgew4my73qbLkgGSAfapBLqDdXw5W/view?usp=drivesdk</t>
  </si>
  <si>
    <t>https://drive.google.com/open?id=18gbMBtOsheY7ha0zah_GUJqgQ0OPnM3L</t>
  </si>
  <si>
    <t>muchyiddinzahin@gmail.com</t>
  </si>
  <si>
    <t>https://drive.google.com/file/d/13rZqOsiZOxqbxy9zarqPCCb0ToKglWNz/view?usp=drivesdk</t>
  </si>
  <si>
    <t>SDIT AZZAHRA DEMAK</t>
  </si>
  <si>
    <t>https://drive.google.com/open?id=1oRoMTuJa_7WoQIdgTJXbBcifqlIuqGJu</t>
  </si>
  <si>
    <t>putrianans507@gmail.com</t>
  </si>
  <si>
    <t>https://drive.google.com/file/d/1VMVBElhk-uDCK2GShzxR4Rtzi9n_n9ji/view?usp=drivesdk</t>
  </si>
  <si>
    <t>SDIT AZ ZAHRA DEMAL</t>
  </si>
  <si>
    <t>https://drive.google.com/open?id=1Yt-phJOnOF62nN5bANxt6upLBSC4QsSZ</t>
  </si>
  <si>
    <t>mdanataufiqilaili@gmail.com</t>
  </si>
  <si>
    <t>https://drive.google.com/file/d/1gOXIiCFv5CYq14A0WhPtAshtGjkPQzaT/view?usp=drivesdk</t>
  </si>
  <si>
    <t>AHMAD SHIDIQ AL KARIM</t>
  </si>
  <si>
    <t>SURODADI GAJAH DEMAK</t>
  </si>
  <si>
    <t>ABDUL KARIM</t>
  </si>
  <si>
    <t>SITI SYARIAH</t>
  </si>
  <si>
    <t>https://drive.google.com/open?id=1lgLhF1xR0UF8WCyY91C4lmIvYwz_QRP4</t>
  </si>
  <si>
    <t>rohmaduhuyyy@gmail.com</t>
  </si>
  <si>
    <t>https://drive.google.com/open?id=1BDO8IPQOWKgJlnGrduSKmy9kJVd-dJo9</t>
  </si>
  <si>
    <t>ulfah.vaul@gmail.com</t>
  </si>
  <si>
    <t>https://drive.google.com/file/d/1CeAhQTfNQmjC5b0R_sjETkUtmwTiTUW_/view?usp=drivesdk</t>
  </si>
  <si>
    <t>https://drive.google.com/open?id=1fiMqF4rjCEHpIgP9NjPirNXbEUQO-CxO</t>
  </si>
  <si>
    <t>dewisari241@guru.sd.belajar.id</t>
  </si>
  <si>
    <t>https://drive.google.com/file/d/14jo-MAE6YnYVN34OjMAyutwNFXvgpy-F/view?usp=drivesdk</t>
  </si>
  <si>
    <t>https://drive.google.com/open?id=1_FuZ6TTcrbkipetCBPYcL-0B5D1rx6rW</t>
  </si>
  <si>
    <t>jatmikos616@gmail.com</t>
  </si>
  <si>
    <t>https://drive.google.com/open?id=1OoWN1rVPEyf8ZlB8Gl8Npld7O2ZYdG6F</t>
  </si>
  <si>
    <t>rikhadesy95@gmail.com</t>
  </si>
  <si>
    <t>https://drive.google.com/file/d/1PiW4wgkQUxH-stP1a3E-gSE2P4VckBx5/view?usp=drivesdk</t>
  </si>
  <si>
    <t>Nafisa Putri Aruna</t>
  </si>
  <si>
    <t>Slamet Riyadi</t>
  </si>
  <si>
    <t>Erni Sulistyawati</t>
  </si>
  <si>
    <t>https://drive.google.com/open?id=1DFWKlq5FAH56c_FhB8BVJRa8FTWttKNz</t>
  </si>
  <si>
    <t>shikamarure@gmail.com</t>
  </si>
  <si>
    <t>Karina maulidatun nisa</t>
  </si>
  <si>
    <t>Kastono (alm)</t>
  </si>
  <si>
    <t>Siti sundari</t>
  </si>
  <si>
    <t>https://drive.google.com/open?id=16Jn1kZooIo5kByuYX73esDGZsK1V0sq5</t>
  </si>
  <si>
    <t>arseell667@gmail.com</t>
  </si>
  <si>
    <t>https://drive.google.com/open?id=1mGRIBvx9UKS6lDNqqyIRdQYPsI6-8IzE</t>
  </si>
  <si>
    <t>agussetiapagi@gmail.com</t>
  </si>
  <si>
    <t>https://drive.google.com/file/d/1lHH5pn-w98WjEzDrWY0ZU5cP3yBiJ3L5/view?usp=drivesdk</t>
  </si>
  <si>
    <t>https://drive.google.com/open?id=1F5xhdxkZ1OYz04cwXEkq0VT_tjdy7IPB</t>
  </si>
  <si>
    <t>muhammadgibrangibran91@gmail.com</t>
  </si>
  <si>
    <t>https://drive.google.com/file/d/1jfODzgWBhHvqfquvBWdBTT9WcQQxkOWk/view?usp=drivesdk</t>
  </si>
  <si>
    <t>Dewoka - Nurul Iman</t>
  </si>
  <si>
    <t>Earlyta Arsyfa Salsabila</t>
  </si>
  <si>
    <t>Ngasiran</t>
  </si>
  <si>
    <t>Siti Munafiah</t>
  </si>
  <si>
    <t>https://drive.google.com/open?id=15KPKdG4wq3Wh6E19DLdwydqER8W_jniE</t>
  </si>
  <si>
    <t>dimasfirdausdemak2009@gmail.com</t>
  </si>
  <si>
    <t>Muhammad Alfin ikhsanul Faqih</t>
  </si>
  <si>
    <t>Mustofa</t>
  </si>
  <si>
    <t>Siti khotijah</t>
  </si>
  <si>
    <t>https://drive.google.com/open?id=1beiP7KMup0bFo_MyAzV3-Cw9wgF_ykMm</t>
  </si>
  <si>
    <t>ayulfitri1@gmail.com</t>
  </si>
  <si>
    <t>DZAKIRA TALITA RAFANI</t>
  </si>
  <si>
    <t>Purnomo</t>
  </si>
  <si>
    <t>Ina Yatus Solekah</t>
  </si>
  <si>
    <t>https://drive.google.com/open?id=1ThZpkxvFQZMg3DuQjg4Rxi2fB92wgSJa</t>
  </si>
  <si>
    <t>inayatussolekah66@gmail.com</t>
  </si>
  <si>
    <t>https://drive.google.com/open?id=1rVSWerSSds2sIBwXetzZDjbcuztf1x9s</t>
  </si>
  <si>
    <t>hafizz19990@gmail.com</t>
  </si>
  <si>
    <t>https://drive.google.com/file/d/1Edo6jt2F-1BCqLKHEyxzOormB8cs_Q5V/view?usp=drivesdk</t>
  </si>
  <si>
    <t>https://drive.google.com/open?id=1EcVxtN9dv15cYho_5juDQU1P4AKGTRNH</t>
  </si>
  <si>
    <t>aniyaturrohmaniyah@gmail.com</t>
  </si>
  <si>
    <t>https://drive.google.com/file/d/1ECRWuo-DI3xAc4uC7Zbt1AtHDHMov4zZ/view?usp=drivesdk</t>
  </si>
  <si>
    <t>https://drive.google.com/open?id=1SZNq3ylZ9TDwS_EXoI0YkJcYgGduZzjG</t>
  </si>
  <si>
    <t>sholekhah991@gmail.com</t>
  </si>
  <si>
    <t>https://drive.google.com/file/d/1G_nSBvixchnnd6DOC4WOFzOORDoiejNV/view?usp=drivesdk</t>
  </si>
  <si>
    <t>FATHAN ARRIZAL RAHMAN</t>
  </si>
  <si>
    <t>NUROKHIM</t>
  </si>
  <si>
    <t>NUNG FARIA</t>
  </si>
  <si>
    <t>https://drive.google.com/open?id=1Cmbz5_COEacOd6-Wypa2pRLHw6o52ipm</t>
  </si>
  <si>
    <t>yunisofiati2@gmail.com</t>
  </si>
  <si>
    <t>https://drive.google.com/open?id=1uZQ6ntngk9SPDYe9TxTh_ij7lLABP9UZ</t>
  </si>
  <si>
    <t>mbahmiah049@gmail.com</t>
  </si>
  <si>
    <t>https://drive.google.com/file/d/1iwolZcju0b8ZiA_DQdVULPRJVy6C7rt3/view?usp=drivesdk</t>
  </si>
  <si>
    <t>https://drive.google.com/open?id=1PVxWw_avR8fZT1qucxyQfa0DL5fJRvkx</t>
  </si>
  <si>
    <t>srinengsehn@gmail.com</t>
  </si>
  <si>
    <t>https://drive.google.com/file/d/1ehuZK4-9B2dlj2neVhJ-Y12KnsS2vyPl/view?usp=drivesdk</t>
  </si>
  <si>
    <t>https://drive.google.com/open?id=17HDw2X4bPAcV6aZ_58w_UQXdf1SPztG-</t>
  </si>
  <si>
    <t>najibanugraha123@gmail.com</t>
  </si>
  <si>
    <t>https://drive.google.com/file/d/1QjkQlodkc7o0jtVv-c6J9bErTpri_rBI/view?usp=drivesdk</t>
  </si>
  <si>
    <t>https://drive.google.com/open?id=1bjZRhMayh79BoKiR5Mq4kPS7h24s3v4M</t>
  </si>
  <si>
    <t>aryagunakenziealghifari@gmail.com</t>
  </si>
  <si>
    <t>https://drive.google.com/file/d/19x_zQXrjnZk25fRkYSVANO2aeg34BHgU/view?usp=drivesdk</t>
  </si>
  <si>
    <t>https://drive.google.com/open?id=1u1bj1rk4c3u8pkRYovh6WOnimzjb8n3j</t>
  </si>
  <si>
    <t>khamida12995@gmail.com</t>
  </si>
  <si>
    <t>https://drive.google.com/file/d/12jDAlKQfneu84j0KCyopA_4FsYaK2PcN/view?usp=drivesdk</t>
  </si>
  <si>
    <t>https://drive.google.com/open?id=1B3VwmhE21LWC-Dm2hDYjTys1S6pAxSFF</t>
  </si>
  <si>
    <t>matsholeh278@gmail.com</t>
  </si>
  <si>
    <t>https://drive.google.com/file/d/1k0gSSYDudJmjSWeAJq95XoQW9LBEMFle/view?usp=drivesdk</t>
  </si>
  <si>
    <t>https://drive.google.com/open?id=1P1Afwbbzzxn2TS1v11nxu3tE1BP0L9Wg</t>
  </si>
  <si>
    <t>muakhorin@gmail.com</t>
  </si>
  <si>
    <t>https://drive.google.com/file/d/1VeT_nri-I2zmh6YpkklywaUh6ylf-vYF/view?usp=drivesdk</t>
  </si>
  <si>
    <t>WIJDANU ROSI MUHAMMAD</t>
  </si>
  <si>
    <t>Aminulloh</t>
  </si>
  <si>
    <t>Qudsiyah</t>
  </si>
  <si>
    <t>https://drive.google.com/open?id=1Fwgzi6LKkyd9H4WYZ2hkmw0sOqr60lB-</t>
  </si>
  <si>
    <t>qudsy81@gmail.com</t>
  </si>
  <si>
    <t>https://drive.google.com/open?id=1bJY29P4Hyr6NOH3T8DfQ_hK_CpWR1CXd</t>
  </si>
  <si>
    <t>nadaqotrun104@gmail.com</t>
  </si>
  <si>
    <t>https://drive.google.com/file/d/1BsTihhjLHNs1UGk6KX2UgG82JMZDPGlh/view?usp=drivesdk</t>
  </si>
  <si>
    <t>https://drive.google.com/open?id=18B_Z97IlJVJdaBXZBwvpSgpgIy1h6OAF</t>
  </si>
  <si>
    <t>h21593405@gmail.com</t>
  </si>
  <si>
    <t>https://drive.google.com/open?id=1sJka06hz1lTIoo_4WAvZUeqf9CNxRJs6</t>
  </si>
  <si>
    <t>rinasusanti2909@gmail.com</t>
  </si>
  <si>
    <t>https://drive.google.com/file/d/1PFRCt8sycm8AWpyalh9WXadPHHz93pp0/view?usp=drivesdk</t>
  </si>
  <si>
    <t>SYIFA AGHNIA RAHMAH</t>
  </si>
  <si>
    <t>RIDWAN</t>
  </si>
  <si>
    <t>HENI SOFIANA</t>
  </si>
  <si>
    <t>https://drive.google.com/open?id=1uROM2cIXkrhQhRvHy_s44W61l1K-kJbB</t>
  </si>
  <si>
    <t>annuur640@gmail.com</t>
  </si>
  <si>
    <t>https://drive.google.com/open?id=1HEx10enPo6frq_AJPHc6-IeeM418wL9I</t>
  </si>
  <si>
    <t>ahmadmalik050590@gmail.com</t>
  </si>
  <si>
    <t>https://drive.google.com/file/d/1k6IYdYTdDI7dCSqwIsbSdTJCwf5Xx9Rm/view?usp=drivesdk</t>
  </si>
  <si>
    <t>Fawwazul Hafiz Hanif</t>
  </si>
  <si>
    <t>Santo</t>
  </si>
  <si>
    <t>Eny Fatmawati</t>
  </si>
  <si>
    <t>https://drive.google.com/open?id=1W7_6GMiU0BgfIp9jZXWDFB6P5RZkfhWl</t>
  </si>
  <si>
    <t>maftuhatulh3@gmail.com</t>
  </si>
  <si>
    <t>https://drive.google.com/open?id=17EEc6CzR6prbfFv1kleglCFLB_hCsxhR</t>
  </si>
  <si>
    <t>baguswaloyo344@gmail.com</t>
  </si>
  <si>
    <t>https://drive.google.com/file/d/1lMWrx9-L3t7GFshX_LhJfnVwlCggsaOO/view?usp=drivesdk</t>
  </si>
  <si>
    <t>MAHIRA HASNA KAMILA</t>
  </si>
  <si>
    <t>Muhammad Supriyadi</t>
  </si>
  <si>
    <t>Umi Kusmawati</t>
  </si>
  <si>
    <t>https://drive.google.com/open?id=1b0DqOxuKwEtzMrEENH483VhJK-B7jxb3</t>
  </si>
  <si>
    <t>khusnuladib442@gmail.com</t>
  </si>
  <si>
    <t>https://drive.google.com/open?id=1SqEdAp4mLI3TGWzxn_881Sn1EKvIRWdE</t>
  </si>
  <si>
    <t>amiraainunmahya122@gmail.com</t>
  </si>
  <si>
    <t>https://drive.google.com/file/d/1uj1SHcU5zJ4wZbQ20VgKQlBQHjoMyoyo/view?usp=drivesdk</t>
  </si>
  <si>
    <t>KHYAROTUNNISA</t>
  </si>
  <si>
    <t>Kholid Maknawi</t>
  </si>
  <si>
    <t>Saryati</t>
  </si>
  <si>
    <t>https://drive.google.com/open?id=1f3vhZa5xejSUfprv7TjQ4ioll8ynlKiB</t>
  </si>
  <si>
    <t>kiara.demakk@gmail.com</t>
  </si>
  <si>
    <t>Hafizah Zahra Ramadhani</t>
  </si>
  <si>
    <t>Munawar</t>
  </si>
  <si>
    <t>Umi Rahmawati</t>
  </si>
  <si>
    <t>https://drive.google.com/open?id=16_KH0B4EQV_TPeJCS0WU1D5CcljtfXlO</t>
  </si>
  <si>
    <t>enifatmawati203@gmail.com</t>
  </si>
  <si>
    <t>https://drive.google.com/open?id=1sQdYTT0yUsLUSvldgQvCTuRnH_jBQJJc</t>
  </si>
  <si>
    <t>dindademak41@gmail.com</t>
  </si>
  <si>
    <t>https://drive.google.com/file/d/1GgZ2ljhoUNlCk_pbYLpfXAPhQiBNha1C/view?usp=drivesdk</t>
  </si>
  <si>
    <t>https://drive.google.com/open?id=11-q7WFZ_iGQRQQMYququX2kfb6Svpo1L</t>
  </si>
  <si>
    <t>liazidan097@gmail.com</t>
  </si>
  <si>
    <t>https://drive.google.com/file/d/1Nn47CebmMF0tgw1vm3pD4OcXf01s5Gpf/view?usp=drivesdk</t>
  </si>
  <si>
    <t>https://drive.google.com/open?id=1k8ueO6yCN0DWKilhfSP32GfeoWfsDvqW</t>
  </si>
  <si>
    <t>narutoxsasuke146@gmail.com</t>
  </si>
  <si>
    <t>https://drive.google.com/file/d/1KyVe3dDw8jnaOt4v9gRW5LEc6wwmFXmC/view?usp=drivesdk</t>
  </si>
  <si>
    <t>https://drive.google.com/open?id=1NSMGnJeV80TtySLjwwwwfOdMm8hjHJyE</t>
  </si>
  <si>
    <t>sitta.cute@gmail.com</t>
  </si>
  <si>
    <t>https://drive.google.com/file/d/1OKBEjvL1ALaRGaJrD67AFpjuSAGzBQM_/view?usp=drivesdk</t>
  </si>
  <si>
    <t>https://drive.google.com/open?id=1HMNapIA9MdAtlgclld8U5yRKJsM_RxHo</t>
  </si>
  <si>
    <t>karanganyargodong662@gmail.com</t>
  </si>
  <si>
    <t>https://drive.google.com/file/d/13wPwUfth8YqGAiuXal5eNfOk5331XZ33/view?usp=drivesdk</t>
  </si>
  <si>
    <t>https://drive.google.com/open?id=1vaWjclMaWugPDboHC8WMwhvGBiiK6SXT</t>
  </si>
  <si>
    <t>rijalauladinew@gmail.com</t>
  </si>
  <si>
    <t>https://drive.google.com/file/d/1ZuQFEXLy22vzqIiEuopHtO4ZUFpUT-OE/view?usp=drivesdk</t>
  </si>
  <si>
    <t>ZULFATUL ULIA</t>
  </si>
  <si>
    <t>MUHAMAD</t>
  </si>
  <si>
    <t>MUARIFAH</t>
  </si>
  <si>
    <t>https://drive.google.com/open?id=19NZ1rz8cBzk5zPi05Nh1yyix6FImK0cf</t>
  </si>
  <si>
    <t>rizqiaditiammnaz12345@gmail.com</t>
  </si>
  <si>
    <t>EBTAQ25-03.035</t>
  </si>
  <si>
    <t>https://drive.google.com/file/d/1QK_EKUmpV0q2IFwILyV9-9SyJ4GttQmE/view?usp=drivesdk</t>
  </si>
  <si>
    <t>https://drive.google.com/open?id=1gWIVFU1YCDJ53Al-OwhEhKoInuFD3ho-</t>
  </si>
  <si>
    <t>layyinathiyya@gmail.com</t>
  </si>
  <si>
    <t>https://drive.google.com/file/d/1usDt59Cgi2rRoJLgURJFDVlb0drIIGEh/view?usp=drivesdk</t>
  </si>
  <si>
    <t>ADIRA AZZAHRA</t>
  </si>
  <si>
    <t>Khamidul Manan</t>
  </si>
  <si>
    <t>Rubiah</t>
  </si>
  <si>
    <t>https://drive.google.com/open?id=1KbrS9FqYKOEY24gdTSys6hJZvL0lHer0</t>
  </si>
  <si>
    <t>aahruby39@gmail.com</t>
  </si>
  <si>
    <t>Dewoka - Assalamah</t>
  </si>
  <si>
    <t>SISCA OLIVIA</t>
  </si>
  <si>
    <t>MUSTHOFA</t>
  </si>
  <si>
    <t>MUNAFIAH</t>
  </si>
  <si>
    <t>https://drive.google.com/open?id=1Ot7nzUstYzC486mZVkShIqToDW-UWy6u</t>
  </si>
  <si>
    <t>qdrhlailatul@gmail.com</t>
  </si>
  <si>
    <t>HANIFA NUR FIDA</t>
  </si>
  <si>
    <t>Dwi Susanto</t>
  </si>
  <si>
    <t>Siti Nurjanah</t>
  </si>
  <si>
    <t>https://drive.google.com/open?id=1aVbrSwm3boJBKSU3ogAX4aVnnvwZoCu3</t>
  </si>
  <si>
    <t>inayatussolekah248@gmail.com</t>
  </si>
  <si>
    <t>RIZKY KHOIRUL KHAMDANI</t>
  </si>
  <si>
    <t>MOH KHOIRI</t>
  </si>
  <si>
    <t>DESI KARTIKA SARI</t>
  </si>
  <si>
    <t>https://drive.google.com/open?id=1rsZs2C51Q-gaY6LItyqBK7AzKezP-9Hl</t>
  </si>
  <si>
    <t>mmahfudoh069@gmail.com</t>
  </si>
  <si>
    <t>https://drive.google.com/open?id=1ORvOngVtfUlG-9CyHLyc3bC7UIS6pAKp</t>
  </si>
  <si>
    <t>etikakamilafaizuna@gmail.com</t>
  </si>
  <si>
    <t>https://drive.google.com/file/d/1TgnmMnCqcAuU8I4rvK91KfVXLc0iM8_f/view?usp=drivesdk</t>
  </si>
  <si>
    <t>AZHARA ARFIANI PUTRI</t>
  </si>
  <si>
    <t>Rusmin</t>
  </si>
  <si>
    <t>Siti Mugiroh</t>
  </si>
  <si>
    <t>https://drive.google.com/open?id=1H6OzlTiqKhlBdrqvkBMDjPEy6-MD9AiM</t>
  </si>
  <si>
    <t>azzahradmk9@gmail.com</t>
  </si>
  <si>
    <t>https://drive.google.com/open?id=13qnGaVPoUt2U5qU_cuxssBrfE4M4CJ9M</t>
  </si>
  <si>
    <t>warungsahabat433@gmail.com</t>
  </si>
  <si>
    <t>https://drive.google.com/file/d/14v34rKK4FNUNT0-N7uVn2z6cJoXRDjMS/view?usp=drivesdk</t>
  </si>
  <si>
    <t>https://drive.google.com/open?id=1jIOLT4sNZf7Dz6KVhnsV-UfBNjQk7XkL</t>
  </si>
  <si>
    <t>mahiramahira76671@gmail.com</t>
  </si>
  <si>
    <t>https://drive.google.com/file/d/1phIm0J3RqqWePREkK0HGvWDSBvyA7kOc/view?usp=drivesdk</t>
  </si>
  <si>
    <t>https://drive.google.com/open?id=1U15qbKiG5sTqHxPTHywKhgWOvFi8xtZB</t>
  </si>
  <si>
    <t>wilisdanisaputri@gmail.com</t>
  </si>
  <si>
    <t>https://drive.google.com/file/d/1EIZTPIZLkxKG7YJ4VWH_fUT776saiiXT/view?usp=drivesdk</t>
  </si>
  <si>
    <t>https://drive.google.com/open?id=1qxlekTV6tWTxtBl4bqCMQvYr_Pzx9NHe</t>
  </si>
  <si>
    <t>safira88766@gmail.com</t>
  </si>
  <si>
    <t>https://drive.google.com/file/d/1jJvT8cruurvC-WHiESdjXT18_HTQmgpJ/view?usp=drivesdk</t>
  </si>
  <si>
    <t>KAISA FARZANA ASFIA</t>
  </si>
  <si>
    <t>CHOLIQUL AHSAN</t>
  </si>
  <si>
    <t>DURROTUN NASHIHAH</t>
  </si>
  <si>
    <t>https://drive.google.com/open?id=1LobfRd9C-d4R6m55FLZ2DiaRknSg_JLN</t>
  </si>
  <si>
    <t>nurfianazulfa@gmail.com</t>
  </si>
  <si>
    <t>https://drive.google.com/open?id=1xvKEaV02CpJrgInKmAa00qjPdob5aDkF</t>
  </si>
  <si>
    <t>fahriaalaudin@gmail.com</t>
  </si>
  <si>
    <t>https://drive.google.com/file/d/1H4KTzG-IsOEjt7IHYKcCvumlZ2BtSUqk/view?usp=drivesdk</t>
  </si>
  <si>
    <t>DESTI INTAN NUR AINI</t>
  </si>
  <si>
    <t>Muhamad Saifudin</t>
  </si>
  <si>
    <t>Minkhatun</t>
  </si>
  <si>
    <t>https://drive.google.com/open?id=1b6U5P3xkP9RJEtKRfOPxqeUDNchC2oTK</t>
  </si>
  <si>
    <t>intancell57291@gmail.com</t>
  </si>
  <si>
    <t>Ayunda Bella Orlin</t>
  </si>
  <si>
    <t>Mokhamad mustaqim</t>
  </si>
  <si>
    <t>Mutriah</t>
  </si>
  <si>
    <t>https://drive.google.com/open?id=1D0xtIGib75JpcOeL7shhVxICaRjPgXTk</t>
  </si>
  <si>
    <t>malikhatun494@gmail.com</t>
  </si>
  <si>
    <t>JIHAN THALITA SALSABILA</t>
  </si>
  <si>
    <t>Ahmad Aspan</t>
  </si>
  <si>
    <t>Subaedah</t>
  </si>
  <si>
    <t>https://drive.google.com/open?id=15GxfuE8yt78v2Ku6o4KmSJGqXjzYrO6c</t>
  </si>
  <si>
    <t>cindyfatikawatilaela@gmail.com</t>
  </si>
  <si>
    <t>AZZA KAMILIA</t>
  </si>
  <si>
    <t>Moh.Ansyori</t>
  </si>
  <si>
    <t>Khoirunisa</t>
  </si>
  <si>
    <t>https://drive.google.com/open?id=1W11jGX14LZWtZo8oFwITXzqliRT8g1bU</t>
  </si>
  <si>
    <t>maulanamoh792@gmail.com</t>
  </si>
  <si>
    <t>AQILLA ARINARRUSYDAA</t>
  </si>
  <si>
    <t>Mahmud Zuhdi</t>
  </si>
  <si>
    <t>Sahlatun</t>
  </si>
  <si>
    <t>https://drive.google.com/open?id=1YfqVn0HLFJaAdt4o2Q0VLB43xJ_cwTRJ</t>
  </si>
  <si>
    <t>cellyudi54@gmail.com</t>
  </si>
  <si>
    <t>MUHAMMAD MAULIDINA AKMAL</t>
  </si>
  <si>
    <t>Ali Purwono</t>
  </si>
  <si>
    <t>Lutfiatul Anisah</t>
  </si>
  <si>
    <t>https://drive.google.com/open?id=18digA0SBWsJ0Fd1WI7gpCwMpp4ZFkXBm</t>
  </si>
  <si>
    <t>azkiamutiaarofah@gmail.com</t>
  </si>
  <si>
    <t>https://drive.google.com/open?id=1-Ph51Jh-5i3msUlTZ0TZQaW0hBbCjU6B</t>
  </si>
  <si>
    <t>rahmaaa6671@gmail.com</t>
  </si>
  <si>
    <t>https://drive.google.com/file/d/1BqZ8JiJ-qyY9xIvcQnOlvHicDCZL-Iuu/view?usp=drivesdk</t>
  </si>
  <si>
    <t>Assyfa yusfina sandra</t>
  </si>
  <si>
    <t>Faizun ulirosad</t>
  </si>
  <si>
    <t>ikhwati</t>
  </si>
  <si>
    <t>https://drive.google.com/open?id=1yy1-xSodyKoG1L2mee-gtFCVC9QGwDB-</t>
  </si>
  <si>
    <t>faizuun90@gmail.com</t>
  </si>
  <si>
    <t>MUHAMMAD MAULIDINA AKHSAN</t>
  </si>
  <si>
    <t>https://drive.google.com/open?id=1hSmvXMsLfh92U9xMwaXm002KnN854ZSi</t>
  </si>
  <si>
    <t>purwonop874@gmail.com</t>
  </si>
  <si>
    <t>https://drive.google.com/open?id=1ToQh-zRpk_WlpucmnutVYAyqHT-2h9kZ</t>
  </si>
  <si>
    <t>fafaku.azrilku@gmail.com</t>
  </si>
  <si>
    <t>https://drive.google.com/file/d/1KVJXyVB8D5Q5YINHbL92hcDbcZCItrwL/view?usp=drivesdk</t>
  </si>
  <si>
    <t>RASYA MUHAMMAD ATHAYA</t>
  </si>
  <si>
    <t>Mohamad Santoso</t>
  </si>
  <si>
    <t>Atik Suryandari</t>
  </si>
  <si>
    <t>https://drive.google.com/open?id=1K2fnXVTXvZFKykQ57a1RBsivMqywfVJF</t>
  </si>
  <si>
    <t>santosokudus761@gmail.com</t>
  </si>
  <si>
    <t>Rafi Wafiq Musawwar</t>
  </si>
  <si>
    <t>Ahmad Soleh</t>
  </si>
  <si>
    <t>Reta Novi Ardianti</t>
  </si>
  <si>
    <t>https://drive.google.com/open?id=1kpER2N3kGTEa9xyRy4TZIvbahJyCUCaP</t>
  </si>
  <si>
    <t>srisuharti854@gmail.com</t>
  </si>
  <si>
    <t>MUHAMMAD JIBRIL AL MAKKI</t>
  </si>
  <si>
    <t>SRI NOTO</t>
  </si>
  <si>
    <t>MIFTAKHUR RAHMAH</t>
  </si>
  <si>
    <t>https://drive.google.com/open?id=12n3ov0CAYFSq04FJB28OYl7qV4cUhr-m</t>
  </si>
  <si>
    <t>agusbiyantoro85@gmail.com</t>
  </si>
  <si>
    <t>Jastra Robert Ahmad Utama</t>
  </si>
  <si>
    <t>Ahmad kholiq</t>
  </si>
  <si>
    <t>Siti Rusminatun</t>
  </si>
  <si>
    <t>https://drive.google.com/open?id=1monk98yGQ8NHdndRq-SUO4auuemI7OP9</t>
  </si>
  <si>
    <t>nuralifiah28166@gmail.com</t>
  </si>
  <si>
    <t>https://drive.google.com/open?id=1fXXAJtZ6xZmPzZvl3SEC1tEKLTyw_Iou</t>
  </si>
  <si>
    <t>kurniasyafaati@gmail.com</t>
  </si>
  <si>
    <t>https://drive.google.com/file/d/1i6t39B9Ffwzu4D31TUJ__PcOSc-6frsP/view?usp=drivesdk</t>
  </si>
  <si>
    <t>https://drive.google.com/open?id=1u1PzpWAcf0evR5ZaPxhQDNPtadNNkRKY</t>
  </si>
  <si>
    <t>ufairaaqilasyalwa@gmail.com</t>
  </si>
  <si>
    <t>https://drive.google.com/file/d/133039foHt4mmsYvKqOXfZy2WLyh74vvu/view?usp=drivesdk</t>
  </si>
  <si>
    <t>Afham Ats Tsani Akmalun Nugroho</t>
  </si>
  <si>
    <t>Eriek Iryuanto Eko Nugroho</t>
  </si>
  <si>
    <t>Nur Hidayah</t>
  </si>
  <si>
    <t>https://drive.google.com/open?id=1hMZVAv_c1Z7CIDsbM9WJ9xLLxUlwGGMP</t>
  </si>
  <si>
    <t>bunda.ida2010@gmail.com</t>
  </si>
  <si>
    <t>https://drive.google.com/open?id=1yogLy78k-NxyjmNdPW3GXYpDDPjBIrRv</t>
  </si>
  <si>
    <t>anur71653@gmail.com</t>
  </si>
  <si>
    <t>https://drive.google.com/file/d/1d_izbss7J62Lx0JFNQKxHfegmUQa2cyD/view?usp=drivesdk</t>
  </si>
  <si>
    <t>https://drive.google.com/open?id=1kcJHnRSTYfZkr3B9l28pszDODgZTNPl1</t>
  </si>
  <si>
    <t>amiraainunmahya444@gmail.com</t>
  </si>
  <si>
    <t>https://drive.google.com/open?id=1ssOviEC2rHbzIwmvvb0kdxv6Rj_LckTk</t>
  </si>
  <si>
    <t>paxsurhoto@gmail.com</t>
  </si>
  <si>
    <t>https://drive.google.com/file/d/1kt3aPGCZUgw66w1p1OfK-HwAurQ8rMVr/view?usp=drivesdk</t>
  </si>
  <si>
    <t>https://drive.google.com/open?id=1ktP_6tOSCJf2uvaWleU8Icg0bmVNrfYw</t>
  </si>
  <si>
    <t>sofidemak837@gmail.com</t>
  </si>
  <si>
    <t>https://drive.google.com/file/d/1uE9i4p1ygXHRQFBx0vHJQEk9cFKTbBFf/view?usp=drivesdk</t>
  </si>
  <si>
    <t>https://drive.google.com/open?id=1hUMMcxVNvSrF3fTN8STHNMfFPvuoU3s5</t>
  </si>
  <si>
    <t>ulin10899@gmail.com</t>
  </si>
  <si>
    <t>https://drive.google.com/file/d/1Cqs9d0VyIDejE3rx80GKmIQo2hcFUyzw/view?usp=drivesdk</t>
  </si>
  <si>
    <t>https://drive.google.com/open?id=1PFmq1RtHXpOEK5VTTSuDNiOOTIPhn5Ug</t>
  </si>
  <si>
    <t>masty481@gmail.com</t>
  </si>
  <si>
    <t>https://drive.google.com/file/d/1UNhIEiT-uz8NCkWTMcsDQwPg7laDRRoi/view?usp=drivesdk</t>
  </si>
  <si>
    <t>https://drive.google.com/open?id=1zycrmF0Jws-Qm6NoB1Uq66zTBrC4saRU</t>
  </si>
  <si>
    <t>nailyrahmawati56@guru.sma.belajar.id</t>
  </si>
  <si>
    <t>https://drive.google.com/file/d/1xO66ppLwnTcM9zl24b8t3b8YWhXDmHMM/view?usp=drivesdk</t>
  </si>
  <si>
    <t>https://drive.google.com/open?id=1wCzRtMXYnu9pVybzVyY0c2LYrBugwkQl</t>
  </si>
  <si>
    <t>avashakinafitri@gmail.com</t>
  </si>
  <si>
    <t>https://drive.google.com/file/d/1TsNAotglyDgb9qvIrMP7sSu5d4kB7lbv/view?usp=drivesdk</t>
  </si>
  <si>
    <t>Karangga - Miftahul Ulum,</t>
  </si>
  <si>
    <t>Cintya risqi azalia</t>
  </si>
  <si>
    <t>Nurul anwar</t>
  </si>
  <si>
    <t>Tutik wiyanti</t>
  </si>
  <si>
    <t>https://drive.google.com/open?id=1eGgqh2DHwwpKmf7RJkf4ynfd8uWwfkjm</t>
  </si>
  <si>
    <t>nurulanwar0502@gmail.com</t>
  </si>
  <si>
    <t>https://drive.google.com/open?id=17lotDdPqDJzuJzOzODBmVC29HwMDHP-7</t>
  </si>
  <si>
    <t>mazthatha@gmail.com</t>
  </si>
  <si>
    <t>https://drive.google.com/file/d/1P2lXp25hQPLPKdy6bz7PF9iZCLDP2mpP/view?usp=drivesdk</t>
  </si>
  <si>
    <t>Lazinatul Maulidya</t>
  </si>
  <si>
    <t>https://drive.google.com/open?id=1xIdbG1yfEil4OXmwZTabvXLrEvFx1hh-</t>
  </si>
  <si>
    <t>aunianovi@gmail.com</t>
  </si>
  <si>
    <t>https://drive.google.com/open?id=1bdUOW5ScMg8ioSXF0QowkLzkV1tZ4rnZ</t>
  </si>
  <si>
    <t>nailyrahmawati@gmail.com</t>
  </si>
  <si>
    <t>https://drive.google.com/file/d/1CC5CvThiW4nxeYo-hB-5gGp8lsdTiG5U/view?usp=drivesdk</t>
  </si>
  <si>
    <t>Alifiya Nuril Ilma</t>
  </si>
  <si>
    <t>Muhamad shokip</t>
  </si>
  <si>
    <t>Sukris irnawati</t>
  </si>
  <si>
    <t>https://drive.google.com/open?id=1B3-6WtPzNYojRDyXxUferphqoMfWDvWJ</t>
  </si>
  <si>
    <t>mohammad.syamsul.maarif10@gmail.com</t>
  </si>
  <si>
    <t>Yasmin Rahardian</t>
  </si>
  <si>
    <t>Rohadi</t>
  </si>
  <si>
    <t>Rohmin</t>
  </si>
  <si>
    <t>https://drive.google.com/open?id=1Uk9egxQzYCVGEgMoJs_WV71GvLt_NNcj</t>
  </si>
  <si>
    <t>lutfiyatulmuayanah08@gmail.com</t>
  </si>
  <si>
    <t>https://drive.google.com/open?id=1-v4DYZXmayNezOuDv2parTy_XzIvxd4p</t>
  </si>
  <si>
    <t>chafidaotul123@gmail.com</t>
  </si>
  <si>
    <t>https://drive.google.com/file/d/11jHFTTuVfNENkSWhMT_84mRZf2pljwis/view?usp=drivesdk</t>
  </si>
  <si>
    <t>MUHAMMAD NAUFAL HASAN</t>
  </si>
  <si>
    <t>Susilo</t>
  </si>
  <si>
    <t>Widya Desianingsih</t>
  </si>
  <si>
    <t>https://drive.google.com/open?id=1lgdTeLYu4GKAZTieHMdp98vhLTCwn72t</t>
  </si>
  <si>
    <t>aqmarfalih016@gmail.com</t>
  </si>
  <si>
    <t>fahriza irsad malik</t>
  </si>
  <si>
    <t>https://drive.google.com/open?id=13fUAYJdt--jm7lkanOAbLCMv9FhK4D08</t>
  </si>
  <si>
    <t>dimasdailami5@gmail.com</t>
  </si>
  <si>
    <t>Hakima Ghaida Aqila</t>
  </si>
  <si>
    <t>Sudarsono</t>
  </si>
  <si>
    <t>Siti rahmawati</t>
  </si>
  <si>
    <t>https://drive.google.com/open?id=1-L82p4-UYxzh-A4JdR5orE_lCxWq859u</t>
  </si>
  <si>
    <t>aqilahakima@gmail.com</t>
  </si>
  <si>
    <t>ZULFA NIDA HUSNA</t>
  </si>
  <si>
    <t>MUHAMMAD MA'RUF,S.Ag</t>
  </si>
  <si>
    <t>SITI MAHMUDAH</t>
  </si>
  <si>
    <t>https://drive.google.com/open?id=1GtmLL5Vbz0LL935tvTIdIL3TgTLt0xKh</t>
  </si>
  <si>
    <t>mma464535@gmail.com</t>
  </si>
  <si>
    <t>https://drive.google.com/open?id=1v5WoDClZA_ChTqHGN3o4cQt18EkE3ro4</t>
  </si>
  <si>
    <t>khoirotunisa981@gmail.com</t>
  </si>
  <si>
    <t>https://drive.google.com/file/d/1rn_IFgN7IsT9uhuz8zX_1osWYVkyhxRd/view?usp=drivesdk</t>
  </si>
  <si>
    <t>SUCI RAMADHANI</t>
  </si>
  <si>
    <t>Sugeng widodo</t>
  </si>
  <si>
    <t>Musliyah</t>
  </si>
  <si>
    <t>https://drive.google.com/open?id=1IOY6ekAGFWJdI8WquJy2UGIkaHvsP0st</t>
  </si>
  <si>
    <t>samhasauha@gmail.com</t>
  </si>
  <si>
    <t>Selia Andriani Hardaningrum</t>
  </si>
  <si>
    <t>Muhamad Muji Hardaningrum</t>
  </si>
  <si>
    <t>Rismawati</t>
  </si>
  <si>
    <t>https://drive.google.com/open?id=10sI4Qo06dxQQtAtCQUyzSp52whnhIFz5</t>
  </si>
  <si>
    <t>anibudilianti@gmail.com</t>
  </si>
  <si>
    <t>https://drive.google.com/open?id=10dIxDPoiBWrpY6v7ZSlDxQNVKNg2SJNh</t>
  </si>
  <si>
    <t>turinmbakton@gmail.com</t>
  </si>
  <si>
    <t>https://drive.google.com/file/d/1duuAWDlZpCgvEFCrLDQ8Mwm5RiysIC5p/view?usp=drivesdk</t>
  </si>
  <si>
    <t>https://drive.google.com/open?id=148l4GZJT0CpuZgYJijkSFp3y-ljoEFzl</t>
  </si>
  <si>
    <t>tiaalzanu@gmail.com</t>
  </si>
  <si>
    <t>https://drive.google.com/file/d/1v0Xr_xh-Qb9VEK3VGuQ0VwmFgdquZG_Y/view?usp=drivesdk</t>
  </si>
  <si>
    <t>AURA SALMAN ALFARIZI</t>
  </si>
  <si>
    <t>Blora</t>
  </si>
  <si>
    <t>Joko towo</t>
  </si>
  <si>
    <t>Mei suci asmorowati</t>
  </si>
  <si>
    <t>https://drive.google.com/open?id=1FiI0pxDMo7HkdQiBOhrfGK9ZLA2f-d_-</t>
  </si>
  <si>
    <t>farisatulmuna573@gmail.com</t>
  </si>
  <si>
    <t>Jovita Aisyah Putri Budiharjo</t>
  </si>
  <si>
    <t>Muhtarom Budiharjo</t>
  </si>
  <si>
    <t>Sri Susilowati</t>
  </si>
  <si>
    <t>https://drive.google.com/open?id=1lBouXgxz4hkpyZBxwIqdm5LG7DshNSv0</t>
  </si>
  <si>
    <t>audinaita7@gmail.com</t>
  </si>
  <si>
    <t>https://drive.google.com/open?id=1hAfHwzP_fB-FZ6KakenKOS8iwjZhQA2V</t>
  </si>
  <si>
    <t>ichwannajib20@gmail.com</t>
  </si>
  <si>
    <t>https://drive.google.com/file/d/1z_meZ4x6T8HbdlhzipjfKAvUbA-6yykm/view?usp=drivesdk</t>
  </si>
  <si>
    <t>https://drive.google.com/open?id=1n1bjRQS5DuAlmzN5yOSi2HalNKZ8ykQX</t>
  </si>
  <si>
    <t>asyrafhanif011@gmail.com</t>
  </si>
  <si>
    <t>https://drive.google.com/file/d/1-Ysgi2ciM2V0iON2jYxl4mvvjEtav6tH/view?usp=drivesdk</t>
  </si>
  <si>
    <t>https://drive.google.com/open?id=1_Xw-9Nhgn8-HEoNMEniuarFOQAsw6Hnp</t>
  </si>
  <si>
    <t>muhammadwafi0234@gmail.com</t>
  </si>
  <si>
    <t>https://drive.google.com/file/d/1hmIWvG04QG_045nd-P6uCWXEgoVy1epk/view?usp=drivesdk</t>
  </si>
  <si>
    <t>Mumtazah Mazinatul Aqilah</t>
  </si>
  <si>
    <t>Tabanan</t>
  </si>
  <si>
    <t>Muhammad Abdul Rozaq</t>
  </si>
  <si>
    <t>Astuti</t>
  </si>
  <si>
    <t>https://drive.google.com/open?id=14GCOM5Aw53Svsvr2vnbt4_dbBgEdbQus</t>
  </si>
  <si>
    <t>abdullahmuhtarom@gmail.com</t>
  </si>
  <si>
    <t>https://drive.google.com/open?id=1evWGcubq1mcotQC4YSPGYIhrhmSCV5rT</t>
  </si>
  <si>
    <t>satriyobudi681@gmail.com</t>
  </si>
  <si>
    <t>https://drive.google.com/file/d/1_cAlzYXAFK1AxG2cBg8g3vv6pyI0jQZ3/view?usp=drivesdk</t>
  </si>
  <si>
    <t>https://drive.google.com/open?id=1DJVq2Jmyu0aHFInLuL8zqCoyTr62JAUu</t>
  </si>
  <si>
    <t>syifa82821@gmail.com</t>
  </si>
  <si>
    <t>https://drive.google.com/file/d/1hoLrcgQ7o30XTzVeKWnagnFJMtDvWLKO/view?usp=drivesdk</t>
  </si>
  <si>
    <t>https://drive.google.com/open?id=18Hnz_M50p9mFjB8Ka7MFGAWKKC_X2Q16</t>
  </si>
  <si>
    <t>aznairawan@gmail.com</t>
  </si>
  <si>
    <t>https://drive.google.com/file/d/1b-CKGrgSxef3_8b7zpyN3q89PqnKo6uV/view?usp=drivesdk</t>
  </si>
  <si>
    <t>Karangga - Nurul Huda Undaan Kidul</t>
  </si>
  <si>
    <t>Syarifah lia Dwarawati</t>
  </si>
  <si>
    <t>Mujib</t>
  </si>
  <si>
    <t>Dika lusiana</t>
  </si>
  <si>
    <t>https://drive.google.com/open?id=1X1aT8TXvkoCxliWzU20eIqfuKa4g4V1x</t>
  </si>
  <si>
    <t>syarifahliadwarawati@gmail.com</t>
  </si>
  <si>
    <t>https://drive.google.com/open?id=1kRUWl1R8YywkvxG2zUpjy5_zEHsUUard</t>
  </si>
  <si>
    <t>massaid85@gmail.com</t>
  </si>
  <si>
    <t>https://drive.google.com/file/d/1VN8NPiPsKi9E1tP_a-ufkKJxQSo7EdwY/view?usp=drivesdk</t>
  </si>
  <si>
    <t>AZZAHRA ASYILA RAHMA</t>
  </si>
  <si>
    <t>ROBI NOR ALFA</t>
  </si>
  <si>
    <t>ENDANG WELASIH</t>
  </si>
  <si>
    <t>https://drive.google.com/open?id=1ztR_lC3vsPK0_7QgtvlbYis6cEjN7R0K</t>
  </si>
  <si>
    <t>silaa46890@gmail.com</t>
  </si>
  <si>
    <t>Aprilia Hana Arsila</t>
  </si>
  <si>
    <t>Agus Sutomo</t>
  </si>
  <si>
    <t>Aula Rizqina</t>
  </si>
  <si>
    <t>https://drive.google.com/open?id=1dqwBQ0AtNXq-PV8kdPMpNsoGdGrbtiS1</t>
  </si>
  <si>
    <t>indrainter35@gmail.com</t>
  </si>
  <si>
    <t>Nayla aulia azzani</t>
  </si>
  <si>
    <t>Khamim makhrus</t>
  </si>
  <si>
    <t>Siti umrotun</t>
  </si>
  <si>
    <t>https://drive.google.com/open?id=1zsmkmA1GltvtKLHGK-zfi-hyTpjX8WYB</t>
  </si>
  <si>
    <t>nailialfi343@gmail.com</t>
  </si>
  <si>
    <t>MUTIARA PUTRI RAMADHANI</t>
  </si>
  <si>
    <t>KHOIRUR ROZI</t>
  </si>
  <si>
    <t>MIFTAKHUL ROHMAH</t>
  </si>
  <si>
    <t>https://drive.google.com/open?id=10CeIYkOFfe-f5l-mwimPAcv9yLMMjw3I</t>
  </si>
  <si>
    <t>miftakhulrohmah996@gmail.com</t>
  </si>
  <si>
    <t>AZIFA NAJMA HUMAIRO</t>
  </si>
  <si>
    <t>ISKHAQ MULYONO</t>
  </si>
  <si>
    <t>MU'AROFAH</t>
  </si>
  <si>
    <t>https://drive.google.com/open?id=1CY52K6lvFHQUSDPmNzg6D4HhkdZwUidu</t>
  </si>
  <si>
    <t>azimaula169@gmail.com</t>
  </si>
  <si>
    <t>Nestry Widya putri</t>
  </si>
  <si>
    <t>Sumari</t>
  </si>
  <si>
    <t>Royanti</t>
  </si>
  <si>
    <t>https://drive.google.com/open?id=1COIy77-1FsJw2v86mK3Xwvqd6bJ7XbKA</t>
  </si>
  <si>
    <t>raya57819@gmail.com</t>
  </si>
  <si>
    <t>AZIZAH KHOIRUN NISA</t>
  </si>
  <si>
    <t>AH MUHTASOR AZIZ</t>
  </si>
  <si>
    <t>SAYIDAH</t>
  </si>
  <si>
    <t>https://drive.google.com/open?id=1Ca2tWg9px9RFnQVUw7AhFWnmHPvir520</t>
  </si>
  <si>
    <t>izzaaliyatulm@gmail.com</t>
  </si>
  <si>
    <t>https://drive.google.com/open?id=19W4T_kQRTVZXsx74EUtPPrl_IdXQUzg4</t>
  </si>
  <si>
    <t>luqmanthoriqulhuda@gmail.com</t>
  </si>
  <si>
    <t>https://drive.google.com/file/d/1rwG1Ppf_AoT52UiJE1KY8OxPE6DHDzbG/view?usp=drivesdk</t>
  </si>
  <si>
    <t>https://drive.google.com/open?id=1GE6IWI5lnSqGI4PhbSe1vx9D8syO0T-1</t>
  </si>
  <si>
    <t>lestar2284@gmail.com</t>
  </si>
  <si>
    <t>https://drive.google.com/file/d/1OkO1v9WonRo9mKweblBAdHpyU1jfukZZ/view?usp=drivesdk</t>
  </si>
  <si>
    <t>https://drive.google.com/open?id=1j1K8zCbMjJ21h0FYgZZzW28mVEBwtP4c</t>
  </si>
  <si>
    <t>khoirunniam291290@gmail.com</t>
  </si>
  <si>
    <t>https://drive.google.com/file/d/19OdAnLYvPW-dLPjkNA5t-uHC4ObGqY4v/view?usp=drivesdk</t>
  </si>
  <si>
    <t>https://drive.google.com/open?id=18Vk3aDpt3h0-9itKl1-HO2GA7Ni7f4nO</t>
  </si>
  <si>
    <t>rayac202@gmail.com</t>
  </si>
  <si>
    <t>https://drive.google.com/file/d/12I6nINnR1TUIN8braGQJywCe9f7YBc3l/view?usp=drivesdk</t>
  </si>
  <si>
    <t>Novia Rahayu MUstovia</t>
  </si>
  <si>
    <t>Agus Okto pramono</t>
  </si>
  <si>
    <t>Musripah</t>
  </si>
  <si>
    <t>https://drive.google.com/open?id=1skni7B0X8tRHdyHKcgmM7HI2Ax4-ZzqG</t>
  </si>
  <si>
    <t>noviarahayumustovia@gmail.com</t>
  </si>
  <si>
    <t>https://drive.google.com/open?id=1GzNRaw6UpD3g5dYm_5sv7a9KyeGdaieo</t>
  </si>
  <si>
    <t>ratusenja2018@gmail.com</t>
  </si>
  <si>
    <t>https://drive.google.com/file/d/1druNz8Gq_rrGc0g06vEMOxp1LbkjfZdf/view?usp=drivesdk</t>
  </si>
  <si>
    <t>https://drive.google.com/open?id=1UilDIsyFUoCzRhrVBqJEJzR8NQc7yiNn</t>
  </si>
  <si>
    <t>iqbalroni056@gmail.com</t>
  </si>
  <si>
    <t>https://drive.google.com/file/d/1237aLo5F3z9AB_O4xSicXeW1Ws-xSv7M/view?usp=drivesdk</t>
  </si>
  <si>
    <t>AHMAD SHIDIQ ALKARIM</t>
  </si>
  <si>
    <t>https://drive.google.com/open?id=1gj9zs7do8UXzut3Ok8t7iB5u3qKntN9Z</t>
  </si>
  <si>
    <t>salsabilajanietasalwa@gmail.com</t>
  </si>
  <si>
    <t>https://drive.google.com/open?id=1kOIpkXL2ulXMgtwZo_paD2jgLViTSESS</t>
  </si>
  <si>
    <t>dekfarid57@gmail.com</t>
  </si>
  <si>
    <t>https://drive.google.com/file/d/12vPXXXnFyO3EwG_kkMOyhTkMBRaYU01R/view?usp=drivesdk</t>
  </si>
  <si>
    <t>https://drive.google.com/open?id=1aQRJut4ZvaBFlvYoBKxCyeoLnSXN-DjR</t>
  </si>
  <si>
    <t>fariddemak577@gmail.com</t>
  </si>
  <si>
    <t>https://drive.google.com/file/d/1Ity3z9w9_tk4G8NDj445aAeEU0yYVXDu/view?usp=drivesdk</t>
  </si>
  <si>
    <t>https://drive.google.com/open?id=1V7IM3hVBNjHd1Q2j6wHLmSnti2rRBv8Y</t>
  </si>
  <si>
    <t>budiyanto61@guru.sma.belajar.id</t>
  </si>
  <si>
    <t>https://drive.google.com/file/d/16nVVy5hh84wUtxqgQbGdfU3Sh_-2Qj6K/view?usp=drivesdk</t>
  </si>
  <si>
    <t>Ismai</t>
  </si>
  <si>
    <t>Ibrohim</t>
  </si>
  <si>
    <t>Sarah</t>
  </si>
  <si>
    <t>https://drive.google.com/open?id=1awg5Q4Rs41mKxnrkPwvO7j8RNEdNu57d</t>
  </si>
  <si>
    <t>fiddaroinbejo@gmail.com</t>
  </si>
  <si>
    <t>EBTAQ25-01.225</t>
  </si>
  <si>
    <t>https://drive.google.com/file/d/121VfRlwUkNgh2B7IXkwJX5UMHDWpxk0v/view?usp=drivesdk</t>
  </si>
  <si>
    <t>Mranggen - TPQ Khusnul Khotimah</t>
  </si>
  <si>
    <t>https://drive.google.com/open?id=1UZqqiEZ4zNrqJWYpeQYNd6yqqlUHfQLh</t>
  </si>
  <si>
    <t>dukunexcel@gmail.com</t>
  </si>
  <si>
    <t>EBTAQ25-06.009</t>
  </si>
  <si>
    <t>https://drive.google.com/file/d/1K6uT2AiVlt3uYsHwfcUsZgkOzjFGVXpO/view?usp=drivesdk</t>
  </si>
  <si>
    <t>https://drive.google.com/open?id=1fflhU_tgOyx1h1tVrNbv5Gj5Iy0wVPM_</t>
  </si>
  <si>
    <t>EBTAQ25-01.226</t>
  </si>
  <si>
    <t>https://drive.google.com/file/d/1QImmnGsxgOPLHavETdFssgqVMXm1DVMC/view?usp=drivesdk</t>
  </si>
  <si>
    <t>https://drive.google.com/open?id=1764U-OIxKv5F1ynKHXbbcns1LlREkFMf</t>
  </si>
  <si>
    <t>budiynaily123@gmail.com</t>
  </si>
  <si>
    <t>EBTAQ25-01.227</t>
  </si>
  <si>
    <t>https://drive.google.com/file/d/1B8dIfsqMv0IX4jF0Wp0Qb1SxXx0dy5Zm/view?usp=drivesdk</t>
  </si>
  <si>
    <t>https://drive.google.com/open?id=1rVvxTI7p72ndf6u_QUS5CzuLoSefv9yk</t>
  </si>
  <si>
    <t>EBTAQ25-01.228</t>
  </si>
  <si>
    <t>https://drive.google.com/file/d/1c_ZdGmWK-fRzzFHZregRk8t-2zFkAdci/view?usp=drivesdk</t>
  </si>
  <si>
    <t>Demak - TPQ MIFTAHUL JANNAH</t>
  </si>
  <si>
    <t>AZZAHRA AUFA RAFIFAH</t>
  </si>
  <si>
    <t>KASNO</t>
  </si>
  <si>
    <t>QURROTUL 'AIN</t>
  </si>
  <si>
    <t>https://drive.google.com/open?id=1ppJ7QM1vKk6nfbghKfz0Rm4-ZuVGPbjA</t>
  </si>
  <si>
    <t>inarukmana894@gmail.com</t>
  </si>
  <si>
    <t>EBTAQ25-01.229</t>
  </si>
  <si>
    <t>https://drive.google.com/file/d/1_XRTarNZTaZnK-5mAmzrt6yt-8fqV4KQ/view?usp=drivesdk</t>
  </si>
  <si>
    <t>Abdullah Dhanu Narendra</t>
  </si>
  <si>
    <t>Agus Abdullah Mukti</t>
  </si>
  <si>
    <t>Etty Sugiasih</t>
  </si>
  <si>
    <t>https://drive.google.com/open?id=1mpVbfKyCd0thV6Zs5dczECsjI9ykxXWc</t>
  </si>
  <si>
    <t>aliniarahma@gmail.com</t>
  </si>
  <si>
    <t>EBTAQ25-01.230</t>
  </si>
  <si>
    <t>https://drive.google.com/file/d/1ywrFU-aJ2v1QwzHmTRDSVmY8GaNKdLbW/view?usp=drivesdk</t>
  </si>
  <si>
    <t>Abrizam Ahkim Aisyhafiy</t>
  </si>
  <si>
    <t>Sigit Suharto</t>
  </si>
  <si>
    <t>Nelfa Erly Fransiskasari</t>
  </si>
  <si>
    <t>https://drive.google.com/open?id=1op6XFXUl-XLeGA1GOGMGOgCX_0P8PgTY</t>
  </si>
  <si>
    <t>EBTAQ25-01.231</t>
  </si>
  <si>
    <t>https://drive.google.com/file/d/1bHFJ0sVNlBLeOX1JdVQGKEhssATJ-ZVz/view?usp=drivesdk</t>
  </si>
  <si>
    <t>https://drive.google.com/open?id=1rth1SHCJamv8uuCtRVqj9QcQ8Gezf_em</t>
  </si>
  <si>
    <t>ADITYA NAUFAL DARY ABIYYU</t>
  </si>
  <si>
    <t>NASICHIN</t>
  </si>
  <si>
    <t>ASTRI CAHYA PRATIWI</t>
  </si>
  <si>
    <t>https://drive.google.com/open?id=1kuLGYXpfP3yoIdCxrwnFe8SoMAlebxCY</t>
  </si>
  <si>
    <t>EBTAQ25-01.232</t>
  </si>
  <si>
    <t>https://drive.google.com/file/d/1mvn9-EAEzq0z4QLIpFiGpmajGtKn5_rI/view?usp=drivesdk</t>
  </si>
  <si>
    <t>Novia Rahayu Mustovia</t>
  </si>
  <si>
    <t>11/26/2013</t>
  </si>
  <si>
    <t>https://drive.google.com/open?id=1YORz-w4ZQWL3bh_UhkH20LKY-7TrTthv</t>
  </si>
  <si>
    <t>EBTAQ25-01.233</t>
  </si>
  <si>
    <t>https://drive.google.com/file/d/1pmVU6uBnfmCO6TeI6KM7nfLwqxd-w_ra/view?usp=drivesdk</t>
  </si>
  <si>
    <t>Maulidiyah Nafisatuzzahro</t>
  </si>
  <si>
    <t>Mustabsirin</t>
  </si>
  <si>
    <t>Siti Mutamimah</t>
  </si>
  <si>
    <t>https://drive.google.com/open?id=1Csv2I1THOik7fTjMdDb5gAkw5Znrapqs</t>
  </si>
  <si>
    <t>irwanprastiyan07@gmail.com</t>
  </si>
  <si>
    <t>https://drive.google.com/open?id=1SVX1_SScFpNhhfcDT7_TMPFti_qex5il</t>
  </si>
  <si>
    <t>ADZKIA MYESHA NABILA</t>
  </si>
  <si>
    <t>MUHAMAD SUKRON</t>
  </si>
  <si>
    <t>DWI RESTIYANI</t>
  </si>
  <si>
    <t>https://drive.google.com/open?id=1_OYkOBXq3Gu5uFzLRptUyU3tqBmgPsOa</t>
  </si>
  <si>
    <t>EBTAQ25-01.234</t>
  </si>
  <si>
    <t>https://drive.google.com/file/d/12TD2WANXJcvkAN0oAz_0LCbHPuN8G-J-/view?usp=drivesdk</t>
  </si>
  <si>
    <t>AHMAD ALIF MAULANA</t>
  </si>
  <si>
    <t>HUMAM CHAMBALI</t>
  </si>
  <si>
    <t>TUKIRAH</t>
  </si>
  <si>
    <t>https://drive.google.com/open?id=1EcfuLoXPo74jdEKA2Rt0FObCjdmkLUYi</t>
  </si>
  <si>
    <t>EBTAQ25-01.235</t>
  </si>
  <si>
    <t>https://drive.google.com/file/d/1IWKb9q6lkwA56Ekr6y93wqwMdFEVq1L2/view?usp=drivesdk</t>
  </si>
  <si>
    <t>https://drive.google.com/open?id=1HZBzVrZd6vM4KTfWt1Hh1ezds4b6hlOT</t>
  </si>
  <si>
    <t>EBTAQ25-01.236</t>
  </si>
  <si>
    <t>https://drive.google.com/file/d/1SO034f_EeKP9bn5uXvNll6vZMp7hVZQm/view?usp=drivesdk</t>
  </si>
  <si>
    <t>Alfida Zahwa Awalia</t>
  </si>
  <si>
    <t>Mualimin</t>
  </si>
  <si>
    <t>Siti mas udah</t>
  </si>
  <si>
    <t>https://drive.google.com/open?id=1kKmYTDDn61MhOUXcIXuWC4-WqxFbzU3r</t>
  </si>
  <si>
    <t>fida.demakk@gmail.com</t>
  </si>
  <si>
    <t>https://drive.google.com/open?id=1ffyXG6N_WCAowAjons3z0vSUkpyrZzFk</t>
  </si>
  <si>
    <t>EBTAQ25-01.237</t>
  </si>
  <si>
    <t>https://drive.google.com/file/d/1TMN_QGC_zA-3F0fPDZx5HbpjJTrMZCmz/view?usp=drivesdk</t>
  </si>
  <si>
    <t>https://drive.google.com/open?id=14Nw0w4Dx_o1Nq63H-dmu3WFWYHURnRUG</t>
  </si>
  <si>
    <t>EBTAQ25-01.238</t>
  </si>
  <si>
    <t>https://drive.google.com/file/d/1GxCb77GSB-bV8mzVkBMWcbsJy_CcDkla/view?usp=drivesdk</t>
  </si>
  <si>
    <t>Demak - TK QIROATI, Karangga - Al Hikmah</t>
  </si>
  <si>
    <t>https://drive.google.com/open?id=1qlrbjOcU119dl4GpL70ind_P-vzX9Ge0</t>
  </si>
  <si>
    <t>EBTAQ25-01.239</t>
  </si>
  <si>
    <t>https://drive.google.com/file/d/1Rzf9rM9QUaNyHIpSFbwm4bmAAqU7Rsg1/view?usp=drivesdk</t>
  </si>
  <si>
    <t>https://drive.google.com/open?id=11i5SNi8Fk71_QGJrzNtHYrXx2qx-PwUm</t>
  </si>
  <si>
    <t>EBTAQ25-01.240</t>
  </si>
  <si>
    <t>https://drive.google.com/file/d/15jOFQibLrzBZO_HbjvRgJKsByIVun8ze/view?usp=drivesdk</t>
  </si>
  <si>
    <t>AISYA SYAFA'ATUL MUKARROMAH</t>
  </si>
  <si>
    <t>AHMAD ZAENI DAHLAN</t>
  </si>
  <si>
    <t>CHARIROTUS SOLICHAH</t>
  </si>
  <si>
    <t>https://drive.google.com/open?id=1BYSsLWcDgxLqm7upDuOqiOKO9a_X27lp</t>
  </si>
  <si>
    <t>carirr671@gmail.com</t>
  </si>
  <si>
    <t>Daffa Radinka Faustin</t>
  </si>
  <si>
    <t>Tanjunganyar gajah demak</t>
  </si>
  <si>
    <t>Fuji santoso</t>
  </si>
  <si>
    <t>Asih setyowati</t>
  </si>
  <si>
    <t>https://drive.google.com/open?id=178RWWghzlb0FnZDGKxNz9Tap6MIp9HdJ</t>
  </si>
  <si>
    <t>dafaradinka78@gmail.com</t>
  </si>
  <si>
    <t>NOVIA RAHAYU MUSTHOVIA</t>
  </si>
  <si>
    <t>DEMAK,26NOVEMBER2013</t>
  </si>
  <si>
    <t>AGUS OKTO PRAMONO</t>
  </si>
  <si>
    <t>MUSRIPAH</t>
  </si>
  <si>
    <t>https://drive.google.com/open?id=1I9npCVa3mjeNHt88jRaWRzpy9JFIAGGh</t>
  </si>
  <si>
    <t>EBTAQ25-01.241</t>
  </si>
  <si>
    <t>https://drive.google.com/file/d/1EQ73SivIsq9AHHANGogCswebZVKtEzt1/view?usp=drivesdk</t>
  </si>
  <si>
    <t>https://drive.google.com/open?id=1NgKNnGqceYqEVcd7CSOIOBE-QWPAzi5U</t>
  </si>
  <si>
    <t>AHMAD FAQIH ZAMZAMI</t>
  </si>
  <si>
    <t>AHMAD ABROR</t>
  </si>
  <si>
    <t>HAJAR</t>
  </si>
  <si>
    <t>https://drive.google.com/open?id=1-DdCbENZ896NU6TMcN-luCbTS4eVcul_</t>
  </si>
  <si>
    <t>EBTAQ25-01.242</t>
  </si>
  <si>
    <t>https://drive.google.com/file/d/1cuudD7Q8u-nWyivQJxG15A6Fq1iUMnrg/view?usp=drivesdk</t>
  </si>
  <si>
    <t>https://drive.google.com/open?id=1jRf8wC0B0RHbg_niDOnQYUg2DRoXdazy</t>
  </si>
  <si>
    <t>Ahmad Taufiq Rizky</t>
  </si>
  <si>
    <t>Jakarta</t>
  </si>
  <si>
    <t>Kustriyono</t>
  </si>
  <si>
    <t>Tuti Herawati</t>
  </si>
  <si>
    <t>https://drive.google.com/open?id=1ZDCJ1HKa6b-hpN78HJ6vEX4a7mf69e6L</t>
  </si>
  <si>
    <t>EBTAQ25-01.243</t>
  </si>
  <si>
    <t>https://drive.google.com/file/d/1Ct_0eeEUa854FYw7d5cfek8hDE-DKM51/view?usp=drivesdk</t>
  </si>
  <si>
    <t>AISYAH DZAKIYYATUL HUSNA</t>
  </si>
  <si>
    <t>SHOFIYUL ARIF</t>
  </si>
  <si>
    <t>NAILI INAYATI NOOR</t>
  </si>
  <si>
    <t>https://drive.google.com/open?id=1L1bJUsrftz_qee2-5uGwvup_ov332w13</t>
  </si>
  <si>
    <t>EBTAQ25-01.244</t>
  </si>
  <si>
    <t>https://drive.google.com/file/d/1gWHPQbJElUPbLp8Xp60AnQOHZYE7Ppah/view?usp=drivesdk</t>
  </si>
  <si>
    <t>https://drive.google.com/open?id=1HNbSVz0QdE0ypkrLN5tnA-VkjsrIcsyf</t>
  </si>
  <si>
    <t>AKIFA KHAIRA FAIHA</t>
  </si>
  <si>
    <t>BUDIANTO</t>
  </si>
  <si>
    <t>YULI ERNAWATI</t>
  </si>
  <si>
    <t>https://drive.google.com/open?id=1BO4s6AEONzKHFq05x2dlUTBJsVCuwyxf</t>
  </si>
  <si>
    <t>EBTAQ25-01.245</t>
  </si>
  <si>
    <t>https://drive.google.com/file/d/1vwutWX-JwrIwAvW8VEDbWdMOOu3A9VK1/view?usp=drivesdk</t>
  </si>
  <si>
    <t>Novia Rahayu mustovia</t>
  </si>
  <si>
    <t>Agus oktopramono</t>
  </si>
  <si>
    <t>https://drive.google.com/open?id=1Owhoin3K3DnyrBCOLiwuxWDHRivygNUz</t>
  </si>
  <si>
    <t>EBTAQ25-01.246</t>
  </si>
  <si>
    <t>https://drive.google.com/file/d/1Xy22Lfw_pdHxT75ZqFYwGEpiZK9BY2oz/view?usp=drivesdk</t>
  </si>
  <si>
    <t>AKIFA NAILA PUTRI</t>
  </si>
  <si>
    <t>Jepara</t>
  </si>
  <si>
    <t>MOCH SOBIRIN</t>
  </si>
  <si>
    <t>DEWI WULANSARI</t>
  </si>
  <si>
    <t>https://drive.google.com/open?id=1urXGbSOnqcAUDF_2NZO_8Hw8woBQmnIn</t>
  </si>
  <si>
    <t>EBTAQ25-01.247</t>
  </si>
  <si>
    <t>https://drive.google.com/file/d/1W32e0Scsxt27L6rb-qSf3qDy0yp7geqE/view?usp=drivesdk</t>
  </si>
  <si>
    <t>ALFAINA ROSYAIDA RAHMAN</t>
  </si>
  <si>
    <t>MUHAMAD NUROHMAN</t>
  </si>
  <si>
    <t>ALFAYA SAYYIDAH</t>
  </si>
  <si>
    <t>https://drive.google.com/open?id=1DyILU09kvA1eiqedbfSlVDCp5rm9loHP</t>
  </si>
  <si>
    <t>EBTAQ25-01.248</t>
  </si>
  <si>
    <t>https://drive.google.com/file/d/13XIdiA3ZkzdsphwtK4dMdS282WHtqlFG/view?usp=drivesdk</t>
  </si>
  <si>
    <t>nabila nailu zakiyyatul muna</t>
  </si>
  <si>
    <t>muhamad koeri</t>
  </si>
  <si>
    <t>romlah</t>
  </si>
  <si>
    <t>https://drive.google.com/open?id=1p4QAIbnw_Yiiw_C_EY6tkEcDv38cAuJt</t>
  </si>
  <si>
    <t>khoirunnisa salsabila</t>
  </si>
  <si>
    <t>miftahul huda</t>
  </si>
  <si>
    <t>ainul mafrokah</t>
  </si>
  <si>
    <t>https://drive.google.com/open?id=1-zYzU9JyF_-gWgANjzrNY9HqlGtQNaQo</t>
  </si>
  <si>
    <t>rara tri apriliana</t>
  </si>
  <si>
    <t>rakimin</t>
  </si>
  <si>
    <t>https://drive.google.com/open?id=1IugcpSZcfXRQ6-B_CZ-qhWN2AQIL-xft</t>
  </si>
  <si>
    <t>https://drive.google.com/open?id=1dp725lqG2HD5XNfFAGLdJRf4M6zDAb1L</t>
  </si>
  <si>
    <t>https://drive.google.com/open?id=1c4Dw9hIpXdxOmn9wGM0Pck7lkwmKjxLA</t>
  </si>
  <si>
    <t>Farida layalil mahya</t>
  </si>
  <si>
    <t>TIMIN</t>
  </si>
  <si>
    <t>SUDARSIH</t>
  </si>
  <si>
    <t>https://drive.google.com/open?id=1_W-bSUPpxs6ZFjvlblFGTxIJeDVmQ1bB</t>
  </si>
  <si>
    <t>faridalayalil@gmail.com</t>
  </si>
  <si>
    <t>danisha naira najmi</t>
  </si>
  <si>
    <t>moh agus salim</t>
  </si>
  <si>
    <t>nurul khoiriyah</t>
  </si>
  <si>
    <t>https://drive.google.com/open?id=17umxgk7rPMRCjTRzb8LYF2113V4z9yzc</t>
  </si>
  <si>
    <t>talitha mutia azzahra</t>
  </si>
  <si>
    <t>akhid iriadi</t>
  </si>
  <si>
    <t>ika silvia martania</t>
  </si>
  <si>
    <t>https://drive.google.com/open?id=1xri-0nuBb7_9gUd5lXmNrpSUJJU3zzcg</t>
  </si>
  <si>
    <t>AZZURA GIRI SAPUTRA</t>
  </si>
  <si>
    <t>BAMBANG SUDARMAJI</t>
  </si>
  <si>
    <t>DARMIYATI</t>
  </si>
  <si>
    <t>https://drive.google.com/open?id=1_iPepfyD7ZPwRWcC1gG03p6rkafooVlw</t>
  </si>
  <si>
    <t>azzuragiris25@gmail.com</t>
  </si>
  <si>
    <t>Putri wulandari</t>
  </si>
  <si>
    <t>ABDUL QODIR</t>
  </si>
  <si>
    <t>https://drive.google.com/open?id=1zskTzHs47dnrHFEEzXU9Z7Irot3Ajczm</t>
  </si>
  <si>
    <t>pw289448@gmail.com</t>
  </si>
  <si>
    <t>Nadhif Ali Sya'ban</t>
  </si>
  <si>
    <t>Fuadi Anwar</t>
  </si>
  <si>
    <t>Mustofiyah</t>
  </si>
  <si>
    <t>https://drive.google.com/open?id=1Ko5uA2XbtMfaW70zPyxTaKJCtgMATF-P</t>
  </si>
  <si>
    <t>stillwithyoujk018@gmail.com</t>
  </si>
  <si>
    <t>Rahma Ardi ramadhani</t>
  </si>
  <si>
    <t>Suhardi</t>
  </si>
  <si>
    <t>Rofiah</t>
  </si>
  <si>
    <t>https://drive.google.com/open?id=1HG9CMVqTuHQFWxZIcUjBeWuBLMw1deQB</t>
  </si>
  <si>
    <t>EBTAQ25-03.046</t>
  </si>
  <si>
    <t>https://drive.google.com/file/d/1U7AIDoL7H6pSACJMZrUPOaiLyHAkIctC/view?usp=drivesdk</t>
  </si>
  <si>
    <t>Sabrina Assyva</t>
  </si>
  <si>
    <t>Akhmat Amin</t>
  </si>
  <si>
    <t>Ami Anisah</t>
  </si>
  <si>
    <t>https://drive.google.com/open?id=1cThHgmLdUdrT6OUXXloM8n7WicPhq8om</t>
  </si>
  <si>
    <t>decalcomania018@gmail.com</t>
  </si>
  <si>
    <t>Muhammad Al Aqilul Muttaqi</t>
  </si>
  <si>
    <t>Siswantoro</t>
  </si>
  <si>
    <t>Izatur Rohmah</t>
  </si>
  <si>
    <t>https://drive.google.com/open?id=1gw7KsSsUdWtryaIcqlg2R-PuYHK_G9Mk</t>
  </si>
  <si>
    <t>somebodyhateyou7@gmail.com</t>
  </si>
  <si>
    <t>Muhammad Ata Bahrul Labib</t>
  </si>
  <si>
    <t>Ali Fachrudin</t>
  </si>
  <si>
    <t>Siti Khotijah</t>
  </si>
  <si>
    <t>https://drive.google.com/open?id=1jwli2HKtzrip8zRQSIquq0dNbrSxqyMO</t>
  </si>
  <si>
    <t>tiaraulyasalsabila80@gmail.com</t>
  </si>
  <si>
    <t>EBTAQ25-03.047</t>
  </si>
  <si>
    <t>https://drive.google.com/file/d/10N9HSptURbE8NgN9WkbLtPgWznObA4wz/view?usp=drivesdk</t>
  </si>
  <si>
    <t>RINDIN ULIN NUHA</t>
  </si>
  <si>
    <t>MUSTAINAH</t>
  </si>
  <si>
    <t>https://drive.google.com/open?id=1Hb2OwP-RnB7aRdFN4PsoNrSjsVGYluRI</t>
  </si>
  <si>
    <t>EBTAQ25-03.048</t>
  </si>
  <si>
    <t>https://drive.google.com/file/d/1-LQTyJcFwOizI6jyLght79IJg5a0wWmj/view?usp=drivesdk</t>
  </si>
  <si>
    <t>Ida Ariful Jannah</t>
  </si>
  <si>
    <t>Ali Fatkan</t>
  </si>
  <si>
    <t>Nasroh</t>
  </si>
  <si>
    <t>https://drive.google.com/open?id=1gpIO81XFXelIA31Y9dwAX3Qfyzr7lSGs</t>
  </si>
  <si>
    <t>alifatkan10@gmail.com</t>
  </si>
  <si>
    <t>EBTAQ25-03.049</t>
  </si>
  <si>
    <t>https://drive.google.com/file/d/1MqEIHa6xN_4kdYW5Amc9dlH5NJahBWFa/view?usp=drivesdk</t>
  </si>
  <si>
    <t>Demak - TPQ ALHUSNA (MI)</t>
  </si>
  <si>
    <t>MARCHELIO PUTRA ARFANO</t>
  </si>
  <si>
    <t>BILAL ADTYA KRISNA PUTRA</t>
  </si>
  <si>
    <t>IMELIA FATMA SATYA</t>
  </si>
  <si>
    <t>https://drive.google.com/open?id=1nBuIzjY6i0mpTQ9uN-CcO6Yn7XRXVbQL</t>
  </si>
  <si>
    <t>imeliaarfano@gmail.com</t>
  </si>
  <si>
    <t>EBTAQ25-01.249</t>
  </si>
  <si>
    <t>https://drive.google.com/file/d/1fvYCJwzVLj-wMSwSzhF0u1imkoD7EuDa/view?usp=drivesdk</t>
  </si>
  <si>
    <t>Nabillah Damara Najmy Kallani</t>
  </si>
  <si>
    <t>Achmadi</t>
  </si>
  <si>
    <t>Dwi Puji Asmorodewi</t>
  </si>
  <si>
    <t>https://drive.google.com/open?id=1yefzqLQFpzpNv6RhFf9fm5kZStIAO1S4</t>
  </si>
  <si>
    <t>dwipujiasmorodewi221191@gmail.com</t>
  </si>
  <si>
    <t>EBTAQ25-01.250</t>
  </si>
  <si>
    <t>https://drive.google.com/file/d/1t2wo9aruVhczrzmtW0QLVHAAFStfPhMS/view?usp=drivesdk</t>
  </si>
  <si>
    <t>Galeh Akmalul Albab</t>
  </si>
  <si>
    <t>https://drive.google.com/open?id=1sdVoBqMnL7bN-8VFdYKP26hZE78NbrU9</t>
  </si>
  <si>
    <t>EBTAQ25-03.050</t>
  </si>
  <si>
    <t>https://drive.google.com/file/d/1NG_JBhoBkDRQaLO0s0DrRvK1Mrrzpa6c/view?usp=drivesdk</t>
  </si>
  <si>
    <t>AQILA ZAKIYATUL KHUSNAH</t>
  </si>
  <si>
    <t>SAIFUL MUAJAB</t>
  </si>
  <si>
    <t>ISTIANAH</t>
  </si>
  <si>
    <t>https://drive.google.com/open?id=1Me8dVHsDyPxsdG-wXNb46kVnrH8-06uY</t>
  </si>
  <si>
    <t>istianahnur382@gmail.com</t>
  </si>
  <si>
    <t>EBTAQ25-03.051</t>
  </si>
  <si>
    <t>https://drive.google.com/file/d/1PYaF00dohZ9ACj23uuxZlnYAKbLoV4Bw/view?usp=drivesdk</t>
  </si>
  <si>
    <t>Muhammad Farid Hidayatulloh</t>
  </si>
  <si>
    <t>Sri Tarmuji</t>
  </si>
  <si>
    <t>Sofiyah</t>
  </si>
  <si>
    <t>https://drive.google.com/open?id=1EAW0Ewb3xCjsiMDhPRh4ocoIj9u9qIJj</t>
  </si>
  <si>
    <t>faridhidayatullah459@gmail.com</t>
  </si>
  <si>
    <t>EBTAQ25-03.052</t>
  </si>
  <si>
    <t>https://drive.google.com/file/d/1QFqX6O1t62dsGKVlH8X-8Umz7fX-k7he/view?usp=drivesdk</t>
  </si>
  <si>
    <t>Ahmad Naufal Nabih</t>
  </si>
  <si>
    <t>Akhmad Solikin</t>
  </si>
  <si>
    <t>Siti Lestari</t>
  </si>
  <si>
    <t>https://drive.google.com/open?id=1YpCQGMANhSLSjMsw1A0cVwOqeDu9wnsf</t>
  </si>
  <si>
    <t>sitilestari241086@gmail.com</t>
  </si>
  <si>
    <t>EBTAQ25-01.251</t>
  </si>
  <si>
    <t>https://drive.google.com/file/d/1MTrrSPbvNcTlb4QvVgff6pI5TUFVL_O4/view?usp=drivesdk</t>
  </si>
  <si>
    <t>Rakha Alhafeezy Putra Setiawan</t>
  </si>
  <si>
    <t>Andika Yoan Setiawan</t>
  </si>
  <si>
    <t>Endang Setyowati</t>
  </si>
  <si>
    <t>https://drive.google.com/open?id=1iGR_E4Z2vsNTTwrRZsBbdEgDmyD4JhcB</t>
  </si>
  <si>
    <t>endangfarrel212@gmail.com</t>
  </si>
  <si>
    <t>EBTAQ25-01.252</t>
  </si>
  <si>
    <t>https://drive.google.com/file/d/1Rql8Lz6Ia3H8q4_Tp0itA4WllkQTyny_/view?usp=drivesdk</t>
  </si>
  <si>
    <t>Muhammad Idham Kholid</t>
  </si>
  <si>
    <t>Nur Taufiq</t>
  </si>
  <si>
    <t>Purwati</t>
  </si>
  <si>
    <t>https://drive.google.com/open?id=1ao7d19ro3ydUH3jdlCmgkPKtFLnsKzLu</t>
  </si>
  <si>
    <t>nurt3935@gmail.com</t>
  </si>
  <si>
    <t>EBTAQ25-03.053</t>
  </si>
  <si>
    <t>https://drive.google.com/file/d/1647wQGDca6NEML6rlhZts6xWFI4LbKTf/view?usp=drivesdk</t>
  </si>
  <si>
    <t>Azfi Adibatuz zahra</t>
  </si>
  <si>
    <t>Abdul Aziz</t>
  </si>
  <si>
    <t>Nur Alfiatur Rohmaniah</t>
  </si>
  <si>
    <t>https://drive.google.com/open?id=1U-CnJNuXX1S2rHlXQR2l6nXYP1yLGf6z</t>
  </si>
  <si>
    <t>alfiadisa77@gmail.com</t>
  </si>
  <si>
    <t>EBTAQ25-03.054</t>
  </si>
  <si>
    <t>https://drive.google.com/file/d/1aQSJCdp_T5YsEa3fsVFkzGKfQWOcjoIw/view?usp=drivesdk</t>
  </si>
  <si>
    <t>BATRISYA BASHASHA</t>
  </si>
  <si>
    <t>SUHARJO</t>
  </si>
  <si>
    <t>EVA YUNI RAHMAWATI</t>
  </si>
  <si>
    <t>https://drive.google.com/open?id=1HOKGkLmGgmCqw5f1mPhQQH98KZJbikrg</t>
  </si>
  <si>
    <t>suharjoharjo079@gmail.com</t>
  </si>
  <si>
    <t>EBTAQ25-01.253</t>
  </si>
  <si>
    <t>https://drive.google.com/file/d/1-wAfm0Gd8Wg47NhB1HdDqxj226rwNx7o/view?usp=drivesdk</t>
  </si>
  <si>
    <t>Maudya Zianka Arzaq</t>
  </si>
  <si>
    <t>Muhammad Ali Maskun</t>
  </si>
  <si>
    <t>Uditya Yayang Wulandari</t>
  </si>
  <si>
    <t>https://drive.google.com/open?id=1zSmJe3HzMDNLdQTVLtW72K7A2qNqW78n</t>
  </si>
  <si>
    <t>uditya.yayang.w28@gmail.com</t>
  </si>
  <si>
    <t>EBTAQ25-01.254</t>
  </si>
  <si>
    <t>https://drive.google.com/file/d/1Id7shPD4oY2v_qEsybZYZujTjh3Uem9A/view?usp=drivesdk</t>
  </si>
  <si>
    <t>Afra Hanan Fatin Nurullah</t>
  </si>
  <si>
    <t>Pemalang</t>
  </si>
  <si>
    <t>Mohamad Nurulloh</t>
  </si>
  <si>
    <t>Khomsatul Hidayati</t>
  </si>
  <si>
    <t>https://drive.google.com/open?id=1Z_7Ml9vUkfMkAtcyrmWpLOerH5FOjLx3</t>
  </si>
  <si>
    <t>afrademak78@gmail.com</t>
  </si>
  <si>
    <t>EBTAQ25-01.255</t>
  </si>
  <si>
    <t>https://drive.google.com/file/d/1gpyr4lRptJSTQmlwgHPi8ylxwcA3NpEC/view?usp=drivesdk</t>
  </si>
  <si>
    <t>Farikha Hubbina Ilya</t>
  </si>
  <si>
    <t>Sobirin</t>
  </si>
  <si>
    <t>Siti Ainun</t>
  </si>
  <si>
    <t>https://drive.google.com/open?id=1G7LLiMpgialJ4vzWFcAIUnxUcDR3JcAy</t>
  </si>
  <si>
    <t>bosotong66@gmail.com</t>
  </si>
  <si>
    <t>EBTAQ25-03.055</t>
  </si>
  <si>
    <t>https://drive.google.com/file/d/1At9EcQbg9jU54n54r5qAlWbIsdL27Pih/view?usp=drivesdk</t>
  </si>
  <si>
    <t>Nadine Aulia Firdaus</t>
  </si>
  <si>
    <t>Ali Firdaus</t>
  </si>
  <si>
    <t>Mujiyatun</t>
  </si>
  <si>
    <t>https://drive.google.com/open?id=1FMCv-OTNjtD4cu_4XJfLIvrcqilIeQyx</t>
  </si>
  <si>
    <t>mujiyatun515@gmail.com</t>
  </si>
  <si>
    <t>EBTAQ25-01.256</t>
  </si>
  <si>
    <t>https://drive.google.com/file/d/17RSmpMNew1z7UgXChDilVcSlxSjwn0kC/view?usp=drivesdk</t>
  </si>
  <si>
    <t>Muhammad Fairuz Dzulfadhly</t>
  </si>
  <si>
    <t>Imamul Muttaqin</t>
  </si>
  <si>
    <t>Nasikhah</t>
  </si>
  <si>
    <t>https://drive.google.com/open?id=1VnTLp2RssADWEGe-TRFaZFimwy_pyA55</t>
  </si>
  <si>
    <t>cicinasihah@gmail.com</t>
  </si>
  <si>
    <t>EBTAQ25-01.257</t>
  </si>
  <si>
    <t>https://drive.google.com/file/d/1YUKZBG5u4jHjLV_I3Gd-qUd1-JrGXTKL/view?usp=drivesdk</t>
  </si>
  <si>
    <t>AMAR AKBAR NUR AHMAD</t>
  </si>
  <si>
    <t>NUR KHAMID</t>
  </si>
  <si>
    <t>Risna Yuli Astuti</t>
  </si>
  <si>
    <t>https://drive.google.com/open?id=19bPE9ePboSHsz_byAoz0CN4WeHJHzHWe</t>
  </si>
  <si>
    <t>risnayuli1506@gmail.com</t>
  </si>
  <si>
    <t>EBTAQ25-01.258</t>
  </si>
  <si>
    <t>https://drive.google.com/file/d/1YNXnwzv-lbrovlU5CdbLgWcbJXtB8TtD/view?usp=drivesdk</t>
  </si>
  <si>
    <t>Muhammad Abyakta Annur</t>
  </si>
  <si>
    <t>Andi Mas Andi</t>
  </si>
  <si>
    <t>Nur Hamidah</t>
  </si>
  <si>
    <t>https://drive.google.com/open?id=1e9cixQcwKZsB2Xyl1fAwFmLlkkuBh9A1</t>
  </si>
  <si>
    <t>nurhamidahh4@gmail.com</t>
  </si>
  <si>
    <t>EBTAQ25-01.259</t>
  </si>
  <si>
    <t>https://drive.google.com/file/d/1nHkLhvl7oSQRM1yT0-doOsY_L-Z9DupR/view?usp=drivesdk</t>
  </si>
  <si>
    <t>Bilqis Najwa Khaira Anandari</t>
  </si>
  <si>
    <t>Alm. Makmun Hidayat</t>
  </si>
  <si>
    <t>Devi Riandari</t>
  </si>
  <si>
    <t>https://drive.google.com/open?id=1-phvnA5_MRRGhwPjZ73q6a5fcZoIDBEZ</t>
  </si>
  <si>
    <t>deviriandari17@gmail.com</t>
  </si>
  <si>
    <t>EBTAQ25-01.260</t>
  </si>
  <si>
    <t>https://drive.google.com/file/d/1oQ5RmXLrko0XgwzBO5xhtv1APECGmQRI/view?usp=drivesdk</t>
  </si>
  <si>
    <t>Muhammad Syakir Rizqullah</t>
  </si>
  <si>
    <t>Sidoarjo</t>
  </si>
  <si>
    <t>https://drive.google.com/open?id=1nXHMHWvyt9YmIDP8GFGOndQ_eu4F6tkT</t>
  </si>
  <si>
    <t>EBTAQ25-01.261</t>
  </si>
  <si>
    <t>https://drive.google.com/file/d/1Qg1LeHp37i40EH-vy-Pvk0bEZw_r63xE/view?usp=drivesdk</t>
  </si>
  <si>
    <t>HAYKAL ABID HIDAYATULLAH</t>
  </si>
  <si>
    <t>ANDIK SETIYA</t>
  </si>
  <si>
    <t>MARIA ULFA</t>
  </si>
  <si>
    <t>https://drive.google.com/open?id=1YYDFIi29fo8jY-j96grI__XEXtD14fIl</t>
  </si>
  <si>
    <t>ulfam3683@gmail.com</t>
  </si>
  <si>
    <t>EBTAQ25-01.262</t>
  </si>
  <si>
    <t>https://drive.google.com/file/d/1jvMRsJs9Z3g9P1xZHyMn3YSurGSqroJ8/view?usp=drivesdk</t>
  </si>
  <si>
    <t>Zakaria Ahmad</t>
  </si>
  <si>
    <t>Musafak</t>
  </si>
  <si>
    <t>Siti Rukayah</t>
  </si>
  <si>
    <t>https://drive.google.com/open?id=1Xbfva34DV7VCm3InAeaqesfot_WhAVS4</t>
  </si>
  <si>
    <t>rikha2220@gmail.com</t>
  </si>
  <si>
    <t>EBTAQ25-03.056</t>
  </si>
  <si>
    <t>https://drive.google.com/file/d/1bv5xsUkhpvuplo9p5E3aTFSWH69EgPIW/view?usp=drivesdk</t>
  </si>
  <si>
    <t>https://drive.google.com/open?id=1UT88Nr9gAjurJoltSo9keEuHIaBBX0h4</t>
  </si>
  <si>
    <t>EBTAQ25-01.263</t>
  </si>
  <si>
    <t>https://drive.google.com/file/d/15JkxHeXbztKIq-BCbqNcLhFmNthJkpdd/view?usp=drivesdk</t>
  </si>
  <si>
    <t>BUDI PRASETYO</t>
  </si>
  <si>
    <t>FIFI HANDAYANTI</t>
  </si>
  <si>
    <t>https://drive.google.com/open?id=1HEJjEvUb5co52PwsVGxVETT4gaPn9W9Q</t>
  </si>
  <si>
    <t>naufalvidi60@gmail.com</t>
  </si>
  <si>
    <t>Kosidah</t>
  </si>
  <si>
    <t>Kasmiran</t>
  </si>
  <si>
    <t>Muniah</t>
  </si>
  <si>
    <t>https://drive.google.com/open?id=12UeDth3DStHJ72tvNn0HIviqxSD5qtXQ</t>
  </si>
  <si>
    <t>fatkhulmajied277@gmail.com</t>
  </si>
  <si>
    <t>EBTAQ25-03.057</t>
  </si>
  <si>
    <t>https://drive.google.com/file/d/1TxIx5NFyqScidj3aPDqKubVhsKMaeREP/view?usp=drivesdk</t>
  </si>
  <si>
    <t>Aqila Farisa Mufia</t>
  </si>
  <si>
    <t>Kotabumi</t>
  </si>
  <si>
    <t>Abdul Rokhim</t>
  </si>
  <si>
    <t>Fauziyah</t>
  </si>
  <si>
    <t>https://drive.google.com/open?id=1oD5RMKBf-q8gzacX9aouecnOWQ9zenSX</t>
  </si>
  <si>
    <t>farisacober86@gmail.com</t>
  </si>
  <si>
    <t>EBTAQ25-03.058</t>
  </si>
  <si>
    <t>https://drive.google.com/file/d/1ypgHzgwn1bOQJP2Qp8NTxSrA9OG6YAOt/view?usp=drivesdk</t>
  </si>
  <si>
    <t>Putri Yumna Faricha</t>
  </si>
  <si>
    <t>Chusnil Mubarok</t>
  </si>
  <si>
    <t>https://drive.google.com/open?id=1mw3KWhB1O7rqyRfmPs2K06b33KhqrgMd</t>
  </si>
  <si>
    <t>saga.galon@gmail.com</t>
  </si>
  <si>
    <t>https://drive.google.com/open?id=1NDy33BI9u5y-ep9kE117w5CE_xNLdRwz</t>
  </si>
  <si>
    <t>anwarvitalia25@gmail.com</t>
  </si>
  <si>
    <t>EBTAQ25-03.059</t>
  </si>
  <si>
    <t>https://drive.google.com/file/d/1BW5YH-53dGjZeUSkUec5FOuvfvVTWbWT/view?usp=drivesdk</t>
  </si>
  <si>
    <t>Shakila Adzkiya Sakhi Hayza</t>
  </si>
  <si>
    <t>M. Satria Indra Purnama Sakti</t>
  </si>
  <si>
    <t>Nur Chamidah</t>
  </si>
  <si>
    <t>https://drive.google.com/open?id=1C4S2RNHsMXPKdYbhVQIjmJw_8Dhoit7i</t>
  </si>
  <si>
    <t>nurchamidah289@gmail.com</t>
  </si>
  <si>
    <t>EBTAQ25-01.264</t>
  </si>
  <si>
    <t>https://drive.google.com/file/d/1XTWFNmmM96rsFIiQBAVX_Y1tOlOmh-ep/view?usp=drivesdk</t>
  </si>
  <si>
    <t>ADZKA MAULANA YUSUF</t>
  </si>
  <si>
    <t>ASEP KURNIAWAN</t>
  </si>
  <si>
    <t>ELISNA SEPTIANI</t>
  </si>
  <si>
    <t>https://drive.google.com/open?id=1weVm7GBm0NAZzJ0_OTzx_H9OAo3Cq-FX</t>
  </si>
  <si>
    <t>kurniawanasep123499@gmail.com</t>
  </si>
  <si>
    <t>EBTAQ25-01.265</t>
  </si>
  <si>
    <t>https://drive.google.com/file/d/1_6Ad1oFUwT8tZ9vp29k-RjmYu38dBjeB/view?usp=drivesdk</t>
  </si>
  <si>
    <t>INDIRA DWIKANIYA</t>
  </si>
  <si>
    <t>SUPRIYATNO</t>
  </si>
  <si>
    <t>WULAN INDRAYANI</t>
  </si>
  <si>
    <t>https://drive.google.com/open?id=1rQRHN3sbdFM66X4KHudoOxzm69DvRer_</t>
  </si>
  <si>
    <t>supriyatno983@gmail.com</t>
  </si>
  <si>
    <t>EBTAQ25-01.266</t>
  </si>
  <si>
    <t>https://drive.google.com/file/d/12TsS8-bZxuHCH8rxLDcZHSSgTzoDvYdr/view?usp=drivesdk</t>
  </si>
  <si>
    <t>https://drive.google.com/open?id=1KP2wU7MRkC1YUu1k-Me1P4fHsuk99U0R</t>
  </si>
  <si>
    <t>EBTAQ25-01.267</t>
  </si>
  <si>
    <t>https://drive.google.com/file/d/10IRNt2NtvbJyUDAj40DqyoLnG5XT2Bc3/view?usp=drivesdk</t>
  </si>
  <si>
    <t>RIFKI RIDHO</t>
  </si>
  <si>
    <t>MUHIBBIN</t>
  </si>
  <si>
    <t>SUMIYATI</t>
  </si>
  <si>
    <t>https://drive.google.com/open?id=1VrlskstDc4qBThiFEYUpZRoXn_aw3a6h</t>
  </si>
  <si>
    <t>muhibbinsumiyati@gmail.com</t>
  </si>
  <si>
    <t>EBTAQ25-01.268</t>
  </si>
  <si>
    <t>https://drive.google.com/file/d/1rtlfWWn2xs0Tx-oUFXhdpn-c5dkACWqa/view?usp=drivesdk</t>
  </si>
  <si>
    <t>Ahmad Sultan Syamsuddin</t>
  </si>
  <si>
    <t>Rio Abdul Sodik</t>
  </si>
  <si>
    <t>Masluroh</t>
  </si>
  <si>
    <t>https://drive.google.com/open?id=19OZbmGH-7xLvyIcVnsIxM1Ci-RmxVHxD</t>
  </si>
  <si>
    <t>sltnfkh5@gmail.com</t>
  </si>
  <si>
    <t>EBTAQ25-03.060</t>
  </si>
  <si>
    <t>https://drive.google.com/file/d/1l1zxoqtwVIHZfWW-6GM-mA25_WsWyEkU/view?usp=drivesdk</t>
  </si>
  <si>
    <t>Muhammad Yasiin</t>
  </si>
  <si>
    <t>Suhartono</t>
  </si>
  <si>
    <t>Tutik Subiyanti</t>
  </si>
  <si>
    <t>https://drive.google.com/open?id=1GAroFSRp1Ii272XDhixMhAwsta8qjBNM</t>
  </si>
  <si>
    <t>septiadini520@gmail.com</t>
  </si>
  <si>
    <t>EBTAQ25-01.269</t>
  </si>
  <si>
    <t>https://drive.google.com/file/d/1hiw6WxDPMtUiGVUvBi4T3MDwghQkpmeq/view?usp=drivesdk</t>
  </si>
  <si>
    <t>Karangga - Darul Arqom V</t>
  </si>
  <si>
    <t>LISANA SHIDQIN 'ALIYYA</t>
  </si>
  <si>
    <t>SLAMET WALUYO</t>
  </si>
  <si>
    <t>JAMILATUN NAFIAH</t>
  </si>
  <si>
    <t>https://drive.google.com/open?id=1eKQb--k7XUYz34bRM6aSan9SC7CiJnhu</t>
  </si>
  <si>
    <t>robiatul21298@gmail.com</t>
  </si>
  <si>
    <t>EBTAQ25-01.270</t>
  </si>
  <si>
    <t>https://drive.google.com/file/d/1s1ylbSN1ytg7BJEx7bMJ0Y_VJIvqFq3K/view?usp=drivesdk</t>
  </si>
  <si>
    <t>Sarjito</t>
  </si>
  <si>
    <t>Irna Muida</t>
  </si>
  <si>
    <t>https://drive.google.com/open?id=1eHRt3FrlY1NeyXG2dhZgiq0IxWqyOb-C</t>
  </si>
  <si>
    <t>sarjitto906@gmail.com</t>
  </si>
  <si>
    <t>EBTAQ25-01.271</t>
  </si>
  <si>
    <t>https://drive.google.com/file/d/1bqcc5Knn1OuY6J0bCg1_KxzRsl0o3d57/view?usp=drivesdk</t>
  </si>
  <si>
    <t>DWI RETNO ARUM</t>
  </si>
  <si>
    <t>MURTADHO</t>
  </si>
  <si>
    <t>MUKAYAROH</t>
  </si>
  <si>
    <t>https://drive.google.com/open?id=17n5HLf7lHtXEvhLZv458DjnRMSJCWPrB</t>
  </si>
  <si>
    <t>murtadhojaya41@gmail.com</t>
  </si>
  <si>
    <t>EBTAQ25-03.061</t>
  </si>
  <si>
    <t>https://drive.google.com/file/d/1KFP3bc9t-_dbVHAb5ujfjihEVKbC0CAC/view?usp=drivesdk</t>
  </si>
  <si>
    <t>Muhammad Iqbal Wildan</t>
  </si>
  <si>
    <t>Nur Khamid</t>
  </si>
  <si>
    <t>Jaryati</t>
  </si>
  <si>
    <t>https://drive.google.com/open?id=11O8wcCKGSTyFvpXMons1LrFNZagpGUW3</t>
  </si>
  <si>
    <t>iw645249@gmail.com</t>
  </si>
  <si>
    <t>EBTAQ25-03.062</t>
  </si>
  <si>
    <t>https://drive.google.com/file/d/1U6aexQfd3y4_dao8fMaHPOi55uTv-42M/view?usp=drivesdk</t>
  </si>
  <si>
    <t>SUHARTONO</t>
  </si>
  <si>
    <t>TUTIK SUBIYANTI</t>
  </si>
  <si>
    <t>https://drive.google.com/open?id=1-azh_PMnNpC7nwzFdhRYNIX-ShE0M-FG</t>
  </si>
  <si>
    <t>EBTAQ25-01.272</t>
  </si>
  <si>
    <t>https://drive.google.com/file/d/1ySjsZxT5t7zr7p7f7kgkBCdwipvRm1-C/view?usp=drivesdk</t>
  </si>
  <si>
    <t>Pati,29 Desember 2014</t>
  </si>
  <si>
    <t>https://drive.google.com/open?id=16bcTdUkpko9UY8pQ_jPrs19LULHlZ76J</t>
  </si>
  <si>
    <t>EBTAQ25-01.273</t>
  </si>
  <si>
    <t>https://drive.google.com/file/d/1XKQ7UvLLYQhRteI2w320ytT0kA_otPa_/view?usp=drivesdk</t>
  </si>
  <si>
    <t>https://drive.google.com/open?id=1k6CPck_egtgsFgyIKgKMHj0BsQbLRMNu</t>
  </si>
  <si>
    <t>elisnayusufmaulana@gmail.com</t>
  </si>
  <si>
    <t>EBTAQ25-01.274</t>
  </si>
  <si>
    <t>https://drive.google.com/file/d/1YQPERGCutZUqxiOJdtK3wk_Ju3yKqJmf/view?usp=drivesdk</t>
  </si>
  <si>
    <t>Rahayu Nia Ramadhani</t>
  </si>
  <si>
    <t>Zaenudin</t>
  </si>
  <si>
    <t>Yumroah</t>
  </si>
  <si>
    <t>https://drive.google.com/open?id=1yYTRdIV125RZJY4BplagxgL82RBMdfzW</t>
  </si>
  <si>
    <t>rn2624920@gmail.com</t>
  </si>
  <si>
    <t>EBTAQ25-03.063</t>
  </si>
  <si>
    <t>https://drive.google.com/file/d/1bOhweKqssQD0OHJB9M2czRxjU48wmoU3/view?usp=drivesdk</t>
  </si>
  <si>
    <t>https://drive.google.com/open?id=1pHYUsyyg3T8q2sOl-NkVp7ux3ZIAssQp</t>
  </si>
  <si>
    <t>EBTAQ25-01.275</t>
  </si>
  <si>
    <t>https://drive.google.com/file/d/1-nDf4qjiA1sg6JA95gLO66yg3JbWGEKm/view?usp=drivesdk</t>
  </si>
  <si>
    <t>MIKHAYLA KHANZA MURRASID</t>
  </si>
  <si>
    <t>BALIKPAPAN</t>
  </si>
  <si>
    <t>HALIM MURRASID</t>
  </si>
  <si>
    <t>https://drive.google.com/open?id=1qORfn9hv47dL44H77i3kFw4uX5gvm1W0</t>
  </si>
  <si>
    <t>mikhayla2288@gmail.com</t>
  </si>
  <si>
    <t>EBTAQ25-03.064</t>
  </si>
  <si>
    <t>https://drive.google.com/file/d/1-9sdDMY34Tg1qhqFRzSka0ayWmf0f4Vw/view?usp=drivesdk</t>
  </si>
  <si>
    <t>NAZZAHRA FLORENZIA HAQQI</t>
  </si>
  <si>
    <t>BARKAH ULHAQ ARI WIDODO</t>
  </si>
  <si>
    <t>CITRAYOGI CAHYO SUNDARI</t>
  </si>
  <si>
    <t>https://drive.google.com/open?id=18vn_P_zdAUY6xw7TO7HDwD-3BonY26NF</t>
  </si>
  <si>
    <t>citrayogi51@gmail.com</t>
  </si>
  <si>
    <t>EBTAQ25-01.276</t>
  </si>
  <si>
    <t>https://drive.google.com/file/d/14oQmslqziXfYpmRSZqzcFaubZyPCX9Jj/view?usp=drivesdk</t>
  </si>
  <si>
    <t>Muhammad Nazzala Furqon Aly</t>
  </si>
  <si>
    <t>Ali Chamdan</t>
  </si>
  <si>
    <t>Fatimah</t>
  </si>
  <si>
    <t>https://drive.google.com/open?id=1R0xsZ3JB5WgoYfr2w3W-xVpxfuR93nW8</t>
  </si>
  <si>
    <t>fatimahaly79@gmail.com</t>
  </si>
  <si>
    <t>EBTAQ25-01.277</t>
  </si>
  <si>
    <t>https://drive.google.com/file/d/1nOKb34Iz4DiUQHhNLfti0Gs8KIp9mNEX/view?usp=drivesdk</t>
  </si>
  <si>
    <t>JENY KARTIN APRILIA</t>
  </si>
  <si>
    <t>Bejo</t>
  </si>
  <si>
    <t>Siti Atminah</t>
  </si>
  <si>
    <t>https://drive.google.com/open?id=1lBR22H6Kh9foh2TwlomEsKXkxHnNVU09</t>
  </si>
  <si>
    <t>jayawowo6@gmail.com</t>
  </si>
  <si>
    <t>EBTAQ25-01.278</t>
  </si>
  <si>
    <t>https://drive.google.com/file/d/1wxDXPwXZMSIj-AdZZJGQz6_Dy66eeSpp/view?usp=drivesdk</t>
  </si>
  <si>
    <t>Demak, 22-Oktober-2015</t>
  </si>
  <si>
    <t>https://drive.google.com/open?id=1WA6TavhVWEYgnmj9N0J01Or5UW5QfLll</t>
  </si>
  <si>
    <t>EBTAQ25-01.279</t>
  </si>
  <si>
    <t>https://drive.google.com/file/d/1fJsyLE7_gUGfnUWmTmnqvCKlyeZ1gwD-/view?usp=drivesdk</t>
  </si>
  <si>
    <t>Anggie renata lokeswari</t>
  </si>
  <si>
    <t>Qomari</t>
  </si>
  <si>
    <t>Hening pratiwi</t>
  </si>
  <si>
    <t>https://drive.google.com/open?id=1TrHJJjzNXDEds7kZNeuJvHbmIeqxzs1J</t>
  </si>
  <si>
    <t>heningnayra@gmail.com</t>
  </si>
  <si>
    <t>EBTAQ25-01.280</t>
  </si>
  <si>
    <t>https://drive.google.com/file/d/1S-b8hegOSSfjLIdKNCyXyXpHTAY3fKm8/view?usp=drivesdk</t>
  </si>
  <si>
    <t>Muhammad Sigit Mubarok</t>
  </si>
  <si>
    <t>Kapuas Hulu</t>
  </si>
  <si>
    <t>Mursidah</t>
  </si>
  <si>
    <t>https://drive.google.com/open?id=1pvXPtOnEAwCBwi01-KFmIaxOsIQfROM8</t>
  </si>
  <si>
    <t>sigitmbr397@gmail.com</t>
  </si>
  <si>
    <t>EBTAQ25-03.065</t>
  </si>
  <si>
    <t>https://drive.google.com/file/d/1Id_GSYWaVLKuW7iv4Oi0_96S9hezjEN1/view?usp=drivesdk</t>
  </si>
  <si>
    <t>https://drive.google.com/open?id=12yHrHAz5OSXb2f38MZIUG3hR-7iY8eQQ</t>
  </si>
  <si>
    <t>EBTAQ25-01.281</t>
  </si>
  <si>
    <t>https://drive.google.com/file/d/1c2kj7u07NsxmQR6WHC_GhkdhR6xx2l8-/view?usp=drivesdk</t>
  </si>
  <si>
    <t>ZUKA' NABRIS AHMAD</t>
  </si>
  <si>
    <t>Ezra Alfresco (Alm)</t>
  </si>
  <si>
    <t>Nihaya Tsuroya</t>
  </si>
  <si>
    <t>https://drive.google.com/open?id=18k_P7IhYuPq8plhp9TXs38WGbeDxELxT</t>
  </si>
  <si>
    <t>zebinazuhaa@gmail.com</t>
  </si>
  <si>
    <t>EBTAQ25-01.282</t>
  </si>
  <si>
    <t>https://drive.google.com/file/d/1ksdcDJeEpqsgL1snJX-LWKcGjWX6thI7/view?usp=drivesdk</t>
  </si>
  <si>
    <t>https://drive.google.com/open?id=1sVPaoIzv_WwImY1oN05cJ9EDB_iv6lY1</t>
  </si>
  <si>
    <t>EBTAQ25-01.283</t>
  </si>
  <si>
    <t>https://drive.google.com/file/d/1Mh7b4P8kzGMP64q-1Prn-NCiC_tzbX7V/view?usp=drivesdk</t>
  </si>
  <si>
    <t>Astiani Putri</t>
  </si>
  <si>
    <t>Suwardi</t>
  </si>
  <si>
    <t>Ratna Kurnia Wati</t>
  </si>
  <si>
    <t>https://drive.google.com/open?id=1GMFtsGVChjWAC9vsEfSXPy0LLBCWgyIx</t>
  </si>
  <si>
    <t>astianiputri60@gmail.com</t>
  </si>
  <si>
    <t>EBTAQ25-03.066</t>
  </si>
  <si>
    <t>https://drive.google.com/file/d/12Lqeh40O7i12lrnxgQiOaExqebMo8tQB/view?usp=drivesdk</t>
  </si>
  <si>
    <t>DALISHA LULU MUMTAZAH</t>
  </si>
  <si>
    <t>ABDUR ROUF</t>
  </si>
  <si>
    <t>SRI SULASTRI</t>
  </si>
  <si>
    <t>https://drive.google.com/open?id=1Zn_3k2SjDwwOMG108RGkytC2YJMMqXk7</t>
  </si>
  <si>
    <t>abizarassegaf23@gmail.com</t>
  </si>
  <si>
    <t>EBTAQ25-03.067</t>
  </si>
  <si>
    <t>https://drive.google.com/file/d/14fqoOLUK5poJzqy2f8on0oeXQy9XjakX/view?usp=drivesdk</t>
  </si>
  <si>
    <t>Syarifa Nailil Muna</t>
  </si>
  <si>
    <t>Bukhori</t>
  </si>
  <si>
    <t>Uswatun kasanah</t>
  </si>
  <si>
    <t>https://drive.google.com/open?id=1dNSX7wG852rmvKA9s5SS8dZEtcxmRmaW</t>
  </si>
  <si>
    <t>naililsyarifa@gmail.com</t>
  </si>
  <si>
    <t>EBTAQ25-03.068</t>
  </si>
  <si>
    <t>https://drive.google.com/file/d/1R08SfpJkGOeLP7gmXEZeMNvroyEkkhJU/view?usp=drivesdk</t>
  </si>
  <si>
    <t>Utama</t>
  </si>
  <si>
    <t>Ahmad Kholiq</t>
  </si>
  <si>
    <t>https://drive.google.com/open?id=1txQzlUvpdkOCWZC9jKSKZ_GltLFJZoW4</t>
  </si>
  <si>
    <t>ahmaddongwaru@gmail.com</t>
  </si>
  <si>
    <t>Vania Zahra Aqila</t>
  </si>
  <si>
    <t>Setyono</t>
  </si>
  <si>
    <t>Miftahul Khoiriyah</t>
  </si>
  <si>
    <t>https://drive.google.com/open?id=1tFoJpj6pK6hU2W-sxDNKY36wp7NxdJqZ</t>
  </si>
  <si>
    <t>uswatunkhasah1979@gmail.com</t>
  </si>
  <si>
    <t>EBTAQ25-01.284</t>
  </si>
  <si>
    <t>https://drive.google.com/file/d/1r6LS7F60SC8Hqb0GkXSxwmrncdFNd3b3/view?usp=drivesdk</t>
  </si>
  <si>
    <t>FIQI MUBAROK</t>
  </si>
  <si>
    <t>AMRU MAHMUDI</t>
  </si>
  <si>
    <t>ULIL MUBAROKAH</t>
  </si>
  <si>
    <t>https://drive.google.com/open?id=1Jx620ujq3Ugn4RFLzGQiEeOhi_82ckrx</t>
  </si>
  <si>
    <t>inayahrifatul8@gmail.com</t>
  </si>
  <si>
    <t>EBTAQ25-03.069</t>
  </si>
  <si>
    <t>https://drive.google.com/file/d/1O-DgJaRKCCsDwlj1i_IRj347P4LEPcc-/view?usp=drivesdk</t>
  </si>
  <si>
    <t>HANI ALFIYATUN NASHIROH</t>
  </si>
  <si>
    <t>AMINUDDIN HADI</t>
  </si>
  <si>
    <t>SAMIKHATUN NIKMAH</t>
  </si>
  <si>
    <t>https://drive.google.com/open?id=1B_HJH0PRRfvahGlTHIphlJs8ld5s2bGC</t>
  </si>
  <si>
    <t>nikmahsamikhatun@gmail.com</t>
  </si>
  <si>
    <t>EBTAQ25-03.070</t>
  </si>
  <si>
    <t>https://drive.google.com/file/d/1UNJj0hxgZoTpRi_lFbr6H1aC8JRDCj7f/view?usp=drivesdk</t>
  </si>
  <si>
    <t>Nasyahila ufaira marwa</t>
  </si>
  <si>
    <t>Nur khamim</t>
  </si>
  <si>
    <t>Kholis wati</t>
  </si>
  <si>
    <t>https://drive.google.com/open?id=1koccTZvq0-DWYxDEU4pijkrtdAMdaxTK</t>
  </si>
  <si>
    <t>mamangleker81@gmail.com</t>
  </si>
  <si>
    <t>EBTAQ25-01.285</t>
  </si>
  <si>
    <t>https://drive.google.com/file/d/1ohcpJlLC-bPq4O4XKR3TZMUiUqErGT6L/view?usp=drivesdk</t>
  </si>
  <si>
    <t>AFLAH DHAIFULLAH</t>
  </si>
  <si>
    <t>Agil Wistyanto</t>
  </si>
  <si>
    <t>Riris Sulistyowati</t>
  </si>
  <si>
    <t>https://drive.google.com/open?id=186C723h2WZsfkzRWWtZDXS_LYxFfxWVV</t>
  </si>
  <si>
    <t>ririssulistyowati71@guru.smp.belajar.id</t>
  </si>
  <si>
    <t>EBTAQ25-01.286</t>
  </si>
  <si>
    <t>https://drive.google.com/file/d/1sYmmRWmLoKzekkidkkFpdPIU1WGlGZEX/view?usp=drivesdk</t>
  </si>
  <si>
    <t>Muhammad Vallentino Kevin El Fasya</t>
  </si>
  <si>
    <t>Heri Kiswanto</t>
  </si>
  <si>
    <t>Ana Zulfa Rahmawati</t>
  </si>
  <si>
    <t>https://drive.google.com/open?id=1nYgtEnvBc-2oafr89_vMw6tvhgcnSXE8</t>
  </si>
  <si>
    <t>ashnasmp2@gmail.com</t>
  </si>
  <si>
    <t>EBTAQ25-01.287</t>
  </si>
  <si>
    <t>https://drive.google.com/file/d/1dUDJLQ1cEuydrQdfhoDzfWPB5b1vpKIh/view?usp=drivesdk</t>
  </si>
  <si>
    <t>MUHAMMAD FAHMI AMMAR</t>
  </si>
  <si>
    <t>ABU HASAN</t>
  </si>
  <si>
    <t>MUYASAROH</t>
  </si>
  <si>
    <t>https://drive.google.com/open?id=1YxamQuGn0RJyCNFoEPZglloBjiyHVl6i</t>
  </si>
  <si>
    <t>fafadanazril22@gmail.com</t>
  </si>
  <si>
    <t>EBTAQ25-03.071</t>
  </si>
  <si>
    <t>https://drive.google.com/file/d/1qi-vv_6z7GqG663FLwk0avfQMoAO2zer/view?usp=drivesdk</t>
  </si>
  <si>
    <t>https://drive.google.com/open?id=1xIZnTtRqa7qHNzrd872C9wt4ec5uk5NJ</t>
  </si>
  <si>
    <t>ririsannisa27@gmail.com</t>
  </si>
  <si>
    <t>EBTAQ25-01.288</t>
  </si>
  <si>
    <t>https://drive.google.com/file/d/1gwMc61wfEb1CLtC3MIi4eFww5dFAPvd1/view?usp=drivesdk</t>
  </si>
  <si>
    <t>Demak - TPQ SULAMUNNAJAH</t>
  </si>
  <si>
    <t>Alayya Nahda Rafanda</t>
  </si>
  <si>
    <t>Sumber Kusnadi</t>
  </si>
  <si>
    <t>IRA SOFIANA</t>
  </si>
  <si>
    <t>https://drive.google.com/open?id=1iFjITDLXK7VFyEP5_NpZJySSTlYKAZl5</t>
  </si>
  <si>
    <t>madinsullamunnajah@gmail.com</t>
  </si>
  <si>
    <t>EBTAQ25-01.289</t>
  </si>
  <si>
    <t>https://drive.google.com/file/d/1QMltR8fXxv3Mb-vfjO56WoVG25rNwxwy/view?usp=drivesdk</t>
  </si>
  <si>
    <t>https://drive.google.com/open?id=1tcmIculGLkIDbV-3yfmJ33sRZnAlTQo2</t>
  </si>
  <si>
    <t>ravenandrea169@gmail.com</t>
  </si>
  <si>
    <t>EBTAQ25-01.290</t>
  </si>
  <si>
    <t>https://drive.google.com/file/d/1lK2ekCby373-eeArtDC_0H09D7aIvwXp/view?usp=drivesdk</t>
  </si>
  <si>
    <t>AHMAD FERI AKBAR</t>
  </si>
  <si>
    <t>NUR ROCHIM</t>
  </si>
  <si>
    <t>FARIDHOTUL CHASANAH</t>
  </si>
  <si>
    <t>https://drive.google.com/open?id=1SDaqqz8FjmLECG_PwZoqNVbdvUH_ztDm</t>
  </si>
  <si>
    <t>EBTAQ25-03.072</t>
  </si>
  <si>
    <t>https://drive.google.com/file/d/1H28NfUdkQZJPZC658PXlqP1IwKwXp6bN/view?usp=drivesdk</t>
  </si>
  <si>
    <t>https://drive.google.com/open?id=1v3uFzgCsuNhOmq-aFsJ1259Jm-89zvTg</t>
  </si>
  <si>
    <t>EBTAQ25-01.291</t>
  </si>
  <si>
    <t>https://drive.google.com/file/d/1cPNFgrpmF69LA468p-bgOBu2jNYCitPM/view?usp=drivesdk</t>
  </si>
  <si>
    <t>AGIL WISTYANTO</t>
  </si>
  <si>
    <t>RIRIS SULISTYOWATI</t>
  </si>
  <si>
    <t>https://drive.google.com/open?id=1sG_U6mFeBOROe3tdr8Ys2ThfZxPdBq44</t>
  </si>
  <si>
    <t>EBTAQ25-01.292</t>
  </si>
  <si>
    <t>https://drive.google.com/file/d/1GogZmVaxY1Vy6oh8uF1Sqoo99jU1oNS5/view?usp=drivesdk</t>
  </si>
  <si>
    <t>Musyafa nur jati</t>
  </si>
  <si>
    <t>Nadliron</t>
  </si>
  <si>
    <t>Winarsih</t>
  </si>
  <si>
    <t>https://drive.google.com/open?id=1AkUa0BS0NAaiUOwB3Xgw-QEgpxLnD-nD</t>
  </si>
  <si>
    <t>nadlironcb1@gmail.com</t>
  </si>
  <si>
    <t>EBTAQ25-01.293</t>
  </si>
  <si>
    <t>https://drive.google.com/file/d/12KDmX_5wDltqDuUhoRfqjx3ItsllNDLx/view?usp=drivesdk</t>
  </si>
  <si>
    <t>https://drive.google.com/open?id=1abGO91-Vh3-KDwyK13YB-ukzK30YHhTi</t>
  </si>
  <si>
    <t>EBTAQ25-01.294</t>
  </si>
  <si>
    <t>https://drive.google.com/file/d/1Yo4yEM4V9wBLZaodFCBsHNqDNu65lWgz/view?usp=drivesdk</t>
  </si>
  <si>
    <t>Lamhatur Rosyidah</t>
  </si>
  <si>
    <t>Ahmad Nur Rohim</t>
  </si>
  <si>
    <t>Kodriyah</t>
  </si>
  <si>
    <t>https://drive.google.com/open?id=1jos0UMCfWhQ1fEul2dNebZ7lwgACL_NO</t>
  </si>
  <si>
    <t>lamtusida@gmail.com</t>
  </si>
  <si>
    <t>EBTAQ25-03.073</t>
  </si>
  <si>
    <t>https://drive.google.com/file/d/1YoqmdvxOtMZ9NyoU5S-fmJHZiIabmgTM/view?usp=drivesdk</t>
  </si>
  <si>
    <t>https://drive.google.com/open?id=1VaSRVgWb3miC8H--K-h_JwfM-7rgSRBQ</t>
  </si>
  <si>
    <t>EBTAQ25-01.295</t>
  </si>
  <si>
    <t>https://drive.google.com/file/d/1zeMhn21c6RbK8zH6gLhq3gpwe8B2omjT/view?usp=drivesdk</t>
  </si>
  <si>
    <t>https://drive.google.com/open?id=1FD9n6dhUmQoGov9-o_FlaRGjjYa0GNuH</t>
  </si>
  <si>
    <t>EBTAQ25-01.296</t>
  </si>
  <si>
    <t>https://drive.google.com/file/d/1Upms6dZKOHKupBegkfV4ThueOEvlC5Yr/view?usp=drivesdk</t>
  </si>
  <si>
    <t>BILQIS FAIHA RIFDA</t>
  </si>
  <si>
    <t>MUSRIAN</t>
  </si>
  <si>
    <t>SUYATI</t>
  </si>
  <si>
    <t>https://drive.google.com/open?id=1u4o_UvKvF0x01zSTBUeEJEoT5rrIyOlJ</t>
  </si>
  <si>
    <t>EBTAQ25-03.074</t>
  </si>
  <si>
    <t>https://drive.google.com/file/d/1Q9cNyDoOfzPY-luHMgtAriDdcgFoCxTr/view?usp=drivesdk</t>
  </si>
  <si>
    <t>MUHAMMAD AFRIZAL AZKA</t>
  </si>
  <si>
    <t>IFAN FIBRIANTO</t>
  </si>
  <si>
    <t>NAILUS SA'ADAH</t>
  </si>
  <si>
    <t>https://drive.google.com/open?id=1NZZ2C8X3giFgUCE8E2ulCsyV9HT7d124</t>
  </si>
  <si>
    <t>nailus2711@gmail.com</t>
  </si>
  <si>
    <t>EBTAQ25-01.297</t>
  </si>
  <si>
    <t>https://drive.google.com/file/d/1eI1z8pcpeNBW8K1fB0ieF8FePqiLFyvC/view?usp=drivesdk</t>
  </si>
  <si>
    <t>Adzaqnal wadqo khordalil wustqo</t>
  </si>
  <si>
    <t>Mudiono</t>
  </si>
  <si>
    <t>Nur rohmawati</t>
  </si>
  <si>
    <t>https://drive.google.com/open?id=1WuLxVsmZxqmlO2r8yhCAaEYATodtYX6q</t>
  </si>
  <si>
    <t>inun.nqjib99@gmail.com</t>
  </si>
  <si>
    <t>EBTAQ25-01.298</t>
  </si>
  <si>
    <t>https://drive.google.com/file/d/1oz5zsTM1tlnhQR27zE-IF1K_27Uhezc1/view?usp=drivesdk</t>
  </si>
  <si>
    <t>RHEA AINAYA SAPUTRA</t>
  </si>
  <si>
    <t>Lilik Dwi Saputro</t>
  </si>
  <si>
    <t>ANIK ANDRIANINGRUM</t>
  </si>
  <si>
    <t>https://drive.google.com/open?id=1YZ9e9PPnxhhRTdxq8SbsoqfdkKubDF4l</t>
  </si>
  <si>
    <t>EBTAQ25-01.299</t>
  </si>
  <si>
    <t>https://drive.google.com/file/d/1LfKGrxkrkD2BX2PdyHd626dD3p6C_zVO/view?usp=drivesdk</t>
  </si>
  <si>
    <t>Abidzar dirga al ghaniy</t>
  </si>
  <si>
    <t>Hery saputro</t>
  </si>
  <si>
    <t>Tutik setiyani</t>
  </si>
  <si>
    <t>https://drive.google.com/open?id=1CckfZso7-BJicw2OcIQLahyCc-77vABh</t>
  </si>
  <si>
    <t>tutiksetiyani88@gmail.com</t>
  </si>
  <si>
    <t>EBTAQ25-01.300</t>
  </si>
  <si>
    <t>https://drive.google.com/file/d/1gdvMkyOIBtL_HP8AY-BYbxBpcovD8fI3/view?usp=drivesdk</t>
  </si>
  <si>
    <t>Wimala Nuriel Sefti Elysia</t>
  </si>
  <si>
    <t>Klaten</t>
  </si>
  <si>
    <t>Iswanto</t>
  </si>
  <si>
    <t>Nur Kayati</t>
  </si>
  <si>
    <t>https://drive.google.com/open?id=1zydE7SvMfDEOZmT6HIWXthmyDF5c80Zd</t>
  </si>
  <si>
    <t>EBTAQ25-01.301</t>
  </si>
  <si>
    <t>https://drive.google.com/file/d/19UBwkQ3EMPTry0QgmAcdq9D0VXtL--us/view?usp=drivesdk</t>
  </si>
  <si>
    <t>https://drive.google.com/open?id=19mJjqDXUjmBh1y045GmmuY0k9O1wG_8x</t>
  </si>
  <si>
    <t>EBTAQ25-01.302</t>
  </si>
  <si>
    <t>https://drive.google.com/file/d/1AOq3_i6jevT58N2p3rhb4ClpsXoDxGwq/view?usp=drivesdk</t>
  </si>
  <si>
    <t>FARISYA FINATUL AGUSTINA</t>
  </si>
  <si>
    <t>MUHAMMAD ARIS</t>
  </si>
  <si>
    <t>NAFISSATUN NAJIKHAH</t>
  </si>
  <si>
    <t>https://drive.google.com/open?id=1r8lhsDsZB1mTBwxbps_rfzhzJYlY8199</t>
  </si>
  <si>
    <t>EBTAQ25-03.075</t>
  </si>
  <si>
    <t>https://drive.google.com/file/d/1_G3dVgQT0XgbYp49Gl0xbP79ZTtsMyKu/view?usp=drivesdk</t>
  </si>
  <si>
    <t>https://drive.google.com/open?id=1D5tgK1E82bRTm8T1knCzTBRR-IuL5QYv</t>
  </si>
  <si>
    <t>EBTAQ25-01.303</t>
  </si>
  <si>
    <t>https://drive.google.com/file/d/1AcKw0cfTPcdoM7EUz1iQ66_5IThYDzCv/view?usp=drivesdk</t>
  </si>
  <si>
    <t>ALINKA PUTRI FIRMANSYAH</t>
  </si>
  <si>
    <t>FIRMAN WISNU BRATA</t>
  </si>
  <si>
    <t>DEWI ARIYANTI</t>
  </si>
  <si>
    <t>https://drive.google.com/open?id=1xiPHUd-AYsmLkgJlurmJ6UkGhOcqwcl4</t>
  </si>
  <si>
    <t>EBTAQ25-01.304</t>
  </si>
  <si>
    <t>https://drive.google.com/file/d/11KKCOZC5zpOUUjVBDIOTTapoxVh7SC70/view?usp=drivesdk</t>
  </si>
  <si>
    <t>MUHAMMAD KAFA ASSARIF</t>
  </si>
  <si>
    <t>ZUHARIS SUHARIMAN</t>
  </si>
  <si>
    <t>AFIDATUL LAYINAH</t>
  </si>
  <si>
    <t>https://drive.google.com/open?id=1LfamwvMgHMFzh1C4F4yD_mxU_rASbBj8</t>
  </si>
  <si>
    <t>rodifatul46@gmail.com</t>
  </si>
  <si>
    <t>ARKA HAMIZAN</t>
  </si>
  <si>
    <t>TANGERANG</t>
  </si>
  <si>
    <t>RENU TAUFIK HANDANG DWI AKTO</t>
  </si>
  <si>
    <t>DIAN ERVITA ARIANI</t>
  </si>
  <si>
    <t>https://drive.google.com/open?id=1cZpxA5P2RE8_b3_XQbvPIWvKwors5WZ9</t>
  </si>
  <si>
    <t>renutaufik@gmail.com</t>
  </si>
  <si>
    <t>EBTAQ25-01.305</t>
  </si>
  <si>
    <t>https://drive.google.com/file/d/1tpeDR6XoTipGNbYDWG5zw2tAiRzaV4lB/view?usp=drivesdk</t>
  </si>
  <si>
    <t>ALTHAF IZZUL HANIF</t>
  </si>
  <si>
    <t>MIFTAHUL AMAR</t>
  </si>
  <si>
    <t>RANI SULISTYA WATI</t>
  </si>
  <si>
    <t>https://drive.google.com/open?id=1Kjg2NoBNKfoV2i1MIyz7dijG9d5HLOWK</t>
  </si>
  <si>
    <t>EBTAQ25-01.306</t>
  </si>
  <si>
    <t>https://drive.google.com/file/d/18jxAiUWNxTRJeAnVtJbKSkOtJGgxHpdV/view?usp=drivesdk</t>
  </si>
  <si>
    <t>https://drive.google.com/open?id=1_6YUWgd8NKvTTa_mYSnaql3RRmqDs1qt</t>
  </si>
  <si>
    <t>INAYATUR ROHMAH</t>
  </si>
  <si>
    <t>HASAN BISRI</t>
  </si>
  <si>
    <t>NUR FAIZAH</t>
  </si>
  <si>
    <t>https://drive.google.com/open?id=1P9GETMCZuDRzZgKdSxk5zWGFoSP12QmI</t>
  </si>
  <si>
    <t>EBTAQ25-03.076</t>
  </si>
  <si>
    <t>https://drive.google.com/file/d/1XLqS-qxRGn3ITe-SMnlvv2igpXOWpXck/view?usp=drivesdk</t>
  </si>
  <si>
    <t>https://drive.google.com/open?id=1GMtyusqJkZjBNItQPrvTSobxl9PJc--3</t>
  </si>
  <si>
    <t>EBTAQ25-01.307</t>
  </si>
  <si>
    <t>https://drive.google.com/file/d/1IA62g2trTXkyTD5TEusZw6uADjcWIfS9/view?usp=drivesdk</t>
  </si>
  <si>
    <t>AQILLA AZZAHRA ALFATHUNISSA</t>
  </si>
  <si>
    <t>MUHAMAD SUTOMO</t>
  </si>
  <si>
    <t>SRI LESTARI NINGSIH</t>
  </si>
  <si>
    <t>https://drive.google.com/open?id=1Lzf6ghUkVjUvHWLDIb15qz2rKm_cixOv</t>
  </si>
  <si>
    <t>EBTAQ25-01.308</t>
  </si>
  <si>
    <t>https://drive.google.com/file/d/1fMvsu3v0peBMxDkyzu509DS69ZbMNC18/view?usp=drivesdk</t>
  </si>
  <si>
    <t>AZRA FATHIN DHIYA</t>
  </si>
  <si>
    <t>EKO AGUNG SUJATMIKO</t>
  </si>
  <si>
    <t>YUNIARTI</t>
  </si>
  <si>
    <t>https://drive.google.com/open?id=190xC0WIqWzmJZwg1TkvfD4K9ymXWFXiw</t>
  </si>
  <si>
    <t>EBTAQ25-01.309</t>
  </si>
  <si>
    <t>https://drive.google.com/file/d/1nGhJibZ-gDxZZkwNLq-B2JGvVBWvOPR9/view?usp=drivesdk</t>
  </si>
  <si>
    <t>FIA LARASATI</t>
  </si>
  <si>
    <t>MIFTA KHARIS</t>
  </si>
  <si>
    <t>SHOFIYATI</t>
  </si>
  <si>
    <t>https://drive.google.com/open?id=13UyoU7zCk1_R1tJt1zYLj4CTywMkRv76</t>
  </si>
  <si>
    <t>larasatifia901@gmail.com</t>
  </si>
  <si>
    <t>EBTAQ25-03.077</t>
  </si>
  <si>
    <t>https://drive.google.com/file/d/1mYYkvP32wTzTB5CQuivPPNiFh-ja4ER3/view?usp=drivesdk</t>
  </si>
  <si>
    <t>Demak - TPQ ROUDHOTUL JANNAH</t>
  </si>
  <si>
    <t>ADRIAN PRADIPTA WIJAYA</t>
  </si>
  <si>
    <t>DANANG HARYANTO</t>
  </si>
  <si>
    <t>NIKMATUL INAYAH</t>
  </si>
  <si>
    <t>https://drive.google.com/open?id=1R65QIAANHQCxsGdRzrm7tyiIfSY0fuKB</t>
  </si>
  <si>
    <t>nikmatulinayah77@gmail.com</t>
  </si>
  <si>
    <t>EBTAQ25-01.310</t>
  </si>
  <si>
    <t>https://drive.google.com/file/d/1BzpDKwXRp0rDo1By5ypTg9IzF4hR9_B9/view?usp=drivesdk</t>
  </si>
  <si>
    <t>KIRANA 'AROFATUSYALISAH</t>
  </si>
  <si>
    <t>MUAYADI</t>
  </si>
  <si>
    <t>MUDAYANAH</t>
  </si>
  <si>
    <t>https://drive.google.com/open?id=1LQ3SXlZFH3Kriut1xpptlTEswZCHq4A0</t>
  </si>
  <si>
    <t>EBTAQ25-03.078</t>
  </si>
  <si>
    <t>https://drive.google.com/file/d/122Wnl2IaBaRm_dHwwNkaH72w63JJAxnk/view?usp=drivesdk</t>
  </si>
  <si>
    <t>SAFEEA DAMAYANTI</t>
  </si>
  <si>
    <t>IMAM SAFI'I</t>
  </si>
  <si>
    <t>NIKMATUL IFAH</t>
  </si>
  <si>
    <t>https://drive.google.com/open?id=1YWO7rWiFVnhn0tRv8W3X-a00y4gtsNI4</t>
  </si>
  <si>
    <t>marifatul130400@gmail.com</t>
  </si>
  <si>
    <t>EBTAQ25-03.079</t>
  </si>
  <si>
    <t>https://drive.google.com/file/d/1CsDHw_Y0ENfNgBeVOAtQExjyf6WmjcdN/view?usp=drivesdk</t>
  </si>
  <si>
    <t>TIKTA ZULIYANTI AYUNINGTYAS</t>
  </si>
  <si>
    <t>MUHSININ</t>
  </si>
  <si>
    <t>NANIK AINISAH</t>
  </si>
  <si>
    <t>https://drive.google.com/open?id=1Us9NmwNeMDot6NKD1jcBov-79KpCK0LS</t>
  </si>
  <si>
    <t>EBTAQ25-03.080</t>
  </si>
  <si>
    <t>https://drive.google.com/file/d/12bgeSg1D0jwQYKdANzZqhao6jrBa5rj1/view?usp=drivesdk</t>
  </si>
  <si>
    <t>AZKIA NAJIHA KIRANA</t>
  </si>
  <si>
    <t>HARYANTO</t>
  </si>
  <si>
    <t>MUSLIKHATUL HIDAYAH</t>
  </si>
  <si>
    <t>https://drive.google.com/open?id=1W8hDgK5sI05j5MzPA1OqlLedyPVaqiKk</t>
  </si>
  <si>
    <t>EBTAQ25-03.081</t>
  </si>
  <si>
    <t>https://drive.google.com/file/d/12aZMPf1D_MeDn9BkArXfPv7K6yBt1XSz/view?usp=drivesdk</t>
  </si>
  <si>
    <t>Rahma Ardi Ramadhani</t>
  </si>
  <si>
    <t>https://drive.google.com/open?id=1IVRJ5faXg0lN8iG8XW_QfqFaT5BbkRd6</t>
  </si>
  <si>
    <t>EBTAQ25-03.082</t>
  </si>
  <si>
    <t>https://drive.google.com/file/d/1GiZ0bOFnzXQCwlCevu3XhEVyKAen8GiK/view?usp=drivesdk</t>
  </si>
  <si>
    <t>FIA LARASSATI</t>
  </si>
  <si>
    <t>https://drive.google.com/open?id=16qP1EdfUF3hQWN1rIOzAlO7sHwuvaCnk</t>
  </si>
  <si>
    <t>EBTAQ25-03.083</t>
  </si>
  <si>
    <t>https://drive.google.com/file/d/1cOkk7ohpzAlDfo11IwqL871lsIpiXIjl/view?usp=drivesdk</t>
  </si>
  <si>
    <t>https://drive.google.com/open?id=1UuDuhLSE3VFFPtxoOqulaoo1fjlxxpzZ</t>
  </si>
  <si>
    <t>EBTAQ25-03.084</t>
  </si>
  <si>
    <t>https://drive.google.com/file/d/1pyxPcMEsmkmC-PWY3tuoRbAT_zDFXA29/view?usp=drivesdk</t>
  </si>
  <si>
    <t>TIARA HAWA</t>
  </si>
  <si>
    <t>SALMAN ALFARISI</t>
  </si>
  <si>
    <t>SITI HASANAH</t>
  </si>
  <si>
    <t>https://drive.google.com/open?id=1fBKnUqC0XMEaa_P4zcbjPYfqPOJT2woe</t>
  </si>
  <si>
    <t>ysthasanah@gmail.com</t>
  </si>
  <si>
    <t>EBTAQ25-01.311</t>
  </si>
  <si>
    <t>https://drive.google.com/file/d/1lIn5O6aDebTB0wydzoTIBob6OQKwOw1R/view?usp=drivesdk</t>
  </si>
  <si>
    <t>DIMASKY MIRZA ARDANI</t>
  </si>
  <si>
    <t>DEDY SURYADI</t>
  </si>
  <si>
    <t>https://drive.google.com/open?id=1eXEfsAklstE_jVUK6fyojjB_qt0hV13_</t>
  </si>
  <si>
    <t>EBTAQ25-01.312</t>
  </si>
  <si>
    <t>https://drive.google.com/file/d/1RGwhZBsQj0jML7a9Z3btQW29ccA8TPm4/view?usp=drivesdk</t>
  </si>
  <si>
    <t>BILQIS AUFA OKTAVIANI</t>
  </si>
  <si>
    <t>SUNARDI</t>
  </si>
  <si>
    <t>MUJI RISTIANI</t>
  </si>
  <si>
    <t>https://drive.google.com/open?id=1au1cQBQKh_a-niAevp2l-HwqFUeVMdZP</t>
  </si>
  <si>
    <t>EBTAQ25-01.313</t>
  </si>
  <si>
    <t>https://drive.google.com/file/d/1_buQGgR4lpCs2c0ok1ibd_6jTEPDBPma/view?usp=drivesdk</t>
  </si>
  <si>
    <t>Kayyasa Zaara Rahman</t>
  </si>
  <si>
    <t>Taufiq Rahman</t>
  </si>
  <si>
    <t>Vika Andriyanti</t>
  </si>
  <si>
    <t>https://drive.google.com/open?id=1nIOqqLxxWzUSHEXVkHTKMu8UqppUllkU</t>
  </si>
  <si>
    <t>andriyanti.vk@gmail.com</t>
  </si>
  <si>
    <t>EBTAQ25-01.314</t>
  </si>
  <si>
    <t>https://drive.google.com/file/d/1VNpGtzMeokLopOCljdpfLKgtTts5HCgC/view?usp=drivesdk</t>
  </si>
  <si>
    <t>ABID LANGIT RAMADHANI</t>
  </si>
  <si>
    <t>EDI UTOMO</t>
  </si>
  <si>
    <t>DWI RATNA ARIANI</t>
  </si>
  <si>
    <t>https://drive.google.com/open?id=1tUfGXcLZa4jQWUzq1GWUpokTJAFkpHm5</t>
  </si>
  <si>
    <t>EBTAQ25-01.315</t>
  </si>
  <si>
    <t>https://drive.google.com/file/d/12oBorBhGy_-HQv8GzVrbpXrkmF9LmUXI/view?usp=drivesdk</t>
  </si>
  <si>
    <t>Kezia Naquita Caroline</t>
  </si>
  <si>
    <t>feri eko budiyanto</t>
  </si>
  <si>
    <t>nunung halimah</t>
  </si>
  <si>
    <t>https://drive.google.com/open?id=1iURd4lcjNBGmgI-l0WHVizzNBPupjdyW</t>
  </si>
  <si>
    <t>kurniademak23@gmail.com</t>
  </si>
  <si>
    <t>EBTAQ25-01.316</t>
  </si>
  <si>
    <t>https://drive.google.com/file/d/1GICdCd9BHWGjfh34OvefAzUM-V4_wkIP/view?usp=drivesdk</t>
  </si>
  <si>
    <t>https://drive.google.com/open?id=1OSwr--wZbaOeJ4mFlei6nEBW6QBxfB4d</t>
  </si>
  <si>
    <t>EBTAQ25-01.317</t>
  </si>
  <si>
    <t>https://drive.google.com/file/d/1s0Xo3OohramT6kLsgGwJ6Z1NpCcvPVBT/view?usp=drivesdk</t>
  </si>
  <si>
    <t>ULFI LUTFIYATI</t>
  </si>
  <si>
    <t>AHMAD KHUNAISIR</t>
  </si>
  <si>
    <t>SULASTRI</t>
  </si>
  <si>
    <t>https://drive.google.com/open?id=1gKjQq4N0SGehfUdzHW5rlh6LHXlTQ0Jr</t>
  </si>
  <si>
    <t>nurahyadia@gmail.com</t>
  </si>
  <si>
    <t>EBTAQ25-03.085</t>
  </si>
  <si>
    <t>https://drive.google.com/file/d/1giyxwh-sKDBs1rYCfz2YM0cUdB0jteO9/view?usp=drivesdk</t>
  </si>
  <si>
    <t>https://drive.google.com/open?id=1UO2QMZyQIsuc0KmLlmhAA5JV9kSceoZj</t>
  </si>
  <si>
    <t>andriyanti.vk2@gmail.com</t>
  </si>
  <si>
    <t>EBTAQ25-01.318</t>
  </si>
  <si>
    <t>https://drive.google.com/file/d/1O1cdxE8fw9pN4YEOIFSAaVti_K6ZQJ3q/view?usp=drivesdk</t>
  </si>
  <si>
    <t>https://drive.google.com/open?id=18Czn99TrXSr7EIUVfwuHx-Ugpfom621b</t>
  </si>
  <si>
    <t>EBTAQ25-01.319</t>
  </si>
  <si>
    <t>https://drive.google.com/file/d/1skeix2YqZrp9ZHzm80SIk29DTLzLvMbr/view?usp=drivesdk</t>
  </si>
  <si>
    <t>Demak - SD BUQ BET.DEMAK, Demak - TPQ MIFTAHUL JANNAH</t>
  </si>
  <si>
    <t>ANASTASYA VIOLA NAZAFARIN</t>
  </si>
  <si>
    <t>MUSLIM</t>
  </si>
  <si>
    <t>IKA PUJI SISWANTI</t>
  </si>
  <si>
    <t>https://drive.google.com/open?id=1Eyl5581CqGS3Hj1msDx0A94BZoOjVC6q</t>
  </si>
  <si>
    <t>EBTAQ25-01.320</t>
  </si>
  <si>
    <t>https://drive.google.com/file/d/1eBdFMC2B2BHDwOR-228jvhmpsygi-EOk/view?usp=drivesdk</t>
  </si>
  <si>
    <t>https://drive.google.com/open?id=1vYC7zWPEJBij68IoSZ1ZKMuzUODu-KAC</t>
  </si>
  <si>
    <t>EBTAQ25-01.321</t>
  </si>
  <si>
    <t>https://drive.google.com/file/d/1wKRtS2BsZSAy0DiElzNhbOMf4BpguDUz/view?usp=drivesdk</t>
  </si>
  <si>
    <t>Muhammad Alfa Reza pratama</t>
  </si>
  <si>
    <t>Muhamad musafak</t>
  </si>
  <si>
    <t>Ana istiaroh</t>
  </si>
  <si>
    <t>https://drive.google.com/open?id=1uJxV1QI5JsXOU4UbeRFVypM309r8n6av</t>
  </si>
  <si>
    <t>mustofiyah918@gmail.com</t>
  </si>
  <si>
    <t>EBTAQ25-01.322</t>
  </si>
  <si>
    <t>https://drive.google.com/file/d/18J9nNY5L8BGqFGsntDvQ6Ruhvdo-U0Xs/view?usp=drivesdk</t>
  </si>
  <si>
    <t>https://drive.google.com/open?id=1AoCJLhewAol6sezv9cRMmYs2yAysKd3A</t>
  </si>
  <si>
    <t>kayyasazaarar@gmail.com</t>
  </si>
  <si>
    <t>EBTAQ25-01.323</t>
  </si>
  <si>
    <t>https://drive.google.com/file/d/101I8bbFR82UBggw7frnqS69f20XyBQoP/view?usp=drivesdk</t>
  </si>
  <si>
    <t>https://drive.google.com/open?id=1wRQJ-OEZAjEZLcM3fA170nBV4m5jhSTG</t>
  </si>
  <si>
    <t>EBTAQ25-01.324</t>
  </si>
  <si>
    <t>https://drive.google.com/file/d/1LeKHa9S1NtfeRObdlYOcT1DDHkGXUcSf/view?usp=drivesdk</t>
  </si>
  <si>
    <t>AQILA SALMA WARDANI</t>
  </si>
  <si>
    <t>SUHARTOYO</t>
  </si>
  <si>
    <t>NUR AENI</t>
  </si>
  <si>
    <t>https://drive.google.com/open?id=1pZwQocX9IoH3o6w2MyuDxY9YAms8XtTJ</t>
  </si>
  <si>
    <t>nuraeni781984@gmail.com</t>
  </si>
  <si>
    <t>https://drive.google.com/open?id=1Rx5fGMwMiaqW2Q80l9Q5c5-1lFEwKeO2</t>
  </si>
  <si>
    <t>EBTAQ25-01.325</t>
  </si>
  <si>
    <t>https://drive.google.com/file/d/1m-O6-5kcKBDoqwsDf8IQX6qmFfCUozhC/view?usp=drivesdk</t>
  </si>
  <si>
    <t>https://drive.google.com/open?id=1pFgjdgoxMfjk_REH_0YQSmdNpOZAJvXq</t>
  </si>
  <si>
    <t>EBTAQ25-01.326</t>
  </si>
  <si>
    <t>https://drive.google.com/file/d/1Bnl1Imldaqdy3W8VGMo5BJNtPEUGDenT/view?usp=drivesdk</t>
  </si>
  <si>
    <t>Siti Rahmawati</t>
  </si>
  <si>
    <t>https://drive.google.com/open?id=1Q6fmkvSdCQHmaKQiQE804IKcb8rXjSjD</t>
  </si>
  <si>
    <t>inoryani887@gmail.com</t>
  </si>
  <si>
    <t>Zian Syahrul Ramadhan</t>
  </si>
  <si>
    <t>Darmo Sutoyo</t>
  </si>
  <si>
    <t>Nida Evitria</t>
  </si>
  <si>
    <t>https://drive.google.com/open?id=1Ro9nvaVnMZNxKLxEtNagz46U5yQeUeWa</t>
  </si>
  <si>
    <t>nidaevitria723@gmail.com</t>
  </si>
  <si>
    <t>BMW - Azzumut Fatayat NU</t>
  </si>
  <si>
    <t>ALISA SABRIANA</t>
  </si>
  <si>
    <t>SOBIRIN</t>
  </si>
  <si>
    <t>MELISA SUTIYANA</t>
  </si>
  <si>
    <t>https://drive.google.com/open?id=1C51UXKX1Af2XhYpo4kzWo5odMfbe8247</t>
  </si>
  <si>
    <t>ummukhoiroh93@guru.sd.belajar.id</t>
  </si>
  <si>
    <t>EBTAQ25-03.086</t>
  </si>
  <si>
    <t>https://drive.google.com/file/d/1Hc_PXE3KSltFSYinW7cWkK8pjvTAVlqm/view?usp=drivesdk</t>
  </si>
  <si>
    <t>CITRA PUTRI FELLICIA</t>
  </si>
  <si>
    <t>ANTONIUS SETIAWAN</t>
  </si>
  <si>
    <t>DIYA APRILIYANI PRATIWI</t>
  </si>
  <si>
    <t>https://drive.google.com/open?id=17R178bEH6_2S7-9jSMjX57QObAXF9FYp</t>
  </si>
  <si>
    <t>EBTAQ25-03.087</t>
  </si>
  <si>
    <t>https://drive.google.com/file/d/1O2uh7X6musbRuEJSmlvXqBYl9FQZKxSO/view?usp=drivesdk</t>
  </si>
  <si>
    <t>FATIMATUZ ZAHRO</t>
  </si>
  <si>
    <t>ARIS SUWANDI</t>
  </si>
  <si>
    <t>SITI AISAH</t>
  </si>
  <si>
    <t>https://drive.google.com/open?id=1wL3CWr0Gn9cLKlyE0U8bGtu8WY7vXviv</t>
  </si>
  <si>
    <t>ummu.khoiroh002@gmail.com</t>
  </si>
  <si>
    <t>EBTAQ25-03.088</t>
  </si>
  <si>
    <t>https://drive.google.com/file/d/1g59-xYPD4M9jXt-0yqUI_-3uexGOs9I9/view?usp=drivesdk</t>
  </si>
  <si>
    <t>KEYSHA AULIA PUTRI</t>
  </si>
  <si>
    <t>NUR SAID</t>
  </si>
  <si>
    <t>SITI ANISA</t>
  </si>
  <si>
    <t>https://drive.google.com/open?id=1vx1SZia4zdlYgIbXOiIyE6NYSe4wniNU</t>
  </si>
  <si>
    <t>EBTAQ25-03.089</t>
  </si>
  <si>
    <t>https://drive.google.com/file/d/1XPS8zMAis3p5vvwdzccfvWnr6yiYeogy/view?usp=drivesdk</t>
  </si>
  <si>
    <t>NAFIDHATUL KHANZA AULIA</t>
  </si>
  <si>
    <t>ABDULLAH ZAENURI</t>
  </si>
  <si>
    <t>MURNINGSIH</t>
  </si>
  <si>
    <t>https://drive.google.com/open?id=1shRgiKCJZVHa6Qym8d8BV16gfOpmDnrE</t>
  </si>
  <si>
    <t>EBTAQ25-03.090</t>
  </si>
  <si>
    <t>https://drive.google.com/file/d/1yTaQgJbLzS3zwuqT2_r8p9ntZNwGkDlv/view?usp=drivesdk</t>
  </si>
  <si>
    <t>UMMU FARIKHATUL JAZILAH</t>
  </si>
  <si>
    <t>MOHAMMAD FAIQ</t>
  </si>
  <si>
    <t>SAYYIDAH AZIZAH</t>
  </si>
  <si>
    <t>https://drive.google.com/open?id=1SuWjRqIfc1qZRW9Yf3GB0-lr5u8jcoPC</t>
  </si>
  <si>
    <t>EBTAQ25-03.091</t>
  </si>
  <si>
    <t>https://drive.google.com/file/d/1HpOqoVtPRgYDHfz9rJnAmVzN_m404Yv2/view?usp=drivesdk</t>
  </si>
  <si>
    <t>UNIFAH NUR ALISTIAWAN</t>
  </si>
  <si>
    <t>SANUWAN</t>
  </si>
  <si>
    <t>NUR KADARSIH</t>
  </si>
  <si>
    <t>https://drive.google.com/open?id=12c4t_m0zza-it1xv_urKVMYoyt7MNKWn</t>
  </si>
  <si>
    <t>EBTAQ25-03.092</t>
  </si>
  <si>
    <t>https://drive.google.com/file/d/10UBkYNjMmMupiHd88Lp-ChWFWzQsvVEY/view?usp=drivesdk</t>
  </si>
  <si>
    <t>USYAQIA MAULIDA</t>
  </si>
  <si>
    <t>ROHANI</t>
  </si>
  <si>
    <t>MUNASIROH</t>
  </si>
  <si>
    <t>https://drive.google.com/open?id=1_JUM-Dzr0Tv1XNL-uaCLH8CjHS214BKH</t>
  </si>
  <si>
    <t>EBTAQ25-03.093</t>
  </si>
  <si>
    <t>https://drive.google.com/file/d/1BIY-42IHaoybpCnvyDTXx9ffobySPEKH/view?usp=drivesdk</t>
  </si>
  <si>
    <t>KIRANA ALMA SUSILO</t>
  </si>
  <si>
    <t>HERI SUSILO</t>
  </si>
  <si>
    <t>NUNIK PATRIANI</t>
  </si>
  <si>
    <t>https://drive.google.com/open?id=1_j6DB0qigK7AJj42gAozVSyhEnB1eZva</t>
  </si>
  <si>
    <t>susilo297@gmail.com</t>
  </si>
  <si>
    <t>EBTAQ25-01.327</t>
  </si>
  <si>
    <t>https://drive.google.com/file/d/1IGvhQBwoOJ68Foh7GTkPKEJaSji_J8Bc/view?usp=drivesdk</t>
  </si>
  <si>
    <t>DAFFA NAILUN NABHAN</t>
  </si>
  <si>
    <t>AGUS SALIM</t>
  </si>
  <si>
    <t>ZULAITI</t>
  </si>
  <si>
    <t>https://drive.google.com/open?id=1qGm-QRWyqDsIZkhML52S6NH-RwMvUYiy</t>
  </si>
  <si>
    <t>EBTAQ25-03.094</t>
  </si>
  <si>
    <t>https://drive.google.com/file/d/1zZ8pxnQxtGrpfhhcL432hMZK7Q0XstVk/view?usp=drivesdk</t>
  </si>
  <si>
    <t>https://drive.google.com/open?id=1v2q-4kh4YqQW12ZM3u-DtKWZeXttuLQY</t>
  </si>
  <si>
    <t>EBTAQ25-01.328</t>
  </si>
  <si>
    <t>https://drive.google.com/file/d/1XR-rQsBm3kcgFKBLatpq69wl3kqAvljo/view?usp=drivesdk</t>
  </si>
  <si>
    <t>MUHAMMAD AFFAN SYAKIR</t>
  </si>
  <si>
    <t>AHMAD SYAKIR</t>
  </si>
  <si>
    <t>UMNIYATUL AZIZAH</t>
  </si>
  <si>
    <t>https://drive.google.com/open?id=1y2qD4wd4tDgkcXaQD7yK5oTP4OfOIvjX</t>
  </si>
  <si>
    <t>EBTAQ25-03.095</t>
  </si>
  <si>
    <t>https://drive.google.com/file/d/16Xdm7j2okEehFxxXyxV9GukW39aSiEwJ/view?usp=drivesdk</t>
  </si>
  <si>
    <t>https://drive.google.com/open?id=1nn756TM-dmwy_vlAElZroHFSu_vzEI64</t>
  </si>
  <si>
    <t>nunik.patriani@gmail.com</t>
  </si>
  <si>
    <t>EBTAQ25-01.329</t>
  </si>
  <si>
    <t>https://drive.google.com/file/d/1kTr8kBIk0dHmQaCCy9eAVozG0HIiS0TP/view?usp=drivesdk</t>
  </si>
  <si>
    <t>AZWA LAYYINATUS SALIMAH</t>
  </si>
  <si>
    <t>https://drive.google.com/open?id=1F8MIBE1jWqJ_Ber50MYdKCiiWSUHzjgF</t>
  </si>
  <si>
    <t>EBTAQ25-01.330</t>
  </si>
  <si>
    <t>https://drive.google.com/file/d/1TxhObEI3PcOCPunU0XgpCQFg5-Y63BLH/view?usp=drivesdk</t>
  </si>
  <si>
    <t>Timestamp</t>
  </si>
  <si>
    <t>Pilih Korcam</t>
  </si>
  <si>
    <t>Asal Lembaga / TPQ</t>
  </si>
  <si>
    <t>Nama Lengkap (Sesuai Akta)</t>
  </si>
  <si>
    <t>Nama Ayah</t>
  </si>
  <si>
    <t>Nama Ibu</t>
  </si>
  <si>
    <t>Jenis Kelamin</t>
  </si>
  <si>
    <t>Kirim Pas Foto Ukuran PostCard</t>
  </si>
  <si>
    <t>Email Address</t>
  </si>
  <si>
    <t>ID Pendaftaran</t>
  </si>
  <si>
    <t>Link PDF</t>
  </si>
  <si>
    <t>EBTAQ25-03.96</t>
  </si>
  <si>
    <t>EBTAQ25-01.331</t>
  </si>
  <si>
    <t>EBTAQ25-03.106</t>
  </si>
  <si>
    <t>EBTAQ25-03.107</t>
  </si>
  <si>
    <t>EBTAQ25-03.108</t>
  </si>
  <si>
    <t>EBTAQ25-03.109</t>
  </si>
  <si>
    <t>EBTAQ25-03.110</t>
  </si>
  <si>
    <t>EBTAQ25-03.111</t>
  </si>
  <si>
    <t>EBTAQ25-03.112</t>
  </si>
  <si>
    <t>EBTAQ25-03.113</t>
  </si>
  <si>
    <t>EBTAQ25-03.114</t>
  </si>
  <si>
    <t>EBTAQ25-03.115</t>
  </si>
  <si>
    <t>EBTAQ25-03.116</t>
  </si>
  <si>
    <t>EBTAQ25-03.117</t>
  </si>
  <si>
    <t>EBTAQ25-03.118</t>
  </si>
  <si>
    <t>EBTAQ25-03.119</t>
  </si>
  <si>
    <t>EBTAQ25-03.120</t>
  </si>
  <si>
    <t>EBTAQ25-03.121</t>
  </si>
  <si>
    <t>EBTAQ25-03.122</t>
  </si>
  <si>
    <t>EBTAQ25-03.123</t>
  </si>
  <si>
    <t>EBTAQ25-03.124</t>
  </si>
  <si>
    <t>EBTAQ25-03.125</t>
  </si>
  <si>
    <t>EBTAQ25-03.126</t>
  </si>
  <si>
    <t>EBTAQ25-03.127</t>
  </si>
  <si>
    <t>EBTAQ25-03.128</t>
  </si>
  <si>
    <t>EBTAQ25-03.129</t>
  </si>
  <si>
    <t>EBTAQ25-03.130</t>
  </si>
  <si>
    <t>EBTAQ25-03.131</t>
  </si>
  <si>
    <t>EBTAQ25-03.132</t>
  </si>
  <si>
    <t>EBTAQ25-03.133</t>
  </si>
  <si>
    <t>EBTAQ25-03.134</t>
  </si>
  <si>
    <t>EBTAQ25-03.135</t>
  </si>
  <si>
    <t>EBTAQ25-03.136</t>
  </si>
  <si>
    <t>EBTAQ25-03.137</t>
  </si>
  <si>
    <t>EBTAQ25-03.138</t>
  </si>
  <si>
    <t>EBTAQ25-04.001</t>
  </si>
  <si>
    <t>EBTAQ25-04.002</t>
  </si>
  <si>
    <t>EBTAQ25-04.003</t>
  </si>
  <si>
    <t>EBTAQ25-04.004</t>
  </si>
  <si>
    <t>EBTAQ25-04.005</t>
  </si>
  <si>
    <t>EBTAQ25-04.006</t>
  </si>
  <si>
    <t>EBTAQ25-04.007</t>
  </si>
  <si>
    <t>EBTAQ25-04.008</t>
  </si>
  <si>
    <t>EBTAQ25-04.009</t>
  </si>
  <si>
    <t>EBTAQ25-04.010</t>
  </si>
  <si>
    <t>EBTAQ25-04.011</t>
  </si>
  <si>
    <t>EBTAQ25-04.012</t>
  </si>
  <si>
    <t>EBTAQ25-04.013</t>
  </si>
  <si>
    <t>EBTAQ25-04.014</t>
  </si>
  <si>
    <t>EBTAQ25-04.015</t>
  </si>
  <si>
    <t>EBTAQ25-04.016</t>
  </si>
  <si>
    <t>EBTAQ25-04.017</t>
  </si>
  <si>
    <t>EBTAQ25-04.018</t>
  </si>
  <si>
    <t>EBTAQ25-04.019</t>
  </si>
  <si>
    <t>EBTAQ25-04.020</t>
  </si>
  <si>
    <t>EBTAQ25-04.021</t>
  </si>
  <si>
    <t>EBTAQ25-04.022</t>
  </si>
  <si>
    <t>EBTAQ25-04.023</t>
  </si>
  <si>
    <t>EBTAQ25-04.024</t>
  </si>
  <si>
    <t>EBTAQ25-04.025</t>
  </si>
  <si>
    <t>EBTAQ25-04.026</t>
  </si>
  <si>
    <t>EBTAQ25-04.027</t>
  </si>
  <si>
    <t>EBTAQ25-04.028</t>
  </si>
  <si>
    <t>EBTAQ25-04.029</t>
  </si>
  <si>
    <t>EBTAQ25-04.030</t>
  </si>
  <si>
    <t>EBTAQ25-04.031</t>
  </si>
  <si>
    <t>EBTAQ25-04.032</t>
  </si>
  <si>
    <t>EBTAQ25-04.033</t>
  </si>
  <si>
    <t>EBTAQ25-04.034</t>
  </si>
  <si>
    <t>EBTAQ25-04.035</t>
  </si>
  <si>
    <t>EBTAQ25-04.036</t>
  </si>
  <si>
    <t>EBTAQ25-04.037</t>
  </si>
  <si>
    <t>EBTAQ25-04.038</t>
  </si>
  <si>
    <t>EBTAQ25-04.039</t>
  </si>
  <si>
    <t>EBTAQ25-04.040</t>
  </si>
  <si>
    <t>EBTAQ25-04.041</t>
  </si>
  <si>
    <t>EBTAQ25-04.042</t>
  </si>
  <si>
    <t>EBTAQ25-04.043</t>
  </si>
  <si>
    <t>EBTAQ25-04.044</t>
  </si>
  <si>
    <t>EBTAQ25-04.045</t>
  </si>
  <si>
    <t>EBTAQ25-04.046</t>
  </si>
  <si>
    <t>EBTAQ25-04.047</t>
  </si>
  <si>
    <t>EBTAQ25-04.048</t>
  </si>
  <si>
    <t>EBTAQ25-04.049</t>
  </si>
  <si>
    <t>EBTAQ25-04.050</t>
  </si>
  <si>
    <t>EBTAQ25-04.051</t>
  </si>
  <si>
    <t>EBTAQ25-04.052</t>
  </si>
  <si>
    <t>EBTAQ25-04.053</t>
  </si>
  <si>
    <t>EBTAQ25-04.054</t>
  </si>
  <si>
    <t>EBTAQ25-04.055</t>
  </si>
  <si>
    <t>EBTAQ25-04.056</t>
  </si>
  <si>
    <t>EBTAQ25-04.057</t>
  </si>
  <si>
    <t>EBTAQ25-04.058</t>
  </si>
  <si>
    <t>EBTAQ25-04.059</t>
  </si>
  <si>
    <t>EBTAQ25-04.060</t>
  </si>
  <si>
    <t>EBTAQ25-04.061</t>
  </si>
  <si>
    <t>EBTAQ25-04.062</t>
  </si>
  <si>
    <t>EBTAQ25-04.063</t>
  </si>
  <si>
    <t>EBTAQ25-04.064</t>
  </si>
  <si>
    <t>EBTAQ25-04.065</t>
  </si>
  <si>
    <t>EBTAQ25-04.066</t>
  </si>
  <si>
    <t>EBTAQ25-05.008</t>
  </si>
  <si>
    <t>EBTAQ25-05.009</t>
  </si>
  <si>
    <t>EBTAQ25-05.010</t>
  </si>
  <si>
    <t>EBTAQ25-05.011</t>
  </si>
  <si>
    <t>EBTAQ25-05.012</t>
  </si>
  <si>
    <t>EBTAQ25-05.013</t>
  </si>
  <si>
    <t>EBTAQ25-05.014</t>
  </si>
  <si>
    <t>EBTAQ25-05.015</t>
  </si>
  <si>
    <t>EBTAQ25-05.016</t>
  </si>
  <si>
    <t>EBTAQ25-05.017</t>
  </si>
  <si>
    <t>EBTAQ25-05.018</t>
  </si>
  <si>
    <t>EBTAQ25-05.019</t>
  </si>
  <si>
    <t>EBTAQ25-05.020</t>
  </si>
  <si>
    <t>EBTAQ25-05.021</t>
  </si>
  <si>
    <t>EBTAQ25-05.022</t>
  </si>
  <si>
    <t>EBTAQ25-05.023</t>
  </si>
  <si>
    <t>EBTAQ25-05.024</t>
  </si>
  <si>
    <t>EBTAQ25-05.025</t>
  </si>
  <si>
    <t>EBTAQ25-05.026</t>
  </si>
  <si>
    <t>EBTAQ25-05.027</t>
  </si>
  <si>
    <t>EBTAQ25-05.028</t>
  </si>
  <si>
    <t>EBTAQ25-05.029</t>
  </si>
  <si>
    <t>EBTAQ25-05.030</t>
  </si>
  <si>
    <t>EBTAQ25-05.031</t>
  </si>
  <si>
    <t>EBTAQ25-05.032</t>
  </si>
  <si>
    <t>EBTAQ25-05.033</t>
  </si>
  <si>
    <t>EBTAQ25-05.034</t>
  </si>
  <si>
    <t>EBTAQ25-05.035</t>
  </si>
  <si>
    <t>EBTAQ25-05.036</t>
  </si>
  <si>
    <t>EBTAQ25-05.037</t>
  </si>
  <si>
    <t>EBTAQ25-05.038</t>
  </si>
  <si>
    <t>EBTAQ25-05.039</t>
  </si>
  <si>
    <t>EBTAQ25-05.040</t>
  </si>
  <si>
    <t>EBTAQ25-05.041</t>
  </si>
  <si>
    <t>EBTAQ25-05.042</t>
  </si>
  <si>
    <t>EBTAQ25-05.043</t>
  </si>
  <si>
    <t>EBTAQ25-03.139</t>
  </si>
  <si>
    <t>No.</t>
  </si>
  <si>
    <t>ID Peserta</t>
  </si>
  <si>
    <t>Nama Lengkap</t>
  </si>
  <si>
    <t>L/P</t>
  </si>
  <si>
    <t>TEMPAT LAHIR</t>
  </si>
  <si>
    <t>TANGGAL LAHIR</t>
  </si>
  <si>
    <t>BIN</t>
  </si>
  <si>
    <t>BINTI</t>
  </si>
  <si>
    <t>Foto</t>
  </si>
  <si>
    <t>Asal Lembaga</t>
  </si>
  <si>
    <t>Kehadiran</t>
  </si>
  <si>
    <t>ACAK</t>
  </si>
  <si>
    <t>SOAL GRB</t>
  </si>
  <si>
    <t>BIO_Images/EBTAQ25-01.225.jpg</t>
  </si>
  <si>
    <t>BIO_Images/EBTAQ25-06.009.jpg</t>
  </si>
  <si>
    <t>BIO_Images/EBTAQ25-01.226.jpg</t>
  </si>
  <si>
    <t>BIO_Images/EBTAQ25-01.227.jpg</t>
  </si>
  <si>
    <t>BIO_Images/EBTAQ25-01.228.jpg</t>
  </si>
  <si>
    <t>BIO_Images/EBTAQ25-01.229.jpg</t>
  </si>
  <si>
    <t>BIO_Images/EBTAQ25-01.230.jpg</t>
  </si>
  <si>
    <t>BIO_Images/EBTAQ25-01.231.jpg</t>
  </si>
  <si>
    <t>BIO_Images/EBTAQ25-01.232.jpeg</t>
  </si>
  <si>
    <t>BIO_Images/EBTAQ25-01.233.jpg</t>
  </si>
  <si>
    <t>BIO_Images/EBTAQ25-01.234.jpeg</t>
  </si>
  <si>
    <t>BIO_Images/EBTAQ25-01.235.jpeg</t>
  </si>
  <si>
    <t>BIO_Images/EBTAQ25-01.236.jpg</t>
  </si>
  <si>
    <t>BIO_Images/EBTAQ25-01.237.jpg</t>
  </si>
  <si>
    <t>BIO_Images/EBTAQ25-01.238.jpg</t>
  </si>
  <si>
    <t>BIO_Images/EBTAQ25-01.239.jpg</t>
  </si>
  <si>
    <t>BIO_Images/EBTAQ25-01.240.jpg</t>
  </si>
  <si>
    <t>BIO_Images/EBTAQ25-01.241.jpg</t>
  </si>
  <si>
    <t>BIO_Images/EBTAQ25-01.242.jpeg</t>
  </si>
  <si>
    <t>BIO_Images/EBTAQ25-01.243.jpeg</t>
  </si>
  <si>
    <t>BIO_Images/EBTAQ25-01.244.jpeg</t>
  </si>
  <si>
    <t>BIO_Images/EBTAQ25-01.245.jpeg</t>
  </si>
  <si>
    <t>BIO_Images/EBTAQ25-01.246.jpg</t>
  </si>
  <si>
    <t>BIO_Images/EBTAQ25-01.247.jpeg</t>
  </si>
  <si>
    <t>BIO_Images/EBTAQ25-01.248.jpeg</t>
  </si>
  <si>
    <t>BIO_Images/EBTAQ25-03.046.jpg</t>
  </si>
  <si>
    <t>BIO_Images/EBTAQ25-03.047.jpg</t>
  </si>
  <si>
    <t>BIO_Images/EBTAQ25-03.048.jpg</t>
  </si>
  <si>
    <t>BIO_Images/EBTAQ25-03.049.jpg</t>
  </si>
  <si>
    <t>BIO_Images/EBTAQ25-01.249.jpeg</t>
  </si>
  <si>
    <t>BIO_Images/EBTAQ25-01.250.jpg</t>
  </si>
  <si>
    <t>BIO_Images/EBTAQ25-03.050.jpg</t>
  </si>
  <si>
    <t>BIO_Images/EBTAQ25-03.051.jpg</t>
  </si>
  <si>
    <t>BIO_Images/EBTAQ25-03.052.jpg</t>
  </si>
  <si>
    <t>BIO_Images/EBTAQ25-01.251.jpg</t>
  </si>
  <si>
    <t>BIO_Images/EBTAQ25-01.252.jpg</t>
  </si>
  <si>
    <t>BIO_Images/EBTAQ25-03.053.jpg</t>
  </si>
  <si>
    <t>BIO_Images/EBTAQ25-03.054.jpg</t>
  </si>
  <si>
    <t>BIO_Images/EBTAQ25-01.253.jpg</t>
  </si>
  <si>
    <t>BIO_Images/EBTAQ25-01.254.jpg</t>
  </si>
  <si>
    <t>BIO_Images/EBTAQ25-01.255.jpg</t>
  </si>
  <si>
    <t>BIO_Images/EBTAQ25-03.055.jpg</t>
  </si>
  <si>
    <t>BIO_Images/EBTAQ25-01.256.jpg</t>
  </si>
  <si>
    <t>BIO_Images/EBTAQ25-01.257.jpg</t>
  </si>
  <si>
    <t>BIO_Images/EBTAQ25-01.258.jpg</t>
  </si>
  <si>
    <t>BIO_Images/EBTAQ25-01.259.jpg</t>
  </si>
  <si>
    <t>BIO_Images/EBTAQ25-01.260.jpg</t>
  </si>
  <si>
    <t>BIO_Images/EBTAQ25-01.261.jpg</t>
  </si>
  <si>
    <t>BIO_Images/EBTAQ25-01.262.jpg</t>
  </si>
  <si>
    <t>BIO_Images/EBTAQ25-03.056.jpg</t>
  </si>
  <si>
    <t>BIO_Images/EBTAQ25-01.263.jpg</t>
  </si>
  <si>
    <t>BIO_Images/EBTAQ25-03.057.jpg</t>
  </si>
  <si>
    <t>BIO_Images/EBTAQ25-03.058.jpg</t>
  </si>
  <si>
    <t>BIO_Images/EBTAQ25-03.059.jpg</t>
  </si>
  <si>
    <t>BIO_Images/EBTAQ25-01.264.jpg</t>
  </si>
  <si>
    <t>BIO_Images/EBTAQ25-01.265.jpg</t>
  </si>
  <si>
    <t>BIO_Images/EBTAQ25-01.266.jpg</t>
  </si>
  <si>
    <t>BIO_Images/EBTAQ25-01.267.jpg</t>
  </si>
  <si>
    <t>BIO_Images/EBTAQ25-01.268.jpg</t>
  </si>
  <si>
    <t>BIO_Images/EBTAQ25-03.060.jpg</t>
  </si>
  <si>
    <t>BIO_Images/EBTAQ25-01.269.jpg</t>
  </si>
  <si>
    <t>BIO_Images/EBTAQ25-01.270.jpg</t>
  </si>
  <si>
    <t>BIO_Images/EBTAQ25-01.271.jpg</t>
  </si>
  <si>
    <t>BIO_Images/EBTAQ25-03.061.jpg</t>
  </si>
  <si>
    <t>BIO_Images/EBTAQ25-03.062.jpg</t>
  </si>
  <si>
    <t>BIO_Images/EBTAQ25-01.272.jpg</t>
  </si>
  <si>
    <t>BIO_Images/EBTAQ25-01.273.jpg</t>
  </si>
  <si>
    <t>BIO_Images/EBTAQ25-01.274.jpg</t>
  </si>
  <si>
    <t>BIO_Images/EBTAQ25-03.063.jpg</t>
  </si>
  <si>
    <t>BIO_Images/EBTAQ25-01.275.jpg</t>
  </si>
  <si>
    <t>BIO_Images/EBTAQ25-03.064.jpg</t>
  </si>
  <si>
    <t>BIO_Images/EBTAQ25-01.276.jpg</t>
  </si>
  <si>
    <t>BIO_Images/EBTAQ25-01.277.jpg</t>
  </si>
  <si>
    <t>BIO_Images/EBTAQ25-01.278.jpg</t>
  </si>
  <si>
    <t>BIO_Images/EBTAQ25-01.279.jpg</t>
  </si>
  <si>
    <t>BIO_Images/EBTAQ25-01.280.jpg</t>
  </si>
  <si>
    <t>BIO_Images/EBTAQ25-03.065.jpg</t>
  </si>
  <si>
    <t>BIO_Images/EBTAQ25-01.281.jpg</t>
  </si>
  <si>
    <t>BIO_Images/EBTAQ25-01.282.jpg</t>
  </si>
  <si>
    <t>BIO_Images/EBTAQ25-01.283.jpg</t>
  </si>
  <si>
    <t>BIO_Images/EBTAQ25-03.066.jpg</t>
  </si>
  <si>
    <t>BIO_Images/EBTAQ25-03.067.jpg</t>
  </si>
  <si>
    <t>BIO_Images/EBTAQ25-03.068.jpg</t>
  </si>
  <si>
    <t>BIO_Images/EBTAQ25-01.284.jpg</t>
  </si>
  <si>
    <t>BIO_Images/EBTAQ25-03.069.jpg</t>
  </si>
  <si>
    <t>BIO_Images/EBTAQ25-03.070.jpg</t>
  </si>
  <si>
    <t>BIO_Images/EBTAQ25-01.285.jpg</t>
  </si>
  <si>
    <t>BIO_Images/EBTAQ25-01.286.jpg</t>
  </si>
  <si>
    <t>BIO_Images/EBTAQ25-01.287.jpeg</t>
  </si>
  <si>
    <t>BIO_Images/EBTAQ25-03.071.jpg</t>
  </si>
  <si>
    <t>BIO_Images/EBTAQ25-01.288.jpg</t>
  </si>
  <si>
    <t>BIO_Images/EBTAQ25-01.289.jpeg</t>
  </si>
  <si>
    <t>BIO_Images/EBTAQ25-01.290.jpg</t>
  </si>
  <si>
    <t>BIO_Images/EBTAQ25-03.072.jpg</t>
  </si>
  <si>
    <t>BIO_Images/EBTAQ25-01.291.jpg</t>
  </si>
  <si>
    <t>BIO_Images/EBTAQ25-01.292.jpg</t>
  </si>
  <si>
    <t>BIO_Images/EBTAQ25-01.293.jpg</t>
  </si>
  <si>
    <t>BIO_Images/EBTAQ25-01.294.jpg</t>
  </si>
  <si>
    <t>BIO_Images/EBTAQ25-03.073.jpg</t>
  </si>
  <si>
    <t>BIO_Images/EBTAQ25-01.295.jpg</t>
  </si>
  <si>
    <t>BIO_Images/EBTAQ25-01.296.jpg</t>
  </si>
  <si>
    <t>BIO_Images/EBTAQ25-03.074.jpg</t>
  </si>
  <si>
    <t>BIO_Images/EBTAQ25-01.297.jpg</t>
  </si>
  <si>
    <t>BIO_Images/EBTAQ25-01.298.jpg</t>
  </si>
  <si>
    <t>BIO_Images/EBTAQ25-01.299.jpeg</t>
  </si>
  <si>
    <t>BIO_Images/EBTAQ25-01.300.jpeg</t>
  </si>
  <si>
    <t>BIO_Images/EBTAQ25-01.301.jpeg</t>
  </si>
  <si>
    <t>BIO_Images/EBTAQ25-01.302.jpg</t>
  </si>
  <si>
    <t>BIO_Images/EBTAQ25-03.075.jpg</t>
  </si>
  <si>
    <t>BIO_Images/EBTAQ25-01.303.jpg</t>
  </si>
  <si>
    <t>BIO_Images/EBTAQ25-01.304.jpeg</t>
  </si>
  <si>
    <t>BIO_Images/EBTAQ25-01.305.jpg</t>
  </si>
  <si>
    <t>BIO_Images/EBTAQ25-01.306.jpeg</t>
  </si>
  <si>
    <t>BIO_Images/EBTAQ25-03.076.jpg</t>
  </si>
  <si>
    <t>BIO_Images/EBTAQ25-01.307.jpg</t>
  </si>
  <si>
    <t>BIO_Images/EBTAQ25-01.308.jpeg</t>
  </si>
  <si>
    <t>BIO_Images/EBTAQ25-01.309.jpeg</t>
  </si>
  <si>
    <t>BIO_Images/EBTAQ25-03.077.jpg</t>
  </si>
  <si>
    <t>BIO_Images/EBTAQ25-01.310.jpg</t>
  </si>
  <si>
    <t>BIO_Images/EBTAQ25-03.078.jpg</t>
  </si>
  <si>
    <t>BIO_Images/EBTAQ25-03.079.jpg</t>
  </si>
  <si>
    <t>BIO_Images/EBTAQ25-03.080.jpg</t>
  </si>
  <si>
    <t>BIO_Images/EBTAQ25-03.081.jpg</t>
  </si>
  <si>
    <t>BIO_Images/EBTAQ25-03.082.jpg</t>
  </si>
  <si>
    <t>BIO_Images/EBTAQ25-03.083.jpg</t>
  </si>
  <si>
    <t>BIO_Images/EBTAQ25-03.084.jpg</t>
  </si>
  <si>
    <t>BIO_Images/EBTAQ25-01.311.jpg</t>
  </si>
  <si>
    <t>BIO_Images/EBTAQ25-01.312.jpg</t>
  </si>
  <si>
    <t>BIO_Images/EBTAQ25-01.313.jpg</t>
  </si>
  <si>
    <t>BIO_Images/EBTAQ25-01.314.jpg</t>
  </si>
  <si>
    <t>BIO_Images/EBTAQ25-01.315.jpg</t>
  </si>
  <si>
    <t>BIO_Images/EBTAQ25-01.316.jpg</t>
  </si>
  <si>
    <t>BIO_Images/EBTAQ25-01.317.jpg</t>
  </si>
  <si>
    <t>BIO_Images/EBTAQ25-03.085.jpg</t>
  </si>
  <si>
    <t>BIO_Images/EBTAQ25-01.318.jpg</t>
  </si>
  <si>
    <t>BIO_Images/EBTAQ25-01.319.jpg</t>
  </si>
  <si>
    <t>BIO_Images/EBTAQ25-01.320.jpg</t>
  </si>
  <si>
    <t>BIO_Images/EBTAQ25-01.321.jpg</t>
  </si>
  <si>
    <t>BIO_Images/EBTAQ25-01.322.jpg</t>
  </si>
  <si>
    <t>BIO_Images/EBTAQ25-01.323.jpg</t>
  </si>
  <si>
    <t>BIO_Images/EBTAQ25-01.324.jpg</t>
  </si>
  <si>
    <t>BIO_Images/EBTAQ25-01.325.jpg</t>
  </si>
  <si>
    <t>BIO_Images/EBTAQ25-01.326.jpg</t>
  </si>
  <si>
    <t>BIO_Images/EBTAQ25-03.086.jpeg</t>
  </si>
  <si>
    <t>BIO_Images/EBTAQ25-03.087.jpeg</t>
  </si>
  <si>
    <t>BIO_Images/EBTAQ25-03.088.jpeg</t>
  </si>
  <si>
    <t>BIO_Images/EBTAQ25-03.089.jpeg</t>
  </si>
  <si>
    <t>BIO_Images/EBTAQ25-03.090.jpeg</t>
  </si>
  <si>
    <t>BIO_Images/EBTAQ25-03.091.jpeg</t>
  </si>
  <si>
    <t>BIO_Images/EBTAQ25-03.092.jpeg</t>
  </si>
  <si>
    <t>BIO_Images/EBTAQ25-03.093.jpeg</t>
  </si>
  <si>
    <t>BIO_Images/EBTAQ25-01.327.jpg</t>
  </si>
  <si>
    <t>BIO_Images/EBTAQ25-03.094.jpeg</t>
  </si>
  <si>
    <t>BIO_Images/EBTAQ25-01.328.jpg</t>
  </si>
  <si>
    <t>BIO_Images/EBTAQ25-03.095.jpeg</t>
  </si>
  <si>
    <t>BIO_Images/EBTAQ25-01.329.jpg</t>
  </si>
  <si>
    <t>BIO_Images/EBTAQ25-01.330.jpg</t>
  </si>
  <si>
    <t>AQILA KIRANA PUTRI</t>
  </si>
  <si>
    <t>Mohamad Heriyanto</t>
  </si>
  <si>
    <t>Tuti Muryani</t>
  </si>
  <si>
    <t>BIO_Images/EBTAQ25-01.331.jpg</t>
  </si>
  <si>
    <t>EBTAQ25-01.332</t>
  </si>
  <si>
    <t>BMW - AL FALAH</t>
  </si>
  <si>
    <t>BMW - AL KHOIRIYAH</t>
  </si>
  <si>
    <t>BMW - AS-SA'IDIYYAH</t>
  </si>
  <si>
    <t>BMW - AZZUMUT</t>
  </si>
  <si>
    <t>BMW - DA'WATUL HAQ</t>
  </si>
  <si>
    <t>BMW - HIDAYATUL MUBTADIIN</t>
  </si>
  <si>
    <t>BMW - MATHOLIUL FALAH</t>
  </si>
  <si>
    <t>BMW - ROUDHOTUS SYIFA</t>
  </si>
  <si>
    <t>BMW - ROUDHOTUT THOLIBIN</t>
  </si>
  <si>
    <t>BMW - SUBULUSSALAM</t>
  </si>
  <si>
    <t>BMW - YANBU'UL QUR'AN</t>
  </si>
  <si>
    <t>Demak - KBIT RA FADHOILUSYUKRIYYAH</t>
  </si>
  <si>
    <t>Demak - SD BUQ</t>
  </si>
  <si>
    <t>Demak - TK BUQ</t>
  </si>
  <si>
    <t>Demak - TK QIROATI</t>
  </si>
  <si>
    <t>Demak - TK SULTAN FATAH</t>
  </si>
  <si>
    <t>Demak - TPQ AL FURQON</t>
  </si>
  <si>
    <t>Demak - TPQ ALFALAH</t>
  </si>
  <si>
    <t>Demak - TPQ ALMUSYARROFAH</t>
  </si>
  <si>
    <t>Demak - TPQ ALURWATULWUSTQO</t>
  </si>
  <si>
    <t>Demak - TPQ MUSLIMAT NU</t>
  </si>
  <si>
    <t>Demak - TPQ RAHMATULLAH</t>
  </si>
  <si>
    <t>Mranggen - AL HIDAYAH</t>
  </si>
  <si>
    <t>Mranggen - DARUL QUR'AN</t>
  </si>
  <si>
    <t>Mranggen - FUTUHIYYAH</t>
  </si>
  <si>
    <t>Mranggen - MADINATUL QUR'AN</t>
  </si>
  <si>
    <t>Mranggen - TPQ AL-KAUTSAR</t>
  </si>
  <si>
    <t>Mranggen - TPQ AL-MATIN</t>
  </si>
  <si>
    <t>Mranggen - TPQ DARUL FAROH</t>
  </si>
  <si>
    <t>Mranggen - TPQ KHUSNUL KHOTIMAH</t>
  </si>
  <si>
    <t>Mranggen - TPQ AL HIKAM</t>
  </si>
  <si>
    <t>Mranggen - TPQ AL IKHLAS</t>
  </si>
  <si>
    <t>DEWOKA - DARUSSALAM</t>
  </si>
  <si>
    <t>DEWOKA - LATANSA</t>
  </si>
  <si>
    <t>DEWOKA - NURUS SHIBYAN</t>
  </si>
  <si>
    <t>KORCAB - 01</t>
  </si>
  <si>
    <t>KORCAB - 02</t>
  </si>
  <si>
    <t>KORCAB - 03</t>
  </si>
  <si>
    <t>Buana - TPQ Valhala</t>
  </si>
  <si>
    <t>Demak - AR ROHMAH</t>
  </si>
  <si>
    <t>LEMBAGA</t>
  </si>
  <si>
    <t>EBTAQ25-01.064</t>
  </si>
  <si>
    <t>CHINTYA BUNGA SYAFI'I</t>
  </si>
  <si>
    <t>IMAM SYAFI'I</t>
  </si>
  <si>
    <t>SUSI NUR FARIDA</t>
  </si>
  <si>
    <t>BIO_Images/EBTAQ25-01.064 - Salin.jpg</t>
  </si>
  <si>
    <t>Hadir</t>
  </si>
  <si>
    <t>EBTAQ25-01.065</t>
  </si>
  <si>
    <t>FAEYZA AQILAH DEWI</t>
  </si>
  <si>
    <t>WIYONO</t>
  </si>
  <si>
    <t>DESIANA PUSPITA SARI</t>
  </si>
  <si>
    <t>BIO_Images/EBTAQ25-01.065 - Salin.jpg</t>
  </si>
  <si>
    <t>EBTAQ25-01.066</t>
  </si>
  <si>
    <t>DELISHA AQEELA HERDHETA</t>
  </si>
  <si>
    <t>KARANGANYAR</t>
  </si>
  <si>
    <t>HERI PANOTO</t>
  </si>
  <si>
    <t>DYAH FITASARI</t>
  </si>
  <si>
    <t>BIO_Images/EBTAQ25-01.066 - Salin.jpg</t>
  </si>
  <si>
    <t>EBTAQ25-01.067</t>
  </si>
  <si>
    <t>FATHIN ZUHRUFA HANTOYO PUTRI</t>
  </si>
  <si>
    <t>SISWANDONO HANTOYO PUTRO</t>
  </si>
  <si>
    <t>MUSYAROFAH</t>
  </si>
  <si>
    <t>BIO_Images/EBTAQ25-01.067 - Salin.jpg</t>
  </si>
  <si>
    <t>EBTAQ25-01.068</t>
  </si>
  <si>
    <t>NAJWA KHAIRA WILDA</t>
  </si>
  <si>
    <t>SRIYONO</t>
  </si>
  <si>
    <t>NOOR SHOFIA LASTE</t>
  </si>
  <si>
    <t>BIO_Images/EBTAQ25-01.068 - Salin.jpg</t>
  </si>
  <si>
    <t>EBTAQ25-01.069</t>
  </si>
  <si>
    <t>ANINDITA RAFA AZZAHRA</t>
  </si>
  <si>
    <t>SUGENG PRIYADI</t>
  </si>
  <si>
    <t>DIAN PUJI ASTUTI</t>
  </si>
  <si>
    <t>BIO_Images/EBTAQ25-01.069 - Salin.jpg</t>
  </si>
  <si>
    <t>EBTAQ25-01.014</t>
  </si>
  <si>
    <t>ABDURRAHMAN</t>
  </si>
  <si>
    <t>Trio Setiawan</t>
  </si>
  <si>
    <t>Mustaghfiroh</t>
  </si>
  <si>
    <t>BIO_Images/EBTAQ25-01.014 - Salin.jpg</t>
  </si>
  <si>
    <t>EBTAQ25-01.015</t>
  </si>
  <si>
    <t>ADE VINZA AL GHOZALI</t>
  </si>
  <si>
    <t>Yudi Danarto</t>
  </si>
  <si>
    <t>Miftakhul Jannah</t>
  </si>
  <si>
    <t>BIO_Images/EBTAQ25-01.015.Foto.031211 - Salin.jpg</t>
  </si>
  <si>
    <t>EBTAQ25-01.020</t>
  </si>
  <si>
    <t>MAUREENATA SYAKIRA RASTRA</t>
  </si>
  <si>
    <t>SOLIKIN</t>
  </si>
  <si>
    <t>VIBRIA LISTHA ISLAMICA</t>
  </si>
  <si>
    <t>BIO_Images/EBTAQ25-01.020.Foto.031345 - Salin.jpg</t>
  </si>
  <si>
    <t>EBTAQ25-01.021</t>
  </si>
  <si>
    <t>FIKO PUTRA MAHENDRA</t>
  </si>
  <si>
    <t>EKO PRIYANTO</t>
  </si>
  <si>
    <t>FITRI YUNITA SARI</t>
  </si>
  <si>
    <t>BIO_Images/EBTAQ25-01.021.Foto.031447 - Salin.jpg</t>
  </si>
  <si>
    <t>EBTAQ25-01.022</t>
  </si>
  <si>
    <t>RETNO ASTUTI DEWI</t>
  </si>
  <si>
    <t>TIGOR RAHMAN HAKIM</t>
  </si>
  <si>
    <t>WAHYU PUJI ASTUTI</t>
  </si>
  <si>
    <t>BIO_Images/EBTAQ25-01.022 - Salin.jpg</t>
  </si>
  <si>
    <t>EBTAQ25-01.023</t>
  </si>
  <si>
    <t>AUFAR FATIH EL MISHBAHI</t>
  </si>
  <si>
    <t>ALI ARIFIN</t>
  </si>
  <si>
    <t>UMI KUSRIYATI</t>
  </si>
  <si>
    <t>BIO_Images/EBTAQ25-01.023 - Salin.jpg</t>
  </si>
  <si>
    <t>EBTAQ25-01.024</t>
  </si>
  <si>
    <t>GRISELDA WAHYU FAIHA AZ ZAHRA</t>
  </si>
  <si>
    <t>SEMITO</t>
  </si>
  <si>
    <t>DARWATI</t>
  </si>
  <si>
    <t>BIO_Images/EBTAQ25-01.024.Foto.031556 - Salin.jpg</t>
  </si>
  <si>
    <t>EBTAQ25-01.025</t>
  </si>
  <si>
    <t>MUHAMMAD HAFIZ ULWI SAAD</t>
  </si>
  <si>
    <t>MUHAMMAD SAIFUL ANAM</t>
  </si>
  <si>
    <t>ULIYAWATI</t>
  </si>
  <si>
    <t>BIO_Images/EBTAQ25-01.025 - Salin.jpg</t>
  </si>
  <si>
    <t>EBTAQ25-01.026</t>
  </si>
  <si>
    <t>MUHAMMAD FAQIHUL MUQODDAM</t>
  </si>
  <si>
    <t>MUHAMMAD AZKA</t>
  </si>
  <si>
    <t>INAROTUR RISYDA</t>
  </si>
  <si>
    <t>BIO_Images/EBTAQ25-01.026.Foto.031636 - Salin.jpg</t>
  </si>
  <si>
    <t>EBTAQ25-01.027</t>
  </si>
  <si>
    <t>MUHAMMAD ABU KHADAFI</t>
  </si>
  <si>
    <t>ASHOEDI</t>
  </si>
  <si>
    <t>UUN SYARIFAH</t>
  </si>
  <si>
    <t>BIO_Images/EBTAQ25-01.027.Foto.031722 - Salin.jpg</t>
  </si>
  <si>
    <t>EBTAQ25-01.028</t>
  </si>
  <si>
    <t>LAILA SAFINNATUN NAJJAH</t>
  </si>
  <si>
    <t>YUSUP EKO DONO</t>
  </si>
  <si>
    <t>SRI NIYANTINI</t>
  </si>
  <si>
    <t>BIO_Images/EBTAQ25-01.028.Foto.031759 - Salin.jpg</t>
  </si>
  <si>
    <t>EBTAQ25-01.029</t>
  </si>
  <si>
    <t>ATHALETA AFSHEEN MYESHA RAHMA</t>
  </si>
  <si>
    <t>MOHAMMAD HAIZUN NIAM</t>
  </si>
  <si>
    <t>NURUL DAMAYANTI</t>
  </si>
  <si>
    <t>BIO_Images/EBTAQ25-01.029 - Salin.jpg</t>
  </si>
  <si>
    <t>EBTAQ25-01.030</t>
  </si>
  <si>
    <t>EMBUN FELITA AYU</t>
  </si>
  <si>
    <t>MUCHAMAD BASARI</t>
  </si>
  <si>
    <t>ERNI SETYOWATI</t>
  </si>
  <si>
    <t>BIO_Images/EBTAQ25-01.030 - Salin.jpg</t>
  </si>
  <si>
    <t>EBTAQ25-01.031</t>
  </si>
  <si>
    <t>CAMELIA QATRUNNADA QUINQUILLA</t>
  </si>
  <si>
    <t>IMAM HARYONO PUTRO</t>
  </si>
  <si>
    <t>JUJUK AYU SETYONINGSIH</t>
  </si>
  <si>
    <t>BIO_Images/EBTAQ25-01.031.Foto.031918 - Salin.jpg</t>
  </si>
  <si>
    <t>EBTAQ25-01.032</t>
  </si>
  <si>
    <t>MUHAMMAD FAIZ</t>
  </si>
  <si>
    <t>YUHRIYAH</t>
  </si>
  <si>
    <t>BIO_Images/EBTAQ25-01.032 - Salin.jpg</t>
  </si>
  <si>
    <t>EBTAQ25-01.033</t>
  </si>
  <si>
    <t>NILTA APRILIA WAHDA</t>
  </si>
  <si>
    <t>WAHID NADHIR</t>
  </si>
  <si>
    <t>LELY SOFIA WARDANI</t>
  </si>
  <si>
    <t>BIO_Images/EBTAQ25-01.033 - Salin.jpg</t>
  </si>
  <si>
    <t>EBTAQ25-01.034</t>
  </si>
  <si>
    <t>ALYA MUKHBITA</t>
  </si>
  <si>
    <t>TRIONO ASHARI</t>
  </si>
  <si>
    <t>KISMIYATI</t>
  </si>
  <si>
    <t>BIO_Images/EBTAQ25-01.034 - Salin.jpg</t>
  </si>
  <si>
    <t>EBTAQ25-01.035</t>
  </si>
  <si>
    <t>MUHAMMAD ARSYAD ABDULLAH</t>
  </si>
  <si>
    <t>ABDUL ZAENURI</t>
  </si>
  <si>
    <t>ZULAIKAH</t>
  </si>
  <si>
    <t>BIO_Images/EBTAQ25-01.035.Foto.031958 - Salin.jpg</t>
  </si>
  <si>
    <t>EBTAQ25-01.036</t>
  </si>
  <si>
    <t>NARENDRA DZAKY NAUFAL RABBANI</t>
  </si>
  <si>
    <t>AGUNG SUSTIYO</t>
  </si>
  <si>
    <t>SUSI SUGIYANTI</t>
  </si>
  <si>
    <t>BIO_Images/EBTAQ25-01.036 - Salin.jpg</t>
  </si>
  <si>
    <t>EBTAQ25-01.037</t>
  </si>
  <si>
    <t>AIRA MISHA ZALIKA</t>
  </si>
  <si>
    <t>GHOZALI</t>
  </si>
  <si>
    <t>ZULAIKHAH</t>
  </si>
  <si>
    <t>BIO_Images/EBTAQ25-01.037.Foto.032029 - Salin.jpg</t>
  </si>
  <si>
    <t>EBTAQ25-01.038</t>
  </si>
  <si>
    <t>SITI MAGHFIROH</t>
  </si>
  <si>
    <t>HARYADI</t>
  </si>
  <si>
    <t>ZULAEKHAH</t>
  </si>
  <si>
    <t>BIO_Images/EBTAQ25-01.038.Foto.032144 - Salin.jpg</t>
  </si>
  <si>
    <t>EBTAQ25-01.039</t>
  </si>
  <si>
    <t>MUHAMMAD RADITYA KURNIAWAN</t>
  </si>
  <si>
    <t>FERY ANDI SURYAWAN</t>
  </si>
  <si>
    <t>PURWATI</t>
  </si>
  <si>
    <t>BIO_Images/EBTAQ25-01.039 - Salin.jpg</t>
  </si>
  <si>
    <t>EBTAQ25-01.040</t>
  </si>
  <si>
    <t>ALIFA NAHDA SHAKILA</t>
  </si>
  <si>
    <t>MUSYAFA'</t>
  </si>
  <si>
    <t>SRI RIZKI</t>
  </si>
  <si>
    <t>BIO_Images/EBTAQ25-01.040 - Salin.jpg</t>
  </si>
  <si>
    <t>EBTAQ25-01.041</t>
  </si>
  <si>
    <t>NIA JAUHAROTA ROMADLONI</t>
  </si>
  <si>
    <t>SUNARTO</t>
  </si>
  <si>
    <t>ISTIKHOMAH</t>
  </si>
  <si>
    <t>BIO_Images/EBTAQ25-01.041.Foto.032219 - Salin.jpg</t>
  </si>
  <si>
    <t>EBTAQ25-01.042</t>
  </si>
  <si>
    <t>MUHAMMAD MAULIDAN AKBAR</t>
  </si>
  <si>
    <t>MUHAMAT TAUCHIT</t>
  </si>
  <si>
    <t>SUSILOWATI</t>
  </si>
  <si>
    <t>BIO_Images/EBTAQ25-01.042.Foto.032258 - Salin.jpg</t>
  </si>
  <si>
    <t>EBTAQ25-01.043</t>
  </si>
  <si>
    <t>CELENA ALMIRA</t>
  </si>
  <si>
    <t>ARIF SETYO WINDARTO</t>
  </si>
  <si>
    <t>IKA YUNIAWATI</t>
  </si>
  <si>
    <t>BIO_Images/EBTAQ25-01.043 - Salin.jpg</t>
  </si>
  <si>
    <t>EBTAQ25-01.044</t>
  </si>
  <si>
    <t>MUHAMMAD FARID ASSYRAAF</t>
  </si>
  <si>
    <t>MUHAMMAD MUHLISIN</t>
  </si>
  <si>
    <t>NITA KHOIRUM LISA</t>
  </si>
  <si>
    <t>BIO_Images/EBTAQ25-01.044 - Salin.jpg</t>
  </si>
  <si>
    <t>EBTAQ25-01.045</t>
  </si>
  <si>
    <t>EL SHIFA AUNI MARYAM</t>
  </si>
  <si>
    <t>SYAIFUDIN</t>
  </si>
  <si>
    <t>ERVI DIAN MAYASARI</t>
  </si>
  <si>
    <t>BIO_Images/EBTAQ25-01.045 - Salin.jpg</t>
  </si>
  <si>
    <t>EBTAQ25-01.046</t>
  </si>
  <si>
    <t>AZKADINA AYRA ANAM</t>
  </si>
  <si>
    <t>WAHID KHAERUL ANAM</t>
  </si>
  <si>
    <t>JUNARTI</t>
  </si>
  <si>
    <t>BIO_Images/EBTAQ25-01.046 - Salin.jpg</t>
  </si>
  <si>
    <t>EBTAQ25-01.047</t>
  </si>
  <si>
    <t>AHMAD DUWI ALFATAH</t>
  </si>
  <si>
    <t>HENI ISTIANA</t>
  </si>
  <si>
    <t>BIO_Images/EBTAQ25-01.047 - Salin.jpg</t>
  </si>
  <si>
    <t>EBTAQ25-01.048</t>
  </si>
  <si>
    <t>AHMAD IKA ASYAHIDIN</t>
  </si>
  <si>
    <t>BIO_Images/EBTAQ25-01.048 - Salin.jpg</t>
  </si>
  <si>
    <t>EBTAQ25-01.049</t>
  </si>
  <si>
    <t>ARKANA HAMIZAN RAHMADIANTO</t>
  </si>
  <si>
    <t>ARI WIDIANTO</t>
  </si>
  <si>
    <t>NOVI RAHMAWATI</t>
  </si>
  <si>
    <t>BIO_Images/EBTAQ25-01.049 - Salin.jpg</t>
  </si>
  <si>
    <t>EBTAQ25-01.057</t>
  </si>
  <si>
    <t>ARSYILA TSABITA SHIFWA</t>
  </si>
  <si>
    <t>AGUS PURNOMO</t>
  </si>
  <si>
    <t>LUTFA UMAMI</t>
  </si>
  <si>
    <t>BIO_Images/EBTAQ25-01.057 - Salin.jpg</t>
  </si>
  <si>
    <t>EBTAQ25-01.063</t>
  </si>
  <si>
    <t>BUNAYYA AKHTAR IBAD</t>
  </si>
  <si>
    <t>ATIQULLAH</t>
  </si>
  <si>
    <t>CHASANATUL IMAMA</t>
  </si>
  <si>
    <t>BIO_Images/EBTAQ25-01.063 - Salin.jpg</t>
  </si>
  <si>
    <t>EBTAQ25-01.075</t>
  </si>
  <si>
    <t>DAFFA MUHAMMAD HAFIDZ</t>
  </si>
  <si>
    <t>YANTO</t>
  </si>
  <si>
    <t>KHOERUM MUZAYYINAH</t>
  </si>
  <si>
    <t>BIO_Images/EBTAQ25-01.075 - Salin.jpg</t>
  </si>
  <si>
    <t>EBTAQ25-01.059</t>
  </si>
  <si>
    <t>DYAH APRILIANI</t>
  </si>
  <si>
    <t>SUDARTO</t>
  </si>
  <si>
    <t>FATNAWATI</t>
  </si>
  <si>
    <t>BIO_Images/EBTAQ25-01.059 - Salin.jpg</t>
  </si>
  <si>
    <t>EBTAQ25-01.050</t>
  </si>
  <si>
    <t>ERINA ZENIA</t>
  </si>
  <si>
    <t>MOCH ARIFIN</t>
  </si>
  <si>
    <t>AINUR RAHMAN HIDAYATI</t>
  </si>
  <si>
    <t>BIO_Images/EBTAQ25-01.050.Foto.032339 - Salin.jpg</t>
  </si>
  <si>
    <t>EBTAQ25-01.058</t>
  </si>
  <si>
    <t>HAFIZA KHAIRA ZILFA YAHYA</t>
  </si>
  <si>
    <t>MUH. YANIS YAHYA</t>
  </si>
  <si>
    <t>NAFISATUL KIYASAH</t>
  </si>
  <si>
    <t>BIO_Images/EBTAQ25-01.058 - Salin.jpg</t>
  </si>
  <si>
    <t>EBTAQ25-01.054</t>
  </si>
  <si>
    <t>HAYDAR ALY</t>
  </si>
  <si>
    <t>BUDI SUYANTO</t>
  </si>
  <si>
    <t>KURNIASIH MEILINA</t>
  </si>
  <si>
    <t>BIO_Images/EBTAQ25-01.054 - Salin.jpg</t>
  </si>
  <si>
    <t>EBTAQ25-01.052</t>
  </si>
  <si>
    <t>HENDRA EGA AFLAH</t>
  </si>
  <si>
    <t>ZUBAEDI</t>
  </si>
  <si>
    <t>ROKHMATUN</t>
  </si>
  <si>
    <t>BIO_Images/EBTAQ25-01.052 - Salin.jpg</t>
  </si>
  <si>
    <t>EBTAQ25-01.053</t>
  </si>
  <si>
    <t>JIHAN TALITA NAURA</t>
  </si>
  <si>
    <t>NUR ROHMAN</t>
  </si>
  <si>
    <t>RETNO WATI</t>
  </si>
  <si>
    <t>BIO_Images/EBTAQ25-01.053 - Salin.jpg</t>
  </si>
  <si>
    <t>EBTAQ25-01.016</t>
  </si>
  <si>
    <t>KALILA HANA ADI SALSABILA</t>
  </si>
  <si>
    <t>NUR PRATOMO ADI BINTORO</t>
  </si>
  <si>
    <t>MASRIFAH</t>
  </si>
  <si>
    <t>BIO_Images/EBTAQ25-01.016.Foto.000202 - Salin.jpg</t>
  </si>
  <si>
    <t>EBTAQ25-01.061</t>
  </si>
  <si>
    <t>KAMILA ZAHIRA</t>
  </si>
  <si>
    <t>MOHAMAD NIAM</t>
  </si>
  <si>
    <t>MUKHAMIMAH</t>
  </si>
  <si>
    <t>BIO_Images/EBTAQ25-01.061 - Salin.jpg</t>
  </si>
  <si>
    <t>EBTAQ25-01.062</t>
  </si>
  <si>
    <t>KAYLA FAIRUZ HERFA PUTRI</t>
  </si>
  <si>
    <t>HERU SISWANTO</t>
  </si>
  <si>
    <t>ZURIYAH ULFAH</t>
  </si>
  <si>
    <t>BIO_Images/EBTAQ25-01.062 - Salin.jpg</t>
  </si>
  <si>
    <t>EBTAQ25-01.056</t>
  </si>
  <si>
    <t>MIRZA BAKHTIAR FADHILAH</t>
  </si>
  <si>
    <t>SHOFIYULLAH</t>
  </si>
  <si>
    <t>SUPRIYATIN</t>
  </si>
  <si>
    <t>BIO_Images/EBTAQ25-01.056 - Salin.jpg</t>
  </si>
  <si>
    <t>EBTAQ25-01.077</t>
  </si>
  <si>
    <t>MUHAMMAD ANIQ AMRULLAH</t>
  </si>
  <si>
    <t>Sardi</t>
  </si>
  <si>
    <t>Siti Sa'adah</t>
  </si>
  <si>
    <t>BIO_Images/EBTAQ25-01.077aniq - aisya tasyamura - Salin.jpg</t>
  </si>
  <si>
    <t>EBTAQ25-01.060</t>
  </si>
  <si>
    <t>MUHAMMAD ARSEN AQILA ARKHAN</t>
  </si>
  <si>
    <t>AGUS PRIYONO</t>
  </si>
  <si>
    <t>SOFIAH MAULIDA</t>
  </si>
  <si>
    <t>BIO_Images/EBTAQ25-01.060 - Salin.jpg</t>
  </si>
  <si>
    <t>EBTAQ25-01.072</t>
  </si>
  <si>
    <t>MUHAMMAD DAFFA AZZAMA</t>
  </si>
  <si>
    <t>ABDULLAH ZAINURI</t>
  </si>
  <si>
    <t>SITI MUTHOHAROH</t>
  </si>
  <si>
    <t>BIO_Images/EBTAQ25-01.072 - Salin.jpg</t>
  </si>
  <si>
    <t>EBTAQ25-01.110</t>
  </si>
  <si>
    <t>MUHAMMAD SYAHID HASAN</t>
  </si>
  <si>
    <t>Didik Hariyanto</t>
  </si>
  <si>
    <t>Mawasti Supraptining Hiyun</t>
  </si>
  <si>
    <t>BIO_Images/EBTAQ25-01.110hasan - aisya tasyamura - Salin.jpg</t>
  </si>
  <si>
    <t>EBTAQ25-01.055</t>
  </si>
  <si>
    <t>NAILA MUAZARA HANIFA</t>
  </si>
  <si>
    <t>MERAUKE</t>
  </si>
  <si>
    <t>MUHAMAD KANAFI</t>
  </si>
  <si>
    <t>LIA ITAFIA</t>
  </si>
  <si>
    <t>BIO_Images/EBTAQ25-01.055 - Salin.jpg</t>
  </si>
  <si>
    <t>EBTAQ25-01.074</t>
  </si>
  <si>
    <t>NAWAWI AHMAD</t>
  </si>
  <si>
    <t>AHMAD SAEFULLAH</t>
  </si>
  <si>
    <t>BIO_Images/EBTAQ25-01.074 - Salin.jpg</t>
  </si>
  <si>
    <t>EBTAQ25-01.073</t>
  </si>
  <si>
    <t>NISA USANIAH</t>
  </si>
  <si>
    <t>MUHAMMAD BUDI</t>
  </si>
  <si>
    <t>KHOIRIYAH</t>
  </si>
  <si>
    <t>BIO_Images/EBTAQ25-01.073 - Salin.jpg</t>
  </si>
  <si>
    <t>EBTAQ25-01.051</t>
  </si>
  <si>
    <t>PUTRI HIDAYAH NUR'AINI</t>
  </si>
  <si>
    <t>WAWAN KURNIAWAN</t>
  </si>
  <si>
    <t>NUR AFIFCHA APRILIANAWATI</t>
  </si>
  <si>
    <t>BIO_Images/EBTAQ25-01.051 - Salin.jpg</t>
  </si>
  <si>
    <t>EBTAQ25-01.070</t>
  </si>
  <si>
    <t>PUTRI NUR LATIFAH</t>
  </si>
  <si>
    <t>SUBADI</t>
  </si>
  <si>
    <t>NUR KOMARIAH</t>
  </si>
  <si>
    <t>BIO_Images/EBTAQ25-01.070.Foto.000229 - Salin.jpg</t>
  </si>
  <si>
    <t>EBTAQ25-01.076</t>
  </si>
  <si>
    <t>YUMNA FARIHA</t>
  </si>
  <si>
    <t>EKO SETYAWAN</t>
  </si>
  <si>
    <t>TRI INDRIYANI</t>
  </si>
  <si>
    <t>BIO_Images/EBTAQ25-01.076 - Salin.jpg</t>
  </si>
  <si>
    <t>EBTAQ25-01.009</t>
  </si>
  <si>
    <t>ALIKA NURIS SURAIDA</t>
  </si>
  <si>
    <t>Ali Mujiono</t>
  </si>
  <si>
    <t>Solikhatun</t>
  </si>
  <si>
    <t>BIO_Images/EBTAQ25-01.009 - Salin.jpg</t>
  </si>
  <si>
    <t>EBTAQ25-01.012</t>
  </si>
  <si>
    <t>FALICHAH NAJLAA</t>
  </si>
  <si>
    <t>Toni Dwijayanto</t>
  </si>
  <si>
    <t>Erma puji Astutik</t>
  </si>
  <si>
    <t>BIO_Images/EBTAQ25-01.012 - Salin.jpg</t>
  </si>
  <si>
    <t>EBTAQ25-01.006</t>
  </si>
  <si>
    <t>FATIH ILHAM AZZA</t>
  </si>
  <si>
    <t>Puji Santoso</t>
  </si>
  <si>
    <t>Siti Fatimah</t>
  </si>
  <si>
    <t>BIO_Images/EBTAQ25-01.006 - Salin.jpg</t>
  </si>
  <si>
    <t>EBTAQ25-01.109</t>
  </si>
  <si>
    <t>HAFIDZ SANDI ALFREDO</t>
  </si>
  <si>
    <t>Suhartadi</t>
  </si>
  <si>
    <t>Uswatun khasanah</t>
  </si>
  <si>
    <t>BIO_Images/EBTAQ25-01.109 - Salin.jpg</t>
  </si>
  <si>
    <t>EBTAQ25-01.008</t>
  </si>
  <si>
    <t>JIHAN MAYDINA RIZKYAH</t>
  </si>
  <si>
    <t>Mohamad Ridwan</t>
  </si>
  <si>
    <t>Bekti Abdi Peni</t>
  </si>
  <si>
    <t>BIO_Images/EBTAQ25-01.008 - Salin.jpg</t>
  </si>
  <si>
    <t>EBTAQ25-01.013</t>
  </si>
  <si>
    <t>KHOIRUN NISA</t>
  </si>
  <si>
    <t>Adi Cahya Utama</t>
  </si>
  <si>
    <t>Linda Dwi Pramana</t>
  </si>
  <si>
    <t>BIO_Images/EBTAQ25-01.013 - Salin.jpg</t>
  </si>
  <si>
    <t>EBTAQ25-01.004</t>
  </si>
  <si>
    <t>MEINANDA ALTHAFUNNISA</t>
  </si>
  <si>
    <t>Agus Nur Wakid Eksan</t>
  </si>
  <si>
    <t>Anis Rohmiyatun</t>
  </si>
  <si>
    <t>BIO_Images/EBTAQ25-01.004 - Salin.jpg</t>
  </si>
  <si>
    <t>EBTAQ25-01.007</t>
  </si>
  <si>
    <t>MUHAMMAD ARFAN AL-GHIFARI</t>
  </si>
  <si>
    <t>Willi Bagus Nurtanto</t>
  </si>
  <si>
    <t>Anna Khoirun Nisyak</t>
  </si>
  <si>
    <t>BIO_Images/EBTAQ25-01.007 - Salin.jpg</t>
  </si>
  <si>
    <t>EBTAQ25-01.002</t>
  </si>
  <si>
    <t>MUHAMMAD IBROOHIM ZUHAILI</t>
  </si>
  <si>
    <t>Ali Turmuzi</t>
  </si>
  <si>
    <t>Fitri Nur Aini</t>
  </si>
  <si>
    <t>BIO_Images/EBTAQ25-01.002 - Salin.jpg</t>
  </si>
  <si>
    <t>EBTAQ25-01.003</t>
  </si>
  <si>
    <t>MUHAMMAD STEVANO ABYAN PRATAMA</t>
  </si>
  <si>
    <t>Abdi Manaf</t>
  </si>
  <si>
    <t>Wahyu Purwaningsih</t>
  </si>
  <si>
    <t>BIO_Images/EBTAQ25-01.003 - Salin.jpg</t>
  </si>
  <si>
    <t>EBTAQ25-01.005</t>
  </si>
  <si>
    <t>NAILIL ASHFA AL-MAIMUN</t>
  </si>
  <si>
    <t>Suharsono</t>
  </si>
  <si>
    <t>Tri Wahyu Ningsih</t>
  </si>
  <si>
    <t>BIO_Images/EBTAQ25-01.005 - Salin.jpg</t>
  </si>
  <si>
    <t>EBTAQ25-01.011</t>
  </si>
  <si>
    <t>Dwi Kustiyono</t>
  </si>
  <si>
    <t>Minggun Alfia</t>
  </si>
  <si>
    <t>BIO_Images/EBTAQ25-01.011 - Salin.jpg</t>
  </si>
  <si>
    <t>EBTAQ25-01.010</t>
  </si>
  <si>
    <t>YALINA BARI'AH KHAIRUNNISA</t>
  </si>
  <si>
    <t>Ali Masykuri</t>
  </si>
  <si>
    <t>Sunarti</t>
  </si>
  <si>
    <t>BIO_Images/EBTAQ25-01.010 - Salin.jpg</t>
  </si>
  <si>
    <t>EBTAQ25-01.101</t>
  </si>
  <si>
    <t>MUHAMMAD FAIQUL MUTTAQI</t>
  </si>
  <si>
    <t>Rohmadun</t>
  </si>
  <si>
    <t>Dindianah</t>
  </si>
  <si>
    <t>BIO_Images/EBTAQ25-01.101 - Salin.jpg</t>
  </si>
  <si>
    <t>EBTAQ25-01.102</t>
  </si>
  <si>
    <t>MUHAMMAD NAUFAL ARDANI</t>
  </si>
  <si>
    <t>Wiwik Setianingsih</t>
  </si>
  <si>
    <t>BIO_Images/EBTAQ25-01.102 - Salin.jpg</t>
  </si>
  <si>
    <t>EBTAQ25-01.103</t>
  </si>
  <si>
    <t>AISYAH NUR RAHMA</t>
  </si>
  <si>
    <t>Taufikurokhim</t>
  </si>
  <si>
    <t>Nurul Asriyah</t>
  </si>
  <si>
    <t>BIO_Images/EBTAQ25-01.103 - Salin.jpg</t>
  </si>
  <si>
    <t>EBTAQ25-01.104</t>
  </si>
  <si>
    <t>INAYA AZMI FAUZIA</t>
  </si>
  <si>
    <t>Muhamad Faozan</t>
  </si>
  <si>
    <t>Ika Kustanti</t>
  </si>
  <si>
    <t>BIO_Images/EBTAQ25-01.104 - Salin.jpg</t>
  </si>
  <si>
    <t>EBTAQ25-01.106</t>
  </si>
  <si>
    <t>KEYSA AQILA AUNI HANDOYO</t>
  </si>
  <si>
    <t>Eko Handoyo</t>
  </si>
  <si>
    <t>Tri Utami</t>
  </si>
  <si>
    <t>BIO_Images/EBTAQ25-01.106 - Salin.jpg</t>
  </si>
  <si>
    <t>EBTAQ25-01.107</t>
  </si>
  <si>
    <t>PUTRI ANGGRAINI AZZAHRA</t>
  </si>
  <si>
    <t>Musyafak</t>
  </si>
  <si>
    <t>Alfiyatun Nurhidayah</t>
  </si>
  <si>
    <t>BIO_Images/EBTAQ25-01.107 - Salin.jpg</t>
  </si>
  <si>
    <t>EBTAQ25-01.105</t>
  </si>
  <si>
    <t>SIDQIA AZZANA</t>
  </si>
  <si>
    <t>Nur Aziz</t>
  </si>
  <si>
    <t>Kasifun Nikmah</t>
  </si>
  <si>
    <t>BIO_Images/EBTAQ25-01.105 - Salin.jpg</t>
  </si>
  <si>
    <t>EBTAQ25-01.108</t>
  </si>
  <si>
    <t>VIOLA ZENOBIA WAHYUDI</t>
  </si>
  <si>
    <t>Alim Wahyudi</t>
  </si>
  <si>
    <t>Ana Iswatun Hasanah</t>
  </si>
  <si>
    <t>BIO_Images/EBTAQ25-01.108 - Salin.jpg</t>
  </si>
  <si>
    <t>EBTAQ25-01.097</t>
  </si>
  <si>
    <t>AHMAD ABRISAM ABBASY</t>
  </si>
  <si>
    <t>Mustaghfirin</t>
  </si>
  <si>
    <t>Destriana Permatasari Artono</t>
  </si>
  <si>
    <t>BIO_Images/EBTAQ25-01.097 - Salin.jpg</t>
  </si>
  <si>
    <t>EBTAQ25-01.095</t>
  </si>
  <si>
    <t>AHMAD ZIDAN ZULFANI</t>
  </si>
  <si>
    <t>Misbachul Ulum</t>
  </si>
  <si>
    <t>BIO_Images/EBTAQ25-01.095 - Salin.jpg</t>
  </si>
  <si>
    <t>Izin</t>
  </si>
  <si>
    <t>EBTAQ25-01.071</t>
  </si>
  <si>
    <t>ATHAYA DANIESHA PRASETYO</t>
  </si>
  <si>
    <t>Rizki Prasetyo Adikusumo</t>
  </si>
  <si>
    <t>Pipit Noviarini</t>
  </si>
  <si>
    <t>BIO_Images/EBTAQ25-01.071 - Salin.jpg</t>
  </si>
  <si>
    <t>EBTAQ25-01.099</t>
  </si>
  <si>
    <t>FIKA INDRIYANI</t>
  </si>
  <si>
    <t>Nurohmanto</t>
  </si>
  <si>
    <t>Pitriyati</t>
  </si>
  <si>
    <t>BIO_Images/EBTAQ25-01.099 - Salin.jpg</t>
  </si>
  <si>
    <t>EBTAQ25-01.096</t>
  </si>
  <si>
    <t>MUHAMMAD IQBAL MAULANA SYAFANA DWI PUTRA</t>
  </si>
  <si>
    <t>Ahmad Musyafak</t>
  </si>
  <si>
    <t>Rahma Khoirun Nisa</t>
  </si>
  <si>
    <t>BIO_Images/EBTAQ25-01.096 - Salin.jpg</t>
  </si>
  <si>
    <t>EBTAQ25-01.098</t>
  </si>
  <si>
    <t>ROBBY MAULANA</t>
  </si>
  <si>
    <t>Tambah Tukul</t>
  </si>
  <si>
    <t>Suryani Nur</t>
  </si>
  <si>
    <t>BIO_Images/EBTAQ25-01.098 - Salin.jpg</t>
  </si>
  <si>
    <t>EBTAQ25-01.090</t>
  </si>
  <si>
    <t>ADIBA FAIRUS KHUMAIRA</t>
  </si>
  <si>
    <t>Sujono</t>
  </si>
  <si>
    <t>BIO_Images/EBTAQ25-01.090 - Salin.jpg</t>
  </si>
  <si>
    <t>EBTAQ25-01.082</t>
  </si>
  <si>
    <t>AIDA MUFIDATUL IFADA</t>
  </si>
  <si>
    <t>Supoyo</t>
  </si>
  <si>
    <t>Regiwati</t>
  </si>
  <si>
    <t>BIO_Images/EBTAQ25-01.082 - Salin.jpg</t>
  </si>
  <si>
    <t>EBTAQ25-01.084</t>
  </si>
  <si>
    <t>AUFAR WAFI ASYARI</t>
  </si>
  <si>
    <t>Ahmad Mawahib</t>
  </si>
  <si>
    <t>Asriyah</t>
  </si>
  <si>
    <t>BIO_Images/EBTAQ25-01.084 - Salin.jpg</t>
  </si>
  <si>
    <t>EBTAQ25-01.088</t>
  </si>
  <si>
    <t>DAFFA KHOIRUL ANWAR</t>
  </si>
  <si>
    <t>Budi Supriyono</t>
  </si>
  <si>
    <t>Fita Suryani</t>
  </si>
  <si>
    <t>BIO_Images/EBTAQ25-01.088 - Salin.jpg</t>
  </si>
  <si>
    <t>EBTAQ25-01.091</t>
  </si>
  <si>
    <t>HUSNA NAYLIL MUNA</t>
  </si>
  <si>
    <t>Haris Setiawan</t>
  </si>
  <si>
    <t>Sofiyatun</t>
  </si>
  <si>
    <t>BIO_Images/EBTAQ25-01.091 - Salin.jpg</t>
  </si>
  <si>
    <t>EBTAQ25-01.087</t>
  </si>
  <si>
    <t>IDAM QOLHID</t>
  </si>
  <si>
    <t>Usman Hasim</t>
  </si>
  <si>
    <t>Iin listiyowati</t>
  </si>
  <si>
    <t>BIO_Images/EBTAQ25-01.087 - Salin.jpg</t>
  </si>
  <si>
    <t>EBTAQ25-01.093</t>
  </si>
  <si>
    <t>KAILA MAHYA FAHRANA</t>
  </si>
  <si>
    <t>Nanang Prasetya</t>
  </si>
  <si>
    <t>Sundari Fatmawati</t>
  </si>
  <si>
    <t>BIO_Images/EBTAQ25-01.093 - Salin.jpg</t>
  </si>
  <si>
    <t>EBTAQ25-01.079</t>
  </si>
  <si>
    <t>LATHIFAH LAILATUL HUSNA</t>
  </si>
  <si>
    <t>Siti cholidah</t>
  </si>
  <si>
    <t>BIO_Images/EBTAQ25-01.079 - Salin.jpg</t>
  </si>
  <si>
    <t>EBTAQ25-01.089</t>
  </si>
  <si>
    <t>MAULIDA SILVIA FANYA FAULINA</t>
  </si>
  <si>
    <t>Nuryanto</t>
  </si>
  <si>
    <t>Nur Rohmah</t>
  </si>
  <si>
    <t>BIO_Images/EBTAQ25-01.089 - Salin.jpg</t>
  </si>
  <si>
    <t>EBTAQ25-01.092</t>
  </si>
  <si>
    <t>MIRZA FIRAS ALZAMI AFNAN</t>
  </si>
  <si>
    <t>Merauke</t>
  </si>
  <si>
    <t>Haristanto</t>
  </si>
  <si>
    <t>Layin Natusyifa</t>
  </si>
  <si>
    <t>BIO_Images/EBTAQ25-01.092 - Salin.jpg</t>
  </si>
  <si>
    <t>EBTAQ25-01.086</t>
  </si>
  <si>
    <t>MUTIARA KASIH ANANDA SALIHA</t>
  </si>
  <si>
    <t>Sudono</t>
  </si>
  <si>
    <t>Sukarmi</t>
  </si>
  <si>
    <t>BIO_Images/EBTAQ25-01.086 - Salin.jpg</t>
  </si>
  <si>
    <t>EBTAQ25-01.094</t>
  </si>
  <si>
    <t>NADZIFATUL KHASANAH</t>
  </si>
  <si>
    <t>Murian</t>
  </si>
  <si>
    <t>Dewi Wahyuni</t>
  </si>
  <si>
    <t>BIO_Images/EBTAQ25-01.094 - Salin.jpg</t>
  </si>
  <si>
    <t>EBTAQ25-01.078</t>
  </si>
  <si>
    <t>NAEXKINUN NAFISATI</t>
  </si>
  <si>
    <t>Daryanto</t>
  </si>
  <si>
    <t>Sugiyanti</t>
  </si>
  <si>
    <t>BIO_Images/EBTAQ25-01.078 - Salin.jpg</t>
  </si>
  <si>
    <t>EBTAQ25-01.085</t>
  </si>
  <si>
    <t>NUR WAHYU FATIMAH</t>
  </si>
  <si>
    <t>Zuhroni</t>
  </si>
  <si>
    <t>Siti kusmiah</t>
  </si>
  <si>
    <t>BIO_Images/EBTAQ25-01.085 - Salin.jpg</t>
  </si>
  <si>
    <t>EBTAQ25-01.081</t>
  </si>
  <si>
    <t>RAHMATUL AZZAM HIDAYAT</t>
  </si>
  <si>
    <t>Purdiya lestari</t>
  </si>
  <si>
    <t>BIO_Images/EBTAQ25-01.081 - Salin.jpg</t>
  </si>
  <si>
    <t>EBTAQ25-01.080</t>
  </si>
  <si>
    <t>SALMA SAKINATUN NUHA</t>
  </si>
  <si>
    <t>Sukarno</t>
  </si>
  <si>
    <t>Sri wati</t>
  </si>
  <si>
    <t>BIO_Images/EBTAQ25-01.080 - Salin.jpg</t>
  </si>
  <si>
    <t>AHMAD YUSUF SULAIMANUS SHOTY</t>
  </si>
  <si>
    <t>AHMAD SODIK</t>
  </si>
  <si>
    <t>ETY AZIZAH</t>
  </si>
  <si>
    <t>BIO_Images/EBTAQ25-03.008.Foto.142952.jpg</t>
  </si>
  <si>
    <t>DEWOKA - Darussalam</t>
  </si>
  <si>
    <t>ANNISA NURUL LATHIFAH</t>
  </si>
  <si>
    <t>SITI SOLEKAH</t>
  </si>
  <si>
    <t>BIO_Images/EBTAQ25-03.003.Foto.145646.jpg</t>
  </si>
  <si>
    <t>AQILA NADA FITRIANI</t>
  </si>
  <si>
    <t>SUSANTO</t>
  </si>
  <si>
    <t>BIO_Images/EBTAQ25-03.001.Foto.153653.jpg</t>
  </si>
  <si>
    <t>DIRHA SABILATUL HIBA TESAU ZANA</t>
  </si>
  <si>
    <t>DUL KODIR</t>
  </si>
  <si>
    <t>SUHARNI</t>
  </si>
  <si>
    <t>BIO_Images/EBTAQ25-03.009.Foto.153727.jpg</t>
  </si>
  <si>
    <t>Mengundurkan Diri</t>
  </si>
  <si>
    <t>HILYATUL AULIA</t>
  </si>
  <si>
    <t>SUBAKIR</t>
  </si>
  <si>
    <t>MUTH MAINNAH</t>
  </si>
  <si>
    <t>BIO_Images/EBTAQ25-03.005.Foto.153743.jpg</t>
  </si>
  <si>
    <t>MUHAMMAD ZIDAN AL FARIZ</t>
  </si>
  <si>
    <t>ROMHADI</t>
  </si>
  <si>
    <t>SITI AMINAH</t>
  </si>
  <si>
    <t>BIO_Images/EBTAQ25-03.010.Foto.142932.jpg</t>
  </si>
  <si>
    <t>NABIL NAJMI AL GHIFARI</t>
  </si>
  <si>
    <t>AHMAD MIQDAT</t>
  </si>
  <si>
    <t>ZIDATUL UMROH</t>
  </si>
  <si>
    <t>BIO_Images/EBTAQ25-03.007.Foto.142942.jpg</t>
  </si>
  <si>
    <t>NAJWA ZAHROTUN NISA</t>
  </si>
  <si>
    <t>SUHARNO</t>
  </si>
  <si>
    <t>ULUL ULFA</t>
  </si>
  <si>
    <t>BIO_Images/EBTAQ25-03.002.Foto.153802.jpg</t>
  </si>
  <si>
    <t>Sakit</t>
  </si>
  <si>
    <t>NAURA ZAHRA SALSA DILLA</t>
  </si>
  <si>
    <t>MUHAMMAD ROSYID</t>
  </si>
  <si>
    <t>SITI AMANIAH</t>
  </si>
  <si>
    <t>BIO_Images/EBTAQ25-03.004.Foto.153812.jpg</t>
  </si>
  <si>
    <t>QORY WIDYA SANDIORIVA</t>
  </si>
  <si>
    <t>NUR WACHID</t>
  </si>
  <si>
    <t>FITRIAH</t>
  </si>
  <si>
    <t>BIO_Images/EBTAQ25-03.006.Foto.153824.jpg</t>
  </si>
  <si>
    <t>DEVI LINTANG SURYANI</t>
  </si>
  <si>
    <t>TUKIMAN</t>
  </si>
  <si>
    <t>SUTIRAH</t>
  </si>
  <si>
    <t>BIO_Images/EBTAQ25-03.084.Foto.161523.jpg</t>
  </si>
  <si>
    <t>REYHAN AZKA PRATAMA</t>
  </si>
  <si>
    <t>SHOLIHIN</t>
  </si>
  <si>
    <t>RACHMAWATI</t>
  </si>
  <si>
    <t>BIO_Images/EBTAQ25-03.093.Foto.160313.jpg</t>
  </si>
  <si>
    <t>MUHAMMAD ABIBI MUSTHOFHAN</t>
  </si>
  <si>
    <t>WAWAN</t>
  </si>
  <si>
    <t>HARTUTIK</t>
  </si>
  <si>
    <t>BIO_Images/EBTAQ25-03.087.Foto.155319.jpg</t>
  </si>
  <si>
    <t>MAHIRAH RAHMA AYU KIRANI</t>
  </si>
  <si>
    <t>FAUZI ABDILLAH</t>
  </si>
  <si>
    <t>UMI NAFIAH</t>
  </si>
  <si>
    <t>BIO_Images/EBTAQ25-03.086.Foto.162032.jpg</t>
  </si>
  <si>
    <t>RISKI ADITYA SURYA PUTRA</t>
  </si>
  <si>
    <t>SUPRIYADI</t>
  </si>
  <si>
    <t>SRI SURYATININGSIH</t>
  </si>
  <si>
    <t>BIO_Images/EBTAQ25-03.094.Foto.160354.jpg</t>
  </si>
  <si>
    <t>MUHAMMAD AFIF UBAIDUR RAHMAN</t>
  </si>
  <si>
    <t>Kupang</t>
  </si>
  <si>
    <t>NURHASIM</t>
  </si>
  <si>
    <t>NURUL KHAMIDAH</t>
  </si>
  <si>
    <t>BIO_Images/EBTAQ25-03.088.Foto.155403.jpg</t>
  </si>
  <si>
    <t>THALITA REVA ZILVILIA</t>
  </si>
  <si>
    <t>PURWOTO</t>
  </si>
  <si>
    <t>LULUK ISHARINI</t>
  </si>
  <si>
    <t>BIO_Images/EBTAQ25-03.095.Foto.162514.jpg</t>
  </si>
  <si>
    <t>MUHAMMAD ZAKI ASHAR</t>
  </si>
  <si>
    <t>HASAN ROHMAT</t>
  </si>
  <si>
    <t>DEVI MULYAWATI</t>
  </si>
  <si>
    <t>BIO_Images/EBTAQ25-03.090.Foto.160015.jpg</t>
  </si>
  <si>
    <t>EBTAQ25-03.103</t>
  </si>
  <si>
    <t>DIMAS YUSUF LUTHFIANA</t>
  </si>
  <si>
    <t>ARIS SUPRIONO</t>
  </si>
  <si>
    <t>NUR DIANA PANCAWATI</t>
  </si>
  <si>
    <t>BIO_Images/EBTAQ25-03.103.Foto.154536.jpg</t>
  </si>
  <si>
    <t>MUHAMMAD BAYU SAPUTRA</t>
  </si>
  <si>
    <t>GUNAWAN</t>
  </si>
  <si>
    <t>SRI SETYONINGRUM</t>
  </si>
  <si>
    <t>BIO_Images/EBTAQ25-03.114.Foto.155501.jpg</t>
  </si>
  <si>
    <t>MUHAMMAD NABIL PUTRA PRADANA</t>
  </si>
  <si>
    <t>MUSTAKIN</t>
  </si>
  <si>
    <t>MARYUNANI</t>
  </si>
  <si>
    <t>BIO_Images/EBTAQ25-03.089.Foto.155825.jpg</t>
  </si>
  <si>
    <t>DEWI NIA RAMADHANI</t>
  </si>
  <si>
    <t>IHWANUDIN</t>
  </si>
  <si>
    <t>ISSAROH</t>
  </si>
  <si>
    <t>BIO_Images/EBTAQ25-03.085.Foto.161554.jpg</t>
  </si>
  <si>
    <t>MUHAMMAD NAUFAL NAZIH</t>
  </si>
  <si>
    <t>TAUFIQUR ROHMAN</t>
  </si>
  <si>
    <t>SOFIATUN</t>
  </si>
  <si>
    <t>BIO_Images/EBTAQ25-03.117.Foto.155917.jpg</t>
  </si>
  <si>
    <t>GIZTAR ZUHAIR RAMADHANI</t>
  </si>
  <si>
    <t>ASIF BARCHIYA</t>
  </si>
  <si>
    <t>SITI ZULAEKOH</t>
  </si>
  <si>
    <t>BIO_Images/EBTAQ25-03.106.Foto.154954.jpg</t>
  </si>
  <si>
    <t>MUTIARA NEYSA NUR AFIFAH</t>
  </si>
  <si>
    <t>DIDIK ARIYANTO</t>
  </si>
  <si>
    <t>NOVIANA NURULITA</t>
  </si>
  <si>
    <t>BIO_Images/EBTAQ25-03.092.Foto.162118.jpg</t>
  </si>
  <si>
    <t>MUKAMMAL ADITIYA PRATAMA</t>
  </si>
  <si>
    <t>NASIKHIN</t>
  </si>
  <si>
    <t>MUFLIKHATUL AMILAH</t>
  </si>
  <si>
    <t>BIO_Images/EBTAQ25-03.091.Foto.160029.jpg</t>
  </si>
  <si>
    <t>RESTU AKBAR PRATAMA</t>
  </si>
  <si>
    <t>SUTIKNO</t>
  </si>
  <si>
    <t>NAIMAH</t>
  </si>
  <si>
    <t>BIO_Images/EBTAQ25-03.119.Foto.160242.jpg</t>
  </si>
  <si>
    <t>NOVIANA ARFATUNNISA</t>
  </si>
  <si>
    <t>AGUS WIDONO</t>
  </si>
  <si>
    <t>ROM WAKIDAH</t>
  </si>
  <si>
    <t>BIO_Images/EBTAQ25-03.118.Foto.162314.jpg</t>
  </si>
  <si>
    <t>EBTAQ25-03.097</t>
  </si>
  <si>
    <t>AHMAD DIMAS SATRIA</t>
  </si>
  <si>
    <t>MUHAMMAD AHYAT</t>
  </si>
  <si>
    <t>NOR WANINGSIH</t>
  </si>
  <si>
    <t>BIO_Images/EBTAQ25-03.097.Foto.154115.jpg</t>
  </si>
  <si>
    <t>ATIQAH RAFANIA AQILLA RAHMAULINA</t>
  </si>
  <si>
    <t>RAHMAN SUDARSONO</t>
  </si>
  <si>
    <t>MAULINNATUS SA'ADAH</t>
  </si>
  <si>
    <t>BIO_Images/EBTAQ25-03.083.Foto.161214.jpg</t>
  </si>
  <si>
    <t>EBTAQ25-03.100</t>
  </si>
  <si>
    <t>AZFAR LUTHFI MAULANA</t>
  </si>
  <si>
    <t>ACHMAD MUNASIR</t>
  </si>
  <si>
    <t>USWATUN KHASANAH</t>
  </si>
  <si>
    <t>BIO_Images/EBTAQ25-03.100.Foto.154240.jpg</t>
  </si>
  <si>
    <t>KENZO ABIMANYU</t>
  </si>
  <si>
    <t>SURYO ADI BINTORO</t>
  </si>
  <si>
    <t>LUTHFIANA NUGRAHANINGTYAS</t>
  </si>
  <si>
    <t>BIO_Images/EBTAQ25-03.108.Foto.155125.jpg</t>
  </si>
  <si>
    <t>MOHAMMAD HABIB HUSAIN</t>
  </si>
  <si>
    <t>PASIMIN</t>
  </si>
  <si>
    <t>JUWARIYAH</t>
  </si>
  <si>
    <t>BIO_Images/EBTAQ25-03.112.Foto.155245.jpg</t>
  </si>
  <si>
    <t>EBTAQ25-03.096</t>
  </si>
  <si>
    <t>AFFAN FEBRIAN</t>
  </si>
  <si>
    <t>MUHAMMAD SAFII</t>
  </si>
  <si>
    <t>MIFTAQUL JANNAH</t>
  </si>
  <si>
    <t>BIO_Images/EBTAQ25-03.096.Foto.153944.jpg</t>
  </si>
  <si>
    <t>EBTAQ25-03.101</t>
  </si>
  <si>
    <t>BIMA ADIT PRADITA</t>
  </si>
  <si>
    <t>Medan</t>
  </si>
  <si>
    <t>MUKTI INDARTO</t>
  </si>
  <si>
    <t>NURIA RIVANTI</t>
  </si>
  <si>
    <t>BIO_Images/EBTAQ25-03.101.Foto.154423.jpg</t>
  </si>
  <si>
    <t>ULFA NURHANANA</t>
  </si>
  <si>
    <t>Hulu Teso</t>
  </si>
  <si>
    <t>MUZI NURAINI</t>
  </si>
  <si>
    <t>HENI PUSPITA SARI</t>
  </si>
  <si>
    <t>BIO_Images/EBTAQ25-03.122.Foto.162531.jpg</t>
  </si>
  <si>
    <t>SELAMET REZA AINOR ROFIQ</t>
  </si>
  <si>
    <t>TAUFIQ</t>
  </si>
  <si>
    <t>NUR YANTI</t>
  </si>
  <si>
    <t>BIO_Images/EBTAQ25-03.121.Foto.160409.jpg</t>
  </si>
  <si>
    <t>EBTAQ25-03.102</t>
  </si>
  <si>
    <t>BINTA ATHIFA</t>
  </si>
  <si>
    <t>SOEMARTONO</t>
  </si>
  <si>
    <t>OVIE TRI WIDAYATI</t>
  </si>
  <si>
    <t>BIO_Images/EBTAQ25-03.102.Foto.161337.jpg</t>
  </si>
  <si>
    <t>KENZIE ISHA EFRAKA</t>
  </si>
  <si>
    <t>MUSYAFA' HADI</t>
  </si>
  <si>
    <t>KUSNUL KOTIMAH</t>
  </si>
  <si>
    <t>BIO_Images/EBTAQ25-03.107.Foto.155104.jpg</t>
  </si>
  <si>
    <t>MEISYA TRI MAHARANI</t>
  </si>
  <si>
    <t>SUKARMIN</t>
  </si>
  <si>
    <t>NUNUNG HARYANTI</t>
  </si>
  <si>
    <t>BIO_Images/EBTAQ25-03.111.Foto.162057.jpg</t>
  </si>
  <si>
    <t>EBTAQ25-03.104</t>
  </si>
  <si>
    <t>FAIRUZ SUBHI MUSAFFA</t>
  </si>
  <si>
    <t>Bekasi</t>
  </si>
  <si>
    <t>FERRY NURDIANSYAH</t>
  </si>
  <si>
    <t>VERA HERDIANTI</t>
  </si>
  <si>
    <t>BIO_Images/EBTAQ25-03.104.Foto.154621.jpg</t>
  </si>
  <si>
    <t>SABILLA FAIRUS BIVI RAHMA</t>
  </si>
  <si>
    <t>Purwakarta</t>
  </si>
  <si>
    <t>BUDI PURNOMO</t>
  </si>
  <si>
    <t>LAYINNATUS SIFA</t>
  </si>
  <si>
    <t>BIO_Images/EBTAQ25-03.120.Foto.162350.jpg</t>
  </si>
  <si>
    <t>MUHAMMAD DANIEL ARVANO PUTRA</t>
  </si>
  <si>
    <t>IRVAN KRISNA PUTRA</t>
  </si>
  <si>
    <t>ARUM SARI</t>
  </si>
  <si>
    <t>BIO_Images/EBTAQ25-03.115.Foto.160626.jpg</t>
  </si>
  <si>
    <t>EBTAQ25-03.098</t>
  </si>
  <si>
    <t>AUFAR LATIFUN NADHIF</t>
  </si>
  <si>
    <t>MOCH HASAN</t>
  </si>
  <si>
    <t>NURDIANAH</t>
  </si>
  <si>
    <t>BIO_Images/EBTAQ25-03.098.Foto.154225.jpg</t>
  </si>
  <si>
    <t>WILDAN AL BAHAR</t>
  </si>
  <si>
    <t>Miau Merah</t>
  </si>
  <si>
    <t>ABDUL MUNIR</t>
  </si>
  <si>
    <t>UMI CHOLIFAH</t>
  </si>
  <si>
    <t>BIO_Images/EBTAQ25-03.123.Foto.160508.jpg</t>
  </si>
  <si>
    <t>MARSYA NEIZA SYAKILA</t>
  </si>
  <si>
    <t>ZAENAL ARIFIN</t>
  </si>
  <si>
    <t>BIO_Images/EBTAQ25-03.110.Foto.162044.jpg</t>
  </si>
  <si>
    <t>KHAYLA MEGATARI AGUSTIN</t>
  </si>
  <si>
    <t>ISMANTO</t>
  </si>
  <si>
    <t>DINA PURNAMA SARI</t>
  </si>
  <si>
    <t>BIO_Images/EBTAQ25-03.109.Foto.161925.jpg</t>
  </si>
  <si>
    <t>MUHAMMAD JIBRIL</t>
  </si>
  <si>
    <t>FIRDOS</t>
  </si>
  <si>
    <t>MUNIROH</t>
  </si>
  <si>
    <t>BIO_Images/EBTAQ25-03.116.Foto.155802.jpg</t>
  </si>
  <si>
    <t>EBTAQ25-03.099</t>
  </si>
  <si>
    <t>AVIKA SALSADILA</t>
  </si>
  <si>
    <t>BIO_Images/EBTAQ25-03.099.Foto.161229.jpg</t>
  </si>
  <si>
    <t>MUHAMAD DAVIN ALVARO</t>
  </si>
  <si>
    <t>MUHAMAD ZAENAL MUSTOFA</t>
  </si>
  <si>
    <t>SITI PATIMAH</t>
  </si>
  <si>
    <t>BIO_Images/EBTAQ25-03.113.Foto.160859.jpg</t>
  </si>
  <si>
    <t>VENY DUTA ARYA WIJOKONGKO</t>
  </si>
  <si>
    <t>VENY KRESNO INDRO</t>
  </si>
  <si>
    <t>INI HINDRATNI</t>
  </si>
  <si>
    <t>BIO_Images/EBTAQ25-03.011.Foto.160454.jpg</t>
  </si>
  <si>
    <t>FARID ALI A'THOLLAH</t>
  </si>
  <si>
    <t>ALI CHAFIDIN</t>
  </si>
  <si>
    <t>WIWIN WAHYUNI</t>
  </si>
  <si>
    <t>BIO_Images/EBTAQ25-03.016.Foto.154851.jpg</t>
  </si>
  <si>
    <t>MUHAMMAD NAFI'UN NUHA</t>
  </si>
  <si>
    <t>BIO_Images/EBTAQ25-03.021.Foto.155855.jpg</t>
  </si>
  <si>
    <t>MUHAMMAD FATIH AR RAYYAN</t>
  </si>
  <si>
    <t>Raha</t>
  </si>
  <si>
    <t>KAIRUL SOLEH</t>
  </si>
  <si>
    <t>WA ODE NOOR LAELA RAHAYU</t>
  </si>
  <si>
    <t>BIO_Images/EBTAQ25-03.020.Foto.155717.jpg</t>
  </si>
  <si>
    <t>AISYAH AL AZZAHRA SYAFA</t>
  </si>
  <si>
    <t>NUR KHAFID</t>
  </si>
  <si>
    <t>SETIYA GINANJAR RAHAYU</t>
  </si>
  <si>
    <t>BIO_Images/EBTAQ25-03.013.Foto.160939.jpg</t>
  </si>
  <si>
    <t>HASNA KHAIRA ARDHANI</t>
  </si>
  <si>
    <t>SARJITO</t>
  </si>
  <si>
    <t>SRI IDA MUNTAFIAH</t>
  </si>
  <si>
    <t>BIO_Images/EBTAQ25-03.031.Foto.161655.jpg</t>
  </si>
  <si>
    <t>DIMAS BAGUS MAHMUD</t>
  </si>
  <si>
    <t>MUHAMMAD IRHAM</t>
  </si>
  <si>
    <t>NIKMATUS SA'ADAH</t>
  </si>
  <si>
    <t>BIO_Images/EBTAQ25-03.014.Foto.154514.jpg</t>
  </si>
  <si>
    <t>MUHAMMAD ADHYASTA SABIQ AL GHOFAR</t>
  </si>
  <si>
    <t>MOH ABDUL GHOFUR</t>
  </si>
  <si>
    <t>ANIE FITRIYANTI</t>
  </si>
  <si>
    <t>BIO_Images/EBTAQ25-03.018.Foto.155339.jpg</t>
  </si>
  <si>
    <t>MUHAMMAD FAKHRY HABIBI IN'AMILLAH</t>
  </si>
  <si>
    <t>MUHAMMAD WATSIQ LUBAD</t>
  </si>
  <si>
    <t>SITI JAMILLAWATI</t>
  </si>
  <si>
    <t>BIO_Images/EBTAQ25-03.019.Foto.155658.jpg</t>
  </si>
  <si>
    <t>EBTAQ25-03.026</t>
  </si>
  <si>
    <t>AL VANO INDRA SINATRIYA</t>
  </si>
  <si>
    <t>SYAIFUDIN ZUHRI</t>
  </si>
  <si>
    <t>ERMA SEPTI HAPSARI</t>
  </si>
  <si>
    <t>BIO_Images/EBTAQ25-03.026.Foto.154150.jpg</t>
  </si>
  <si>
    <t>MUHAMMAD YUSUF AL FATIH</t>
  </si>
  <si>
    <t>CHOIRUL ANWAR</t>
  </si>
  <si>
    <t>BUDIATI</t>
  </si>
  <si>
    <t>BIO_Images/EBTAQ25-03.022.Foto.155958.jpg</t>
  </si>
  <si>
    <t>FARDHAN AHZA ARGANI</t>
  </si>
  <si>
    <t>SALIS ATABIK</t>
  </si>
  <si>
    <t>SAFRINA RAHMAWATI</t>
  </si>
  <si>
    <t>BIO_Images/EBTAQ25-03.015.Foto.154741.jpg</t>
  </si>
  <si>
    <t>MUKHAMMAD RIZQI SYA'BANA</t>
  </si>
  <si>
    <t>NUR AHMADI</t>
  </si>
  <si>
    <t>ATIK NOOR</t>
  </si>
  <si>
    <t>BIO_Images/EBTAQ25-03.039.Foto.160046.jpg</t>
  </si>
  <si>
    <t>ABY AB DULROSYID ASSEGAF</t>
  </si>
  <si>
    <t>NUR SHOLEH</t>
  </si>
  <si>
    <t>KHOLIFAH</t>
  </si>
  <si>
    <t>BIO_Images/EBTAQ25-03.012.Foto.153917.jpg</t>
  </si>
  <si>
    <t>RAIHAN MUHAMMAD ARIF</t>
  </si>
  <si>
    <t>HARMANTO</t>
  </si>
  <si>
    <t>ANDESTRIA PUSPITA SARI</t>
  </si>
  <si>
    <t>BIO_Images/EBTAQ25-03.042.Foto.160224.jpg</t>
  </si>
  <si>
    <t>SYARIFA FARHANA</t>
  </si>
  <si>
    <t>SANTOSO</t>
  </si>
  <si>
    <t>KUSTINI</t>
  </si>
  <si>
    <t>BIO_Images/EBTAQ25-03.023.Foto.162501.jpg</t>
  </si>
  <si>
    <t>SYAKILA NARAYA RAMADANI</t>
  </si>
  <si>
    <t>ARIEF ROCHMAN</t>
  </si>
  <si>
    <t>NOVI ANGGRAINI SUGIYARTI</t>
  </si>
  <si>
    <t>BIO_Images/EBTAQ25-03.043.Foto.162445.jpg</t>
  </si>
  <si>
    <t>HAMIZAN RAMADHANI NUGRAHA</t>
  </si>
  <si>
    <t>PURWO ADHI NUGROHO</t>
  </si>
  <si>
    <t>NAWUNG WULANSARI</t>
  </si>
  <si>
    <t>BIO_Images/EBTAQ25-03.017.Foto.155030.jpg</t>
  </si>
  <si>
    <t>KEVIN RADITYA YUSUP</t>
  </si>
  <si>
    <t>YUSUP</t>
  </si>
  <si>
    <t>SITI IRMAWATI</t>
  </si>
  <si>
    <t>BIO_Images/EBTAQ25-03.033.Foto.155138.jpg</t>
  </si>
  <si>
    <t>MUHAMMAD RIZQULLAH</t>
  </si>
  <si>
    <t>SRI WAHYUNINGSIH</t>
  </si>
  <si>
    <t>BIO_Images/EBTAQ25-03.038.Foto.155932.jpg</t>
  </si>
  <si>
    <t>AHMAD DIEGO ALVIANO CAHNOTO</t>
  </si>
  <si>
    <t>WAHYU CAHNOTO</t>
  </si>
  <si>
    <t>DWI OKTIVITA SARI</t>
  </si>
  <si>
    <t>BIO_Images/EBTAQ25-03.025.Foto.153959.jpg</t>
  </si>
  <si>
    <t>MUHAMMAD AHNAFUR ROSYIDIN</t>
  </si>
  <si>
    <t>HERY SUSANTO NUGROHO</t>
  </si>
  <si>
    <t>ROHMIYATUN</t>
  </si>
  <si>
    <t>BIO_Images/EBTAQ25-03.036.Foto.155421.jpg</t>
  </si>
  <si>
    <t>FAIDA RAUDHATUNNISA FITRI</t>
  </si>
  <si>
    <t>RAJU SULTON SUPRIADI</t>
  </si>
  <si>
    <t>ANGGRAINI DEWI PURBASARI</t>
  </si>
  <si>
    <t>BIO_Images/EBTAQ25-03.029.Foto.161614.jpg</t>
  </si>
  <si>
    <t>KAISA AFWA ZAFIRA</t>
  </si>
  <si>
    <t>TULUS PRASETIAWAN</t>
  </si>
  <si>
    <t>ELDIRA EVI NOR ISBANDIYAH</t>
  </si>
  <si>
    <t>BIO_Images/EBTAQ25-03.032.Foto.161813.jpg</t>
  </si>
  <si>
    <t>KHANZA AQILA SALSABILA</t>
  </si>
  <si>
    <t>AHMAD MASRUH</t>
  </si>
  <si>
    <t>RINI RACHMAWATI</t>
  </si>
  <si>
    <t>BIO_Images/EBTAQ25-03.034.Foto.161909.jpg</t>
  </si>
  <si>
    <t>QONITA ISMAN TAQIYYA</t>
  </si>
  <si>
    <t>FEBTIAN MISBACHUDIN</t>
  </si>
  <si>
    <t>ISTIANA</t>
  </si>
  <si>
    <t>BIO_Images/EBTAQ25-03.044.Foto.162330.jpg</t>
  </si>
  <si>
    <t>LUBBNA MUBASYIROH</t>
  </si>
  <si>
    <t>ARIF ROHMAN</t>
  </si>
  <si>
    <t>SE PUSPITARINI</t>
  </si>
  <si>
    <t>BIO_Images/EBTAQ25-03.035.Foto.162014.jpg</t>
  </si>
  <si>
    <t>MUHAMMAD ARJUNNAJA</t>
  </si>
  <si>
    <t>ALI SUBKHAN</t>
  </si>
  <si>
    <t>EMA FARIKHAH</t>
  </si>
  <si>
    <t>BIO_Images/EBTAQ25-03.037.Foto.155603.jpg</t>
  </si>
  <si>
    <t>ALISYA NURLY UTOMO</t>
  </si>
  <si>
    <t>WAHYU HADI UTOMO</t>
  </si>
  <si>
    <t>HANIK MAHMUDAH KASANAH</t>
  </si>
  <si>
    <t>BIO_Images/EBTAQ25-03.046.Foto.161024.jpg</t>
  </si>
  <si>
    <t>RAFARDHAN ATHAYA RINDRIA</t>
  </si>
  <si>
    <t>INDRIYANTO</t>
  </si>
  <si>
    <t>SUCI INDARINI</t>
  </si>
  <si>
    <t>BIO_Images/EBTAQ25-03.041.Foto.160200.jpg</t>
  </si>
  <si>
    <t>ADHYASTHA RAYHAN NUGRAHA</t>
  </si>
  <si>
    <t>AULIA NUGRAHA</t>
  </si>
  <si>
    <t>DWI INDIARI</t>
  </si>
  <si>
    <t>BIO_Images/EBTAQ25-03.024.Foto.153929.jpg</t>
  </si>
  <si>
    <t>AZHALODIA SHALEEHA KENAR ALFAJR</t>
  </si>
  <si>
    <t>AZHARUL QOMARU AL FAJR</t>
  </si>
  <si>
    <t>DIAH RAHAYU SUSILANINGRUM</t>
  </si>
  <si>
    <t>BIO_Images/EBTAQ25-03.027.Foto.161306.jpg</t>
  </si>
  <si>
    <t>FARID ABDUL ROUF</t>
  </si>
  <si>
    <t>MOCH RIFKY SYAFI'I</t>
  </si>
  <si>
    <t>RICHANIYAH</t>
  </si>
  <si>
    <t>BIO_Images/EBTAQ25-03.030.Foto.154831.jpg</t>
  </si>
  <si>
    <t>MUHAMMAD HAFSYA RIDHO AHSANI</t>
  </si>
  <si>
    <t>AHMAD ASYIK</t>
  </si>
  <si>
    <t>RATNA DEWI AYUNANI</t>
  </si>
  <si>
    <t>BIO_Images/EBTAQ25-03.064.Foto.155743.jpg</t>
  </si>
  <si>
    <t>MUHAMMAD FAHRI AGUSTIRA</t>
  </si>
  <si>
    <t>Bontang</t>
  </si>
  <si>
    <t>TRIYO SEPTIAN MIHARJO</t>
  </si>
  <si>
    <t>ROSI AL'INAYAH</t>
  </si>
  <si>
    <t>BIO_Images/EBTAQ25-03.063.Foto.155634.jpg</t>
  </si>
  <si>
    <t>BAGUS BUDI UTAMA FAHRUSY</t>
  </si>
  <si>
    <t>BANGUN SETYO BUDI SAPUTRO</t>
  </si>
  <si>
    <t>ANIS FUADAH</t>
  </si>
  <si>
    <t>BIO_Images/EBTAQ25-03.051.Foto.154301.jpg</t>
  </si>
  <si>
    <t>FAKHRUNA AHMAD AFRIZAL ADHILISTITO</t>
  </si>
  <si>
    <t>NOVIADY SAPTA NUGROHO</t>
  </si>
  <si>
    <t>MEI LISTRIYANTI</t>
  </si>
  <si>
    <t>BIO_Images/EBTAQ25-03.058.Foto.154645.jpg</t>
  </si>
  <si>
    <t>NAJWA SABIILIA HAQ</t>
  </si>
  <si>
    <t>SUYITNO</t>
  </si>
  <si>
    <t>SITI KASUWAH</t>
  </si>
  <si>
    <t>BIO_Images/EBTAQ25-03.040.Foto.162156.jpg</t>
  </si>
  <si>
    <t>CALLYSTA SHEZA PUTRI ARSENA</t>
  </si>
  <si>
    <t>AGUS SUSENO</t>
  </si>
  <si>
    <t>ISPARYANTI</t>
  </si>
  <si>
    <t>BIO_Images/EBTAQ25-03.053.Foto.161352.jpg</t>
  </si>
  <si>
    <t>BANGKIT ALFATIH</t>
  </si>
  <si>
    <t>SUMARYANTO</t>
  </si>
  <si>
    <t>MUFARIKAH</t>
  </si>
  <si>
    <t>BIO_Images/EBTAQ25-03.052.Foto.154319.jpg</t>
  </si>
  <si>
    <t>NAUFAL OKTARIAWAN</t>
  </si>
  <si>
    <t>TRI KUNCAHYO</t>
  </si>
  <si>
    <t>SITI SUTIAH</t>
  </si>
  <si>
    <t>BIO_Images/EBTAQ25-03.066.Foto.160106.jpg</t>
  </si>
  <si>
    <t>SHOFIA QHATRINNADA</t>
  </si>
  <si>
    <t>Kotabaru</t>
  </si>
  <si>
    <t>MOHAMAD ASYOFI MUZY</t>
  </si>
  <si>
    <t>DYAH PURNAMA SARI</t>
  </si>
  <si>
    <t>BIO_Images/EBTAQ25-03.071.Foto.162431.jpg</t>
  </si>
  <si>
    <t>ALYA MILA SALSABILA</t>
  </si>
  <si>
    <t>TRI GUNAWAN</t>
  </si>
  <si>
    <t>TRI KISWANTI</t>
  </si>
  <si>
    <t>BIO_Images/EBTAQ25-03.049.Foto.161136.jpg</t>
  </si>
  <si>
    <t>DEWI LAILATUN NAJIHAH</t>
  </si>
  <si>
    <t>FATKUR ROCHMAN</t>
  </si>
  <si>
    <t>SOFIYATUN</t>
  </si>
  <si>
    <t>BIO_Images/EBTAQ25-03.056.Foto.161535.jpg</t>
  </si>
  <si>
    <t>AL EMRE HAMIZAN ARKHAN</t>
  </si>
  <si>
    <t>CATUR HARI PREHANTO</t>
  </si>
  <si>
    <t>NURUL FIKRI FAUZIAH</t>
  </si>
  <si>
    <t>BIO_Images/EBTAQ25-03.045.Foto.154133.jpg</t>
  </si>
  <si>
    <t>CIXHA RATU PERMATA PUTRI HARMINTO</t>
  </si>
  <si>
    <t>MOH HARMINTO</t>
  </si>
  <si>
    <t>PUDJI KHASANAH</t>
  </si>
  <si>
    <t>BIO_Images/EBTAQ25-03.028.Foto.161408.jpg</t>
  </si>
  <si>
    <t>JUWITA KALINGGA CHILYA NAUMIRA</t>
  </si>
  <si>
    <t>SUKARTIKO</t>
  </si>
  <si>
    <t>PALUPI MARTASARI</t>
  </si>
  <si>
    <t>BIO_Images/EBTAQ25-03.061.Foto.161751.jpg</t>
  </si>
  <si>
    <t>ICA ALESHA MAULIDATUL AHFA</t>
  </si>
  <si>
    <t>ACHMAD MAJID</t>
  </si>
  <si>
    <t>FAIQOTUL LAILI</t>
  </si>
  <si>
    <t>BIO_Images/EBTAQ25-03.060.Foto.161716.jpg</t>
  </si>
  <si>
    <t>NAFEEZA LAURINDA</t>
  </si>
  <si>
    <t>ARINDA PRASOJO</t>
  </si>
  <si>
    <t>LINDA ARYANI</t>
  </si>
  <si>
    <t>BIO_Images/EBTAQ25-03.065.Foto.162138.jpg</t>
  </si>
  <si>
    <t>NAZEERA LAURINDA</t>
  </si>
  <si>
    <t>BIO_Images/EBTAQ25-03.067.Foto.162235.jpg</t>
  </si>
  <si>
    <t>ASHILA SHAFIRA ARIFIN</t>
  </si>
  <si>
    <t>AKHMAD ARIFIN</t>
  </si>
  <si>
    <t>SITI CHOTIMAH</t>
  </si>
  <si>
    <t>BIO_Images/EBTAQ25-03.050.Foto.161200.jpg</t>
  </si>
  <si>
    <t>KHOIRUL ANAM SYABIL</t>
  </si>
  <si>
    <t>EDI SAPUTRO</t>
  </si>
  <si>
    <t>BIO_Images/EBTAQ25-03.062.Foto.155200.jpg</t>
  </si>
  <si>
    <t>GAZALA PUTRI SYAREVA</t>
  </si>
  <si>
    <t>ALI MUSTAJAB</t>
  </si>
  <si>
    <t>WAHYU TRI ELISA</t>
  </si>
  <si>
    <t>BIO_Images/EBTAQ25-03.059.Foto.161632.jpg</t>
  </si>
  <si>
    <t>ALUNA PARAMITHA ABDULLAH</t>
  </si>
  <si>
    <t>ABDUL AZIS</t>
  </si>
  <si>
    <t>SANTI NOVIYANTI</t>
  </si>
  <si>
    <t>BIO_Images/EBTAQ25-03.048.Foto.161128.jpg</t>
  </si>
  <si>
    <t>MIRZA ABQARI PRAYOGO</t>
  </si>
  <si>
    <t>SLAMET PRAYOGO</t>
  </si>
  <si>
    <t>EVY NOVIANY</t>
  </si>
  <si>
    <t>BIO_Images/EBTAQ25-03.079.Foto.155224.jpg</t>
  </si>
  <si>
    <t>SHIDQI ABQARY REAGAN HAMID</t>
  </si>
  <si>
    <t>ABDUL KAMID</t>
  </si>
  <si>
    <t>DESSY INDAH SUSANTI</t>
  </si>
  <si>
    <t>BIO_Images/EBTAQ25-03.070.Foto.160440.jpg</t>
  </si>
  <si>
    <t>ISNAURA LAUDYA AMIRA RAHMAN</t>
  </si>
  <si>
    <t>ANGGA KURNIA RAHMAN</t>
  </si>
  <si>
    <t>ISTYOWATI NOVITASARI</t>
  </si>
  <si>
    <t>BIO_Images/EBTAQ25-03.077.Foto.161734.jpg</t>
  </si>
  <si>
    <t>DARRA FARIZA APRILLIA</t>
  </si>
  <si>
    <t>MOHAMAD ULIL ALBAB</t>
  </si>
  <si>
    <t>SRI EKOWATI</t>
  </si>
  <si>
    <t>BIO_Images/EBTAQ25-03.054.Foto.161428.jpg</t>
  </si>
  <si>
    <t>REYNAN PRANAJA</t>
  </si>
  <si>
    <t>MUHAMAD ABU KHOIR</t>
  </si>
  <si>
    <t>CHALIMAH</t>
  </si>
  <si>
    <t>BIO_Images/EBTAQ25-03.069.Foto.160328.jpg</t>
  </si>
  <si>
    <t>ALTEZZA NADHIF BUDIARTO</t>
  </si>
  <si>
    <t>Cilacap</t>
  </si>
  <si>
    <t>IMANIAR BUDIARTO</t>
  </si>
  <si>
    <t>WIWIN DEWI ASTUTI</t>
  </si>
  <si>
    <t>BIO_Images/EBTAQ25-03.047.Foto.154206.jpg</t>
  </si>
  <si>
    <t>RADHIKA PRATAMA</t>
  </si>
  <si>
    <t>FREDO SANDY ARGANATA</t>
  </si>
  <si>
    <t>GUSMAYANTI</t>
  </si>
  <si>
    <t>BIO_Images/EBTAQ25-03.068.Foto.160129.jpg</t>
  </si>
  <si>
    <t>KAYANA KHALILUNA PUTRI KINARIAN</t>
  </si>
  <si>
    <t>RESI BAYU PUTRO</t>
  </si>
  <si>
    <t>HERU YULIASTIN</t>
  </si>
  <si>
    <t>BIO_Images/EBTAQ25-03.078.Foto.161849.jpg</t>
  </si>
  <si>
    <t>DEEVA ASHALINA ARININDA</t>
  </si>
  <si>
    <t>MUH RIDHODHIN</t>
  </si>
  <si>
    <t>MASBAHATUN NIAMAH</t>
  </si>
  <si>
    <t>BIO_Images/EBTAQ25-03.055.Foto.161445.jpg</t>
  </si>
  <si>
    <t>NISWATIN ATIKAH</t>
  </si>
  <si>
    <t>SYAKIR AHMAD</t>
  </si>
  <si>
    <t>ARIANTI WACHIDATUL NISA</t>
  </si>
  <si>
    <t>BIO_Images/EBTAQ25-03.080.Foto.162252.jpg</t>
  </si>
  <si>
    <t>BELLVANIA ARSYILA PERMATA PUTRI</t>
  </si>
  <si>
    <t>YANUAR BAGUS RISKO ANTOKO</t>
  </si>
  <si>
    <t>NINDA YULIASTANTI</t>
  </si>
  <si>
    <t>BIO_Images/EBTAQ25-03.075.Foto.161323.jpg</t>
  </si>
  <si>
    <t>ALMIRA NAFISHA HANNAVI</t>
  </si>
  <si>
    <t>JOHAN MASRURI</t>
  </si>
  <si>
    <t>NOVITA RAHAYUNINGTYAS</t>
  </si>
  <si>
    <t>BIO_Images/EBTAQ25-03.073.Foto.161111.jpg</t>
  </si>
  <si>
    <t>DELISHA MUMTAZA ZAHIDA</t>
  </si>
  <si>
    <t>HAMBALI</t>
  </si>
  <si>
    <t>RINI WIJAYANTI</t>
  </si>
  <si>
    <t>BIO_Images/EBTAQ25-03.076.Foto.161505.jpg</t>
  </si>
  <si>
    <t>ALAINA KARIMAH</t>
  </si>
  <si>
    <t>JUNAIDI</t>
  </si>
  <si>
    <t>IZZATUS SANIYAH</t>
  </si>
  <si>
    <t>BIO_Images/EBTAQ25-03.072.Foto.160951.jpg</t>
  </si>
  <si>
    <t>ARZETY LAQUITTA CARISA NISWAH</t>
  </si>
  <si>
    <t>BIO_Images/EBTAQ25-03.074.Foto.161149.jpg</t>
  </si>
  <si>
    <t>SHEENA SYAFANIA AURORA</t>
  </si>
  <si>
    <t>SAHARA FIKRI</t>
  </si>
  <si>
    <t>AMIROTUL AZIZAH</t>
  </si>
  <si>
    <t>BIO_Images/EBTAQ25-03.082.Foto.162416.jpg</t>
  </si>
  <si>
    <t>LATIFANI ARSYLA WIJAYA</t>
  </si>
  <si>
    <t>ABDUL KHAMID</t>
  </si>
  <si>
    <t>TRI PUJI LESTARININGRUM</t>
  </si>
  <si>
    <t>BIO_Images/EBTAQ25-03.081.Foto.161945.jpg</t>
  </si>
  <si>
    <t>DITA ARRASYA ALBIFARDZAN</t>
  </si>
  <si>
    <t>EDY KURNIAWAN</t>
  </si>
  <si>
    <t>NUR WAHYUNINGSIH</t>
  </si>
  <si>
    <t>BIO_Images/EBTAQ25-03.057.Foto.154808.jpg</t>
  </si>
  <si>
    <t>EBTAQ25-03.105</t>
  </si>
  <si>
    <t>GIGIH PRADANA PUTRA WULANTORO</t>
  </si>
  <si>
    <t>NURI CAHYO WULANTORO</t>
  </si>
  <si>
    <t>SITI ZULIATI</t>
  </si>
  <si>
    <t>BIO_Images/EBTAQ25-03.105.Foto.154908.jpg</t>
  </si>
  <si>
    <t>EBTAQ25.03.009</t>
  </si>
  <si>
    <t>EBTAQ25.03.010</t>
  </si>
  <si>
    <t>EBTAQ25.03.043</t>
  </si>
  <si>
    <t>EBTAQ25.03.071</t>
  </si>
  <si>
    <t>EBTAQ25.03.072</t>
  </si>
  <si>
    <t>EBTAQ25.03.074</t>
  </si>
  <si>
    <t>EBTAQ25.03.075</t>
  </si>
  <si>
    <t>EBTAQ25.03.076</t>
  </si>
  <si>
    <t>EBTAQ25.03.078</t>
  </si>
  <si>
    <t>EBTAQ25.03.079</t>
  </si>
  <si>
    <t>EBTAQ25.03.080</t>
  </si>
  <si>
    <t>EBTAQ25.03.081</t>
  </si>
  <si>
    <t>EBTAQ25.03.086</t>
  </si>
  <si>
    <t>EBTAQ25.03.087</t>
  </si>
  <si>
    <t>EBTAQ25.03.088</t>
  </si>
  <si>
    <t>EBTAQ25.03.089</t>
  </si>
  <si>
    <t>EBTAQ25.03.090</t>
  </si>
  <si>
    <t>EBTAQ25.03.091</t>
  </si>
  <si>
    <t>EBTAQ25.03.092</t>
  </si>
  <si>
    <t>EBTAQ25.03.093</t>
  </si>
  <si>
    <t>EBTAQ25.03.094</t>
  </si>
  <si>
    <t>EBTAQ25.03.095</t>
  </si>
  <si>
    <t>EBTAQ25.03.006</t>
  </si>
  <si>
    <t>EBTAQ25.03.007</t>
  </si>
  <si>
    <t>EBTAQ25.03.008</t>
  </si>
  <si>
    <t>EBTAQ25.03.011</t>
  </si>
  <si>
    <t>EBTAQ25.03.012</t>
  </si>
  <si>
    <t>EBTAQ25.03.013</t>
  </si>
  <si>
    <t>EBTAQ25.03.014</t>
  </si>
  <si>
    <t>EBTAQ25.03.015</t>
  </si>
  <si>
    <t>EBTAQ25.03.016</t>
  </si>
  <si>
    <t>EBTAQ25.03.017</t>
  </si>
  <si>
    <t>EBTAQ25.03.004</t>
  </si>
  <si>
    <t>EBTAQ25.03.005</t>
  </si>
  <si>
    <t>EBTAQ25.03.018</t>
  </si>
  <si>
    <t>EBTAQ25.03.019</t>
  </si>
  <si>
    <t>EBTAQ25.03.020</t>
  </si>
  <si>
    <t>EBTAQ25.03.021</t>
  </si>
  <si>
    <t>EBTAQ25.03.022</t>
  </si>
  <si>
    <t>EBTAQ25.03.023</t>
  </si>
  <si>
    <t>EBTAQ25.03.024</t>
  </si>
  <si>
    <t>EBTAQ25.03.025</t>
  </si>
  <si>
    <t>EBTAQ25.03.096</t>
  </si>
  <si>
    <t>EBTAQ25.03.027</t>
  </si>
  <si>
    <t>EBTAQ25.03.028</t>
  </si>
  <si>
    <t>EBTAQ25.03.029</t>
  </si>
  <si>
    <t>EBTAQ25.03.032</t>
  </si>
  <si>
    <t>EBTAQ25.03.047</t>
  </si>
  <si>
    <t>EBTAQ25.03.049</t>
  </si>
  <si>
    <t>EBTAQ25.03.050</t>
  </si>
  <si>
    <t>EBTAQ25.03.052</t>
  </si>
  <si>
    <t>EBTAQ25.03.053</t>
  </si>
  <si>
    <t>EBTAQ25.03.054</t>
  </si>
  <si>
    <t>EBTAQ25.03.055</t>
  </si>
  <si>
    <t>EBTAQ25.03.056</t>
  </si>
  <si>
    <t>EBTAQ25.03.057</t>
  </si>
  <si>
    <t>EBTAQ25.03.058</t>
  </si>
  <si>
    <t>EBTAQ25.03.060</t>
  </si>
  <si>
    <t>EBTAQ25.03.062</t>
  </si>
  <si>
    <t>EBTAQ25.03.063</t>
  </si>
  <si>
    <t>EBTAQ25.03.065</t>
  </si>
  <si>
    <t>EBTAQ25.03.066</t>
  </si>
  <si>
    <t>EBTAQ25.03.068</t>
  </si>
  <si>
    <t>EBTAQ25.03.073</t>
  </si>
  <si>
    <t>EBTAQ25.03.030</t>
  </si>
  <si>
    <t>EBTAQ25.03.031</t>
  </si>
  <si>
    <t>EBTAQ25.03.033</t>
  </si>
  <si>
    <t>EBTAQ25.03.034</t>
  </si>
  <si>
    <t>EBTAQ25.03.036</t>
  </si>
  <si>
    <t>EBTAQ25.03.037</t>
  </si>
  <si>
    <t>EBTAQ25.03.038</t>
  </si>
  <si>
    <t>EBTAQ25.03.041</t>
  </si>
  <si>
    <t>EBTAQ25.03.002</t>
  </si>
  <si>
    <t>EBTAQ25.03.003</t>
  </si>
  <si>
    <t>EBTAQ25.03.035</t>
  </si>
  <si>
    <t>EBTAQ25.03.039</t>
  </si>
  <si>
    <t>EBTAQ25.03.040</t>
  </si>
  <si>
    <t>EBTAQ25.03.042</t>
  </si>
  <si>
    <t>EBTAQ25.03.044</t>
  </si>
  <si>
    <t>EBTAQ25.03.045</t>
  </si>
  <si>
    <t>EBTAQ25.03.046</t>
  </si>
  <si>
    <t>EBTAQ25.03.048</t>
  </si>
  <si>
    <t>EBTAQ25.03.051</t>
  </si>
  <si>
    <t>EBTAQ25.03.059</t>
  </si>
  <si>
    <t>EBTAQ25.03.061</t>
  </si>
  <si>
    <t>EBTAQ25.03.064</t>
  </si>
  <si>
    <t>EBTAQ25.03.067</t>
  </si>
  <si>
    <t>EBTAQ25.03.069</t>
  </si>
  <si>
    <t>EBTAQ25.03.070</t>
  </si>
  <si>
    <t>EBTAQ25.03.077</t>
  </si>
  <si>
    <t>EBTAQ25.03.082</t>
  </si>
  <si>
    <t>EBTAQ25.03.084</t>
  </si>
  <si>
    <t>EBTAQ25.03.083</t>
  </si>
  <si>
    <t>EBTAQ25.03.085</t>
  </si>
  <si>
    <t>EBTAQ25.01.125</t>
  </si>
  <si>
    <t>EBTAQ25.03.118</t>
  </si>
  <si>
    <t>EBTAQ25.03.106</t>
  </si>
  <si>
    <t>EBTAQ25.03.107</t>
  </si>
  <si>
    <t>EBTAQ25.03.108</t>
  </si>
  <si>
    <t>EBTAQ25.03.109</t>
  </si>
  <si>
    <t>EBTAQ25.03.110</t>
  </si>
  <si>
    <t>EBTAQ25.03.111</t>
  </si>
  <si>
    <t>EBTAQ25.03.112</t>
  </si>
  <si>
    <t>EBTAQ25.03.117</t>
  </si>
  <si>
    <t>EBTAQ25.03.119</t>
  </si>
  <si>
    <t>EBTAQ25.03.120</t>
  </si>
  <si>
    <t>EBTAQ25.03.121</t>
  </si>
  <si>
    <t>EBTAQ25.03.122</t>
  </si>
  <si>
    <t>EBTAQ25.03.113</t>
  </si>
  <si>
    <t>EBTAQ25.03.114</t>
  </si>
  <si>
    <t>EBTAQ25.03.115</t>
  </si>
  <si>
    <t>EBTAQ25.03.116</t>
  </si>
  <si>
    <t>EBTAQ25.03.123</t>
  </si>
  <si>
    <t>https://drive.google.com/file/d/18B_Z97IlJVJdaBXZBwvpSgpgIy1h6OAF/view</t>
  </si>
  <si>
    <t>BIO_Images/EBTAQ25.03.035.Foto.232753.jpg</t>
  </si>
  <si>
    <t>DEMAK - TPQ Raudlatul Muta'allimin</t>
  </si>
  <si>
    <t>BIO_Images/EBTAQ25-03.129.Foto.232701.jpg</t>
  </si>
  <si>
    <t>BIO_Images/EBTAQ25-03.131.Foto.232620.jpg</t>
  </si>
  <si>
    <t>BIO_Images/EBTAQ25-03.132.Foto.232524.jpg</t>
  </si>
  <si>
    <t>BIO_Images/EBTAQ25-03.133.Foto.232349.jpg</t>
  </si>
  <si>
    <t>BIO_Images/EBTAQ25.03.112.Foto.233211.jpg</t>
  </si>
  <si>
    <t>BIO_Images/EBTAQ25-04.064.Foto.225907.jpg</t>
  </si>
  <si>
    <t>BIO_Images/EBTAQ25-04.066.Foto.230002.jpg</t>
  </si>
  <si>
    <t>BIO_Images/EBTAQ25-04.003.Foto.230043.jpg</t>
  </si>
  <si>
    <t>BIO_Images/EBTAQ25-04.032.Foto.230758.jpg</t>
  </si>
  <si>
    <t>BIO_Images/EBTAQ25-04.044.Foto.230836.jpg</t>
  </si>
  <si>
    <t>BIO_Images/EBTAQ25-04.051.Foto.230619.jpg</t>
  </si>
  <si>
    <t>BIO_Images/EBTAQ25-04.055.Foto.230936.jpg</t>
  </si>
  <si>
    <t>BIO_Images/EBTAQ25-04.013.Foto.231743.jpg</t>
  </si>
  <si>
    <t>BIO_Images/EBTAQ25-04.015.Foto.231034.jpg</t>
  </si>
  <si>
    <t>BIO_Images/EBTAQ25-04.016.Foto.231432.jpg</t>
  </si>
  <si>
    <t>BIO_Images/EBTAQ25-04.017.Foto.231624.jpg</t>
  </si>
  <si>
    <t>BIO_Images/EBTAQ25-04.018.Foto.231659.jpg</t>
  </si>
  <si>
    <t>BIO_Images/EBTAQ25-04.019.Foto.231507.jpg</t>
  </si>
  <si>
    <t>BIO_Images/EBTAQ25-04.020.Foto.231221.jpg</t>
  </si>
  <si>
    <t>BIO_Images/EBTAQ25-04.021.Foto.231923.jpg</t>
  </si>
  <si>
    <t>BIO_Images/EBTAQ25-04.023.Foto.232021.jpg</t>
  </si>
  <si>
    <t>BIO_Images/EBTAQ25-04.024.Foto.232251.jpg</t>
  </si>
  <si>
    <t>BIO_Images/EBTAQ25-04.029.Foto.231127.jpg</t>
  </si>
  <si>
    <t>BIO_Images/EBTAQ25-04.041.Foto.232147.jpg</t>
  </si>
  <si>
    <t>BIO_Images/EBTAQ25-04.053.Foto.231546.jpg</t>
  </si>
  <si>
    <t>BIO_Images/EBTAQ25-04.001.Foto.232829.jpg</t>
  </si>
  <si>
    <t>BIO_Images/EBTAQ25-04.002.Foto.232914.jpg</t>
  </si>
  <si>
    <t>BIO_Images/EBTAQ25-04.036.Foto.233000.jpg</t>
  </si>
  <si>
    <t>BIO_Images/EBTAQ25-04.004.Foto.234419.jpg</t>
  </si>
  <si>
    <t>BIO_Images/EBTAQ25-04.010.Foto.234627.jpg</t>
  </si>
  <si>
    <t>BIO_Images/EBTAQ25-04.027.Foto.234337.jpg</t>
  </si>
  <si>
    <t>BIO_Images/EBTAQ25-04.028.Foto.233931.jpg</t>
  </si>
  <si>
    <t>BIO_Images/EBTAQ25-04.063.Foto.234714.jpg</t>
  </si>
  <si>
    <t>BIO_Images/EBTAQ25-04.039.Foto.234039.jpg</t>
  </si>
  <si>
    <t>BIO_Images/EBTAQ25-04.007.Foto.235137.jpg</t>
  </si>
  <si>
    <t>BIO_Images/EBTAQ25-04.008.Foto.234815.jpg</t>
  </si>
  <si>
    <t>BIO_Images/EBTAQ25-04.009.Foto.000019.jpg</t>
  </si>
  <si>
    <t>BIO_Images/EBTAQ25-04.011.Foto.234900.jpg</t>
  </si>
  <si>
    <t>BIO_Images/EBTAQ25-04.012.Foto.235220.jpg</t>
  </si>
  <si>
    <t>BIO_Images/EBTAQ25-04.014.Foto.234954.jpg</t>
  </si>
  <si>
    <t>BIO_Images/EBTAQ25-04.025.Foto.235741.jpg</t>
  </si>
  <si>
    <t>BIO_Images/EBTAQ25-04.026.Foto.235454.jpg</t>
  </si>
  <si>
    <t>BIO_Images/EBTAQ25-04.031.Foto.000116.jpg</t>
  </si>
  <si>
    <t>BIO_Images/EBTAQ25-04.034.Foto.000255.jpg</t>
  </si>
  <si>
    <t>BIO_Images/EBTAQ25-04.035.Foto.235937.jpg</t>
  </si>
  <si>
    <t>BIO_Images/EBTAQ25-04.037.Foto.235046.jpg</t>
  </si>
  <si>
    <t>BIO_Images/EBTAQ25-04.049.Foto.235309.jpg</t>
  </si>
  <si>
    <t>BIO_Images/EBTAQ25-04.058.Foto.235529.jpg</t>
  </si>
  <si>
    <t>BIO_Images/EBTAQ25-04.059.Foto.235830.jpg</t>
  </si>
  <si>
    <t>BIO_Images/EBTAQ25-04.060.Foto.235354.jpg</t>
  </si>
  <si>
    <t>BIO_Images/EBTAQ25-04.062.Foto.235620.jpg</t>
  </si>
  <si>
    <t>BIO_Images/EBTAQ25-04.038.Foto.000910.jpg</t>
  </si>
  <si>
    <t>BIO_Images/EBTAQ25-04.040.Foto.000512.jpg</t>
  </si>
  <si>
    <t>BIO_Images/EBTAQ25-04.042.Foto.000807.jpg</t>
  </si>
  <si>
    <t>BIO_Images/EBTAQ25-04.043.Foto.000606.jpg</t>
  </si>
  <si>
    <t>BIO_Images/EBTAQ25-04.045.Foto.000652.jpg</t>
  </si>
  <si>
    <t>BIO_Images/EBTAQ25-04.052.Foto.000427.jpg</t>
  </si>
  <si>
    <t>BIO_Images/EBTAQ25-05.021.Foto.233342.png</t>
  </si>
  <si>
    <t>BIO_Images/EBTAQ25-05.031.Foto.233444.jpg</t>
  </si>
  <si>
    <t>BIO_Images/EBTAQ25-05.037.Foto.233608.jpg</t>
  </si>
  <si>
    <t>BIO_Images/EBTAQ25-05.040.Foto.233250.jpg</t>
  </si>
  <si>
    <t>BIO_Images/EBTAQ25-05.041.Foto.233705.jpg</t>
  </si>
  <si>
    <t>SHIERLY RIFIANA SAKHI</t>
  </si>
  <si>
    <t>YUSUF ARIF WIBOWO</t>
  </si>
  <si>
    <t>LUTHFIANA KHOTIM</t>
  </si>
  <si>
    <t>EBTAQ25-04.067</t>
  </si>
  <si>
    <t>BIO_Images/EBTAQ25-04.067.jpg</t>
  </si>
  <si>
    <t>EBTAQ25-01.333</t>
  </si>
  <si>
    <t>BIO_Images/EBTAQ25-01.333.jpg</t>
  </si>
  <si>
    <t>EBTAQ25-01.334</t>
  </si>
  <si>
    <t>MUHAMMAD DAFFA HAFIDZ IBNI</t>
  </si>
  <si>
    <t>ASEP RIYANTO</t>
  </si>
  <si>
    <t>NURUL DIAN AYU SAPUTRI</t>
  </si>
  <si>
    <t>BIO_Images/EBTAQ25-01.334.jpeg</t>
  </si>
  <si>
    <t>EBTAQ25-01.335</t>
  </si>
  <si>
    <t>Muhammad Affan Al Wafi</t>
  </si>
  <si>
    <t>Kebumen</t>
  </si>
  <si>
    <t>Sigit Bhakti Prasetyo</t>
  </si>
  <si>
    <t>Upi Lestari</t>
  </si>
  <si>
    <t>BIO_Images/EBTAQ25-01.335.jpg</t>
  </si>
  <si>
    <t>SDIT Kota Wali</t>
  </si>
  <si>
    <t>AZIFATUR ROCHMAH</t>
  </si>
  <si>
    <t>Masyhudi</t>
  </si>
  <si>
    <t>Jamilatun</t>
  </si>
  <si>
    <t>BIO_Images/EBTAQ25-03.096.jpg</t>
  </si>
  <si>
    <t>MUHAMMAD AZMI NABHAN KAMIL</t>
  </si>
  <si>
    <t>Zaenal Abidin</t>
  </si>
  <si>
    <t>Faizatus Sokhifah</t>
  </si>
  <si>
    <t>BIO_Images/EBTAQ25-03.097.jpg</t>
  </si>
  <si>
    <t>EBTAQ25-01.336</t>
  </si>
  <si>
    <t>AYUNDA SHOLIHATUL WAFIYAH</t>
  </si>
  <si>
    <t>ZAINAL ARIFIN</t>
  </si>
  <si>
    <t>KHOLISATUN NAFIAH</t>
  </si>
  <si>
    <t>BIO_Images/EBTAQ25-01.336.jpg</t>
  </si>
  <si>
    <t>SDIT KOTA WALI</t>
  </si>
  <si>
    <t>NAURA SAFIRA ESSALAVI</t>
  </si>
  <si>
    <t>Slamet</t>
  </si>
  <si>
    <t>Nur Rofiatun</t>
  </si>
  <si>
    <t>BIO_Images/EBTAQ25-03.098.jpg</t>
  </si>
  <si>
    <t>YASMIN AYU ANDREANI</t>
  </si>
  <si>
    <t>Andreawan Agung Pangestu</t>
  </si>
  <si>
    <t>Lusi Laksiyah</t>
  </si>
  <si>
    <t>BIO_Images/EBTAQ25-03.099.jpg</t>
  </si>
  <si>
    <t>ADIBATUS SYAQILAH ASROFI</t>
  </si>
  <si>
    <t>Mohamad Asrofi</t>
  </si>
  <si>
    <t>Mufaridah</t>
  </si>
  <si>
    <t>BIO_Images/EBTAQ25-03.100.jpg</t>
  </si>
  <si>
    <t>NIHLA KHUSNAYA</t>
  </si>
  <si>
    <t>Sodikin</t>
  </si>
  <si>
    <t>Romdhonah</t>
  </si>
  <si>
    <t>BIO_Images/EBTAQ25-03.101.jpg</t>
  </si>
  <si>
    <t>Belva zeland al nuridha</t>
  </si>
  <si>
    <t>Muhammad munir</t>
  </si>
  <si>
    <t>Lia marlena</t>
  </si>
  <si>
    <t>EBTAQ25-01.338</t>
  </si>
  <si>
    <t>Bella Zahra Ahmanisa</t>
  </si>
  <si>
    <t>Ahmad Subchi</t>
  </si>
  <si>
    <t>Jikronun Nafisah</t>
  </si>
  <si>
    <t>BIO_Images/EBTAQ25-01.338.png</t>
  </si>
  <si>
    <t>Demak - SD IT Kota Wali</t>
  </si>
  <si>
    <t>AHMAD YUDA BAGUS BRAHMANA</t>
  </si>
  <si>
    <t>Abdur Rochman</t>
  </si>
  <si>
    <t>Inuk Dawiasih</t>
  </si>
  <si>
    <t>BIO_Images/EBTAQ25-03.102.jpg</t>
  </si>
  <si>
    <t>EBTAQ25-01.340</t>
  </si>
  <si>
    <t>Ernest Aquila Ardanari</t>
  </si>
  <si>
    <t>Ristiko Arda Nari</t>
  </si>
  <si>
    <t>Laili Wahyu Hidayati</t>
  </si>
  <si>
    <t>BIO_Images/EBTAQ25-01.340.jpeg</t>
  </si>
  <si>
    <t>EBTAQ25-02.035</t>
  </si>
  <si>
    <t>Ainayya Fatiyatur Rahma</t>
  </si>
  <si>
    <t>Maksum</t>
  </si>
  <si>
    <t>Fitri Rahmawati</t>
  </si>
  <si>
    <t>BIO_Images/EBTAQ25-02.035.jpg</t>
  </si>
  <si>
    <t>EBTAQ25-02.036</t>
  </si>
  <si>
    <t>Ainayya Qurrotul Ain</t>
  </si>
  <si>
    <t>Abdul Wakhid</t>
  </si>
  <si>
    <t>Lutfi Aula</t>
  </si>
  <si>
    <t>BIO_Images/EBTAQ25-02.036.jpg</t>
  </si>
  <si>
    <t>EBTAQ25-02.037</t>
  </si>
  <si>
    <t>Amellia Rizna Putri</t>
  </si>
  <si>
    <t>Supriyanto</t>
  </si>
  <si>
    <t>Sri Arifah</t>
  </si>
  <si>
    <t>BIO_Images/EBTAQ25-02.037.jpg</t>
  </si>
  <si>
    <t>EBTAQ25-02.038</t>
  </si>
  <si>
    <t>Amilatul Afwi</t>
  </si>
  <si>
    <t>Mukhafindi</t>
  </si>
  <si>
    <t>Musfirotun</t>
  </si>
  <si>
    <t>BIO_Images/EBTAQ25-02.038.jpg</t>
  </si>
  <si>
    <t>EBTAQ25-01.343</t>
  </si>
  <si>
    <t>Ghaida Syifa Assajida</t>
  </si>
  <si>
    <t>M. Taufik Dian Wahyudi</t>
  </si>
  <si>
    <t>Oktalina Shinta Wulandari</t>
  </si>
  <si>
    <t>BIO_Images/EBTAQ25-01.343.jpg</t>
  </si>
  <si>
    <t>EBTAQ25-02.039</t>
  </si>
  <si>
    <t>Bayu Naufal Nawaruddin</t>
  </si>
  <si>
    <t>Abdul Falaq</t>
  </si>
  <si>
    <t>BIO_Images/EBTAQ25-02.039.jpg</t>
  </si>
  <si>
    <t>EBTAQ25-02.040</t>
  </si>
  <si>
    <t>Devi Mutia Rahma</t>
  </si>
  <si>
    <t>Chabib Anwar</t>
  </si>
  <si>
    <t>Reka Ardianti</t>
  </si>
  <si>
    <t>BIO_Images/EBTAQ25-02.040.jpg</t>
  </si>
  <si>
    <t>EBTAQ25-02.041</t>
  </si>
  <si>
    <t>Jinan Raudhatul Hikmah</t>
  </si>
  <si>
    <t>Moh Imam Ghozali</t>
  </si>
  <si>
    <t>Irni Pramulyani</t>
  </si>
  <si>
    <t>BIO_Images/EBTAQ25-02.041.jpg</t>
  </si>
  <si>
    <t>EBTAQ25-02.042</t>
  </si>
  <si>
    <t>Muhammad Asyraf Kamil</t>
  </si>
  <si>
    <t>Muhamad Abdul Fatah</t>
  </si>
  <si>
    <t>Eni Rohmawati</t>
  </si>
  <si>
    <t>BIO_Images/EBTAQ25-02.042.jpg</t>
  </si>
  <si>
    <t>EBTAQ25-02.043</t>
  </si>
  <si>
    <t>Muhammad Tsania Akmal</t>
  </si>
  <si>
    <t>Muhamad Munir</t>
  </si>
  <si>
    <t>Nur Khafidhoh</t>
  </si>
  <si>
    <t>BIO_Images/EBTAQ25-02.043.jpg</t>
  </si>
  <si>
    <t>EBTAQ25-02.044</t>
  </si>
  <si>
    <t>Muhammad Yazid Rizqon</t>
  </si>
  <si>
    <t>Muhammad Mahfud</t>
  </si>
  <si>
    <t>Chanifah</t>
  </si>
  <si>
    <t>BIO_Images/EBTAQ25-02.044.jpg</t>
  </si>
  <si>
    <t>EBTAQ25-02.045</t>
  </si>
  <si>
    <t>Muhammad Farid Asyhari</t>
  </si>
  <si>
    <t>NUR KHOLIMAH</t>
  </si>
  <si>
    <t>BIO_Images/EBTAQ25-02.045.png</t>
  </si>
  <si>
    <t>Dewoka - Hidayatul Ummah</t>
  </si>
  <si>
    <t>EBTAQ25-02.046</t>
  </si>
  <si>
    <t>Muhammad Bayu Aditia Pratama</t>
  </si>
  <si>
    <t>SUPARJO</t>
  </si>
  <si>
    <t>SUNAIYAH</t>
  </si>
  <si>
    <t>BIO_Images/EBTAQ25-02.046.png</t>
  </si>
  <si>
    <t>EBTAQ25-02.047</t>
  </si>
  <si>
    <t>Nafaani Hidayah</t>
  </si>
  <si>
    <t>Mulyani</t>
  </si>
  <si>
    <t>Maslichatul Umami</t>
  </si>
  <si>
    <t>BIO_Images/EBTAQ25-02.047.jpg</t>
  </si>
  <si>
    <t>EBTAQ25-02.048</t>
  </si>
  <si>
    <t>Azril Afrizal Maulana</t>
  </si>
  <si>
    <t>RUKANI</t>
  </si>
  <si>
    <t>SITI SUNARSIH</t>
  </si>
  <si>
    <t>BIO_Images/EBTAQ25-02.048.png</t>
  </si>
  <si>
    <t>EBTAQ25-02.049</t>
  </si>
  <si>
    <t>Nakmas Arbi Ziyad Rabbani</t>
  </si>
  <si>
    <t>Agus Haris Purnomo</t>
  </si>
  <si>
    <t>Ita Luthfia</t>
  </si>
  <si>
    <t>BIO_Images/EBTAQ25-02.049.jpg</t>
  </si>
  <si>
    <t>EBTAQ25-02.050</t>
  </si>
  <si>
    <t>Nazwa</t>
  </si>
  <si>
    <t>Pandeglang</t>
  </si>
  <si>
    <t>Badruh</t>
  </si>
  <si>
    <t>Fitriani</t>
  </si>
  <si>
    <t>BIO_Images/EBTAQ25-02.050.jpg</t>
  </si>
  <si>
    <t>EBTAQ25-02.051</t>
  </si>
  <si>
    <t>Safwana Dhiya Almahyra</t>
  </si>
  <si>
    <t>Mulyono</t>
  </si>
  <si>
    <t>Kamtin</t>
  </si>
  <si>
    <t>BIO_Images/EBTAQ25-02.051.jpg</t>
  </si>
  <si>
    <t>EBTAQ25-02.052</t>
  </si>
  <si>
    <t>Ummi Farihah</t>
  </si>
  <si>
    <t>Sunardi</t>
  </si>
  <si>
    <t>Nurul Masruroh</t>
  </si>
  <si>
    <t>BIO_Images/EBTAQ25-02.052.jpg</t>
  </si>
  <si>
    <t>EBTAQ25-02.053</t>
  </si>
  <si>
    <t>Ummu Lubna An-Nuri</t>
  </si>
  <si>
    <t>Eni Riffriyanti</t>
  </si>
  <si>
    <t>BIO_Images/EBTAQ25-02.053.jpg</t>
  </si>
  <si>
    <t>EBTAQ25-02.054</t>
  </si>
  <si>
    <t>Zahra Nabila Putri</t>
  </si>
  <si>
    <t>Syukron Ma'mun</t>
  </si>
  <si>
    <t>Mar'atus Sholehah</t>
  </si>
  <si>
    <t>BIO_Images/EBTAQ25-02.054.jpg</t>
  </si>
  <si>
    <t>EBTAQ25-01.345</t>
  </si>
  <si>
    <t>BIO_Images/EBTAQ25-01.345.jpeg</t>
  </si>
  <si>
    <t>EBTAQ25-02.055</t>
  </si>
  <si>
    <t>Aeni kusrini</t>
  </si>
  <si>
    <t>BIO_Images/EBTAQ25-02.055.jpg</t>
  </si>
  <si>
    <t>MUTOHIRIN</t>
  </si>
  <si>
    <t>SITI ROHMAH</t>
  </si>
  <si>
    <t>Muhamad maljaul luthfi azizi</t>
  </si>
  <si>
    <t>Mutohirin</t>
  </si>
  <si>
    <t>Siti Rohmah</t>
  </si>
  <si>
    <t>BIO_Images/EBTAQ25-03.104.jpg</t>
  </si>
  <si>
    <t>EBTAQ25-04.068</t>
  </si>
  <si>
    <t>BIO_Images/EBTAQ25-04.068.jpg</t>
  </si>
  <si>
    <t>EBTAQ25-05.044</t>
  </si>
  <si>
    <t>BIO_Images/EBTAQ25-05.044.jpg</t>
  </si>
  <si>
    <t>EBTAQ25-01.346</t>
  </si>
  <si>
    <t>FATEEHA RUSYDA ADDIEN</t>
  </si>
  <si>
    <t>EKO SUPRIYONO</t>
  </si>
  <si>
    <t>HESTI SETYORINI</t>
  </si>
  <si>
    <t>BIO_Images/EBTAQ25-01.346.jpg</t>
  </si>
  <si>
    <t>SDS IT KOTAWALI</t>
  </si>
  <si>
    <t>EBTAQ25-02.056</t>
  </si>
  <si>
    <t>HIMATUL ULYA ROEKHANA</t>
  </si>
  <si>
    <t>ALI ABDUL MUNIB</t>
  </si>
  <si>
    <t>MUSTOFIYAH</t>
  </si>
  <si>
    <t>BIO_Images/EBTAQ25-02.056.jpeg</t>
  </si>
  <si>
    <t>Dewoka - Roudlotul 'Ulya</t>
  </si>
  <si>
    <t>EBTAQ25-02.057</t>
  </si>
  <si>
    <t>ALFA ARRIZQI</t>
  </si>
  <si>
    <t>NUR MUJAHIDIN</t>
  </si>
  <si>
    <t>MASMUDAH</t>
  </si>
  <si>
    <t>BIO_Images/EBTAQ25-02.057.jpeg</t>
  </si>
  <si>
    <t>Inta larissa nastaha</t>
  </si>
  <si>
    <t>Multazam</t>
  </si>
  <si>
    <t>Insiyah</t>
  </si>
  <si>
    <t>BIO_Images/EBTAQ25-03.105.jpg</t>
  </si>
  <si>
    <t>EBTAQ25-06.010</t>
  </si>
  <si>
    <t>Desti fajar nuriyana</t>
  </si>
  <si>
    <t>Nur Akhwan</t>
  </si>
  <si>
    <t>Qomariyah</t>
  </si>
  <si>
    <t>BIO_Images/EBTAQ25-06.010.jpg</t>
  </si>
  <si>
    <t>EBTAQ25-05.045</t>
  </si>
  <si>
    <t>BIO_Images/EBTAQ25-05.045.jpg</t>
  </si>
  <si>
    <t>EBTAQ25-06.012</t>
  </si>
  <si>
    <t>Uliana Fitriatuz Zahra</t>
  </si>
  <si>
    <t>Kota Semarang</t>
  </si>
  <si>
    <t>Latif Khaeroni</t>
  </si>
  <si>
    <t>Nurul Imlaily Chasanah</t>
  </si>
  <si>
    <t>BIO_Images/EBTAQ25-06.012.jpg</t>
  </si>
  <si>
    <t>EBTAQ25-05.046</t>
  </si>
  <si>
    <t>AHMAD BAYU AGIL SHIROD</t>
  </si>
  <si>
    <t>SUYATNO</t>
  </si>
  <si>
    <t>MURTOFIAH</t>
  </si>
  <si>
    <t>BIO_Images/EBTAQ25-05.046.jpg</t>
  </si>
  <si>
    <t>EBTAQ25-01.347</t>
  </si>
  <si>
    <t>AL FARIH MAULANA AKBAR</t>
  </si>
  <si>
    <t>HENDRA ADISAPUTRA</t>
  </si>
  <si>
    <t>DINA MUNAWAROH</t>
  </si>
  <si>
    <t>BIO_Images/EBTAQ25-01.347.jpeg</t>
  </si>
  <si>
    <t>MI SULTAN FATAH</t>
  </si>
  <si>
    <t>EBTAQ25-05.047</t>
  </si>
  <si>
    <t>ASBIQ FAZARIZAZ</t>
  </si>
  <si>
    <t>MISBAH</t>
  </si>
  <si>
    <t>FAUZIAH</t>
  </si>
  <si>
    <t>BIO_Images/EBTAQ25-05.047.jpg</t>
  </si>
  <si>
    <t>EBTAQ25-05.048</t>
  </si>
  <si>
    <t>ATIQAH AZIZAH</t>
  </si>
  <si>
    <t>MOHAMMAD RIVAN AMINUDIN</t>
  </si>
  <si>
    <t>LAILATUL MUBAROKAH</t>
  </si>
  <si>
    <t>BIO_Images/EBTAQ25-05.048.jpg</t>
  </si>
  <si>
    <t>EBTAQ25-05.049</t>
  </si>
  <si>
    <t>AGHNA RAFIF ABRISAM</t>
  </si>
  <si>
    <t>Nur Eko Adi Purnomo</t>
  </si>
  <si>
    <t>Futimah</t>
  </si>
  <si>
    <t>BIO_Images/EBTAQ25-05.049.jpg</t>
  </si>
  <si>
    <t>Karbon - TPQ Masithoh I</t>
  </si>
  <si>
    <t>MUHAMMAD MALJAUL LUTHFI AZIZI</t>
  </si>
  <si>
    <t>EBTAQ25-05.050</t>
  </si>
  <si>
    <t>AULIYA IZZATUL FADHILAH</t>
  </si>
  <si>
    <t>JUWADI</t>
  </si>
  <si>
    <t>SITI MUDZAKIROH</t>
  </si>
  <si>
    <t>BIO_Images/EBTAQ25-05.050.jpg</t>
  </si>
  <si>
    <t>EBTAQ25-01.349</t>
  </si>
  <si>
    <t>BILQIS AYU HIDAYATI</t>
  </si>
  <si>
    <t>CHASAN MACHMUD</t>
  </si>
  <si>
    <t>IKROMAH</t>
  </si>
  <si>
    <t>BIO_Images/EBTAQ25-01.349.jpeg</t>
  </si>
  <si>
    <t>EBTAQ25-01.350</t>
  </si>
  <si>
    <t>CANTIKA SYAFINA SEPTIANINGRUM</t>
  </si>
  <si>
    <t>SUNARTI</t>
  </si>
  <si>
    <t>BIO_Images/EBTAQ25-01.350.jpeg</t>
  </si>
  <si>
    <t>EBTAQ25-01.351</t>
  </si>
  <si>
    <t>CHURRIN IEN YUFARRICHUNA</t>
  </si>
  <si>
    <t>ZARKONI</t>
  </si>
  <si>
    <t>ULFA KURNIASTUTI</t>
  </si>
  <si>
    <t>BIO_Images/EBTAQ25-01.351.jpeg</t>
  </si>
  <si>
    <t>EBTAQ25-01.352</t>
  </si>
  <si>
    <t>DALISHA AIRIN MUMTAZAH</t>
  </si>
  <si>
    <t>EKO SUNARYO</t>
  </si>
  <si>
    <t>SITI ROKHAYATI</t>
  </si>
  <si>
    <t>BIO_Images/EBTAQ25-01.352.jpeg</t>
  </si>
  <si>
    <t>EBTAQ25-01.353</t>
  </si>
  <si>
    <t>DANELLA AURELIA PUTRI</t>
  </si>
  <si>
    <t>DANY TEGUH SAPUTRA</t>
  </si>
  <si>
    <t>HELY NJURNANINGSIH</t>
  </si>
  <si>
    <t>BIO_Images/EBTAQ25-01.353.jpeg</t>
  </si>
  <si>
    <t>EBTAQ25-05.051</t>
  </si>
  <si>
    <t>OZORA VITO ARISETIAWAN</t>
  </si>
  <si>
    <t>AGUS SETIAWAN</t>
  </si>
  <si>
    <t>RIZA ADHITIAS</t>
  </si>
  <si>
    <t>BIO_Images/EBTAQ25-05.051.jpg</t>
  </si>
  <si>
    <t>EBTAQ25-05.052</t>
  </si>
  <si>
    <t>AHMAD ZAINUSYIFA AS - SHODIQY</t>
  </si>
  <si>
    <t>ROHMAT</t>
  </si>
  <si>
    <t>SITI MUBAROKAH, AH , S.Pd</t>
  </si>
  <si>
    <t>BIO_Images/EBTAQ25-05.052.jpg</t>
  </si>
  <si>
    <t>EBTAQ25-02.058</t>
  </si>
  <si>
    <t>Nur Muhammad Nazil</t>
  </si>
  <si>
    <t>Rokim</t>
  </si>
  <si>
    <t>Solekah</t>
  </si>
  <si>
    <t>BIO_Images/EBTAQ25-02.058.jpg</t>
  </si>
  <si>
    <t>Dewoka - Bustanul Muta'allimin</t>
  </si>
  <si>
    <t>EBTAQ25-02.059</t>
  </si>
  <si>
    <t>Jovan Alaric Wahyu Adijaya</t>
  </si>
  <si>
    <t>Sukoharjo</t>
  </si>
  <si>
    <t>Slamet Widodo</t>
  </si>
  <si>
    <t>Hartini Wati</t>
  </si>
  <si>
    <t>BIO_Images/EBTAQ25-02.059.jpg</t>
  </si>
  <si>
    <t>EBTAQ25-02.060</t>
  </si>
  <si>
    <t>Kevin Ardana Abiputra</t>
  </si>
  <si>
    <t>Novi Puspitasari</t>
  </si>
  <si>
    <t>BIO_Images/EBTAQ25-02.060.jpg</t>
  </si>
  <si>
    <t>EBTAQ25-02.061</t>
  </si>
  <si>
    <t>Dwi Arsya Azahra</t>
  </si>
  <si>
    <t>Amin Sugiharso</t>
  </si>
  <si>
    <t>Irfatul Uliyah</t>
  </si>
  <si>
    <t>BIO_Images/EBTAQ25-02.061.jpg</t>
  </si>
  <si>
    <t>EBTAQ25-02.062</t>
  </si>
  <si>
    <t>Bella Citra Mahardika</t>
  </si>
  <si>
    <t>Joko Susilo</t>
  </si>
  <si>
    <t>Ari Praptiningsih</t>
  </si>
  <si>
    <t>BIO_Images/EBTAQ25-02.062.jpg</t>
  </si>
  <si>
    <t>EBTAQ25-02.063</t>
  </si>
  <si>
    <t>Fitri Nurul Nafisah</t>
  </si>
  <si>
    <t>-</t>
  </si>
  <si>
    <t>Titik Asmorowati</t>
  </si>
  <si>
    <t>BIO_Images/EBTAQ25-02.063.jpg</t>
  </si>
  <si>
    <t>EBTAQ25-02.064</t>
  </si>
  <si>
    <t>Mustofa Achmad</t>
  </si>
  <si>
    <t>Leles Muhammad Heri</t>
  </si>
  <si>
    <t>Supriyana</t>
  </si>
  <si>
    <t>BIO_Images/EBTAQ25-02.064.jpg</t>
  </si>
  <si>
    <t>Muhammad lutfil bahij</t>
  </si>
  <si>
    <t>MAESAROH</t>
  </si>
  <si>
    <t>BIO_Images/EBTAQ25-03.107.jpeg</t>
  </si>
  <si>
    <t>EBTAQ25-05.053</t>
  </si>
  <si>
    <t>MUHAMMAD IQBAL</t>
  </si>
  <si>
    <t>YANTO SUYATNO</t>
  </si>
  <si>
    <t>SITI SUNARIYAH</t>
  </si>
  <si>
    <t>BIO_Images/EBTAQ25-05.053.jpg</t>
  </si>
  <si>
    <t>BIO_Images/EBTAQ25-03.108.jpeg</t>
  </si>
  <si>
    <t>BIO_Images/EBTAQ25-03.109.jpeg</t>
  </si>
  <si>
    <t>EBTAQ25-01.354</t>
  </si>
  <si>
    <t>KANAYA YASMINE AZZAHRA</t>
  </si>
  <si>
    <t>FATKHUR MUJID</t>
  </si>
  <si>
    <t>ROKHIMAH</t>
  </si>
  <si>
    <t>BIO_Images/EBTAQ25-01.354.jpeg</t>
  </si>
  <si>
    <t>SEKAR TRIYANI LATHIFAH</t>
  </si>
  <si>
    <t>NGATMANI</t>
  </si>
  <si>
    <t>ELLIYA</t>
  </si>
  <si>
    <t>BIO_Images/EBTAQ25-03.112.jpeg</t>
  </si>
  <si>
    <t>BIO_Images/EBTAQ25-03.113.jpeg</t>
  </si>
  <si>
    <t>BIO_Images/EBTAQ25-03.114.jpeg</t>
  </si>
  <si>
    <t>BIO_Images/EBTAQ25-03.115.jpeg</t>
  </si>
  <si>
    <t>BIO_Images/EBTAQ25-03.116.jpeg</t>
  </si>
  <si>
    <t>EBTAQ25-01.355</t>
  </si>
  <si>
    <t>DEMAK 28 Oktober 2013</t>
  </si>
  <si>
    <t>BIO_Images/EBTAQ25-01.355.jpg</t>
  </si>
  <si>
    <t>EBTAQ25-05.055</t>
  </si>
  <si>
    <t>BIO_Images/EBTAQ25-05.055.jpg</t>
  </si>
  <si>
    <t>EBTAQ25-01.356</t>
  </si>
  <si>
    <t>Sajida mecca al jamilah</t>
  </si>
  <si>
    <t>Sujatmiko</t>
  </si>
  <si>
    <t>Diya ulmillah</t>
  </si>
  <si>
    <t>BIO_Images/EBTAQ25-01.356.png</t>
  </si>
  <si>
    <t>Demak - TPQ al Furqon, Sd</t>
  </si>
  <si>
    <t>EBTAQ25-01.357</t>
  </si>
  <si>
    <t>Naufalyna Belva Octavia</t>
  </si>
  <si>
    <t>Nur Wakhid</t>
  </si>
  <si>
    <t>Sri daryatun</t>
  </si>
  <si>
    <t>BIO_Images/EBTAQ25-01.357.jpg</t>
  </si>
  <si>
    <t>EBTAQ25-01.358</t>
  </si>
  <si>
    <t>SYAIFANA KHOIROL BAROZA</t>
  </si>
  <si>
    <t>NASIKIN</t>
  </si>
  <si>
    <t>BIO_Images/EBTAQ25-01.358.jpeg</t>
  </si>
  <si>
    <t>EBTAQ25-01.359</t>
  </si>
  <si>
    <t>Lubna Naura Aprilia</t>
  </si>
  <si>
    <t>Muhammad Rico Adi surya</t>
  </si>
  <si>
    <t>Siti yulaidah</t>
  </si>
  <si>
    <t>BIO_Images/EBTAQ25-01.359.jpg</t>
  </si>
  <si>
    <t>EBTAQ25-05.056</t>
  </si>
  <si>
    <t>Razan Arsyadani</t>
  </si>
  <si>
    <t>Iman Syafii</t>
  </si>
  <si>
    <t>Wajinah</t>
  </si>
  <si>
    <t>BIO_Images/EBTAQ25-05.056.jpg</t>
  </si>
  <si>
    <t>EBTAQ25-01.360</t>
  </si>
  <si>
    <t>Shaqueena cut mahya</t>
  </si>
  <si>
    <t>Nyak mahyulizar</t>
  </si>
  <si>
    <t>Mualimah</t>
  </si>
  <si>
    <t>BIO_Images/EBTAQ25-01.360.jpg</t>
  </si>
  <si>
    <t>Asyifa Romdhotul Jannah</t>
  </si>
  <si>
    <t>Lukman</t>
  </si>
  <si>
    <t>BIO_Images/EBTAQ25-03.117.jpg</t>
  </si>
  <si>
    <t>Aqila Khansa Muazarah</t>
  </si>
  <si>
    <t>Mulyo</t>
  </si>
  <si>
    <t>Khalimatus Sa'diyah</t>
  </si>
  <si>
    <t>BIO_Images/EBTAQ25-03.118.jpg</t>
  </si>
  <si>
    <t>EBTAQ25-01.361</t>
  </si>
  <si>
    <t>Raihan Nur Hidayat</t>
  </si>
  <si>
    <t>Dodik Exquayon</t>
  </si>
  <si>
    <t>Kustiah</t>
  </si>
  <si>
    <t>BIO_Images/EBTAQ25-01.361.jpg</t>
  </si>
  <si>
    <t>EBTAQ25-01.362</t>
  </si>
  <si>
    <t>Nur Khasanah</t>
  </si>
  <si>
    <t>Ujang Nuryana</t>
  </si>
  <si>
    <t>BIO_Images/EBTAQ25-01.362.jpg</t>
  </si>
  <si>
    <t>Naura Alfiyatur Rohmah</t>
  </si>
  <si>
    <t>Sofiyanto</t>
  </si>
  <si>
    <t>Anisah</t>
  </si>
  <si>
    <t>BIO_Images/EBTAQ25-03.119.jpg</t>
  </si>
  <si>
    <t>Melinda</t>
  </si>
  <si>
    <t>Rukaimi</t>
  </si>
  <si>
    <t>Tuminah</t>
  </si>
  <si>
    <t>BIO_Images/EBTAQ25-03.120.jpg</t>
  </si>
  <si>
    <t>EBTAQ25-05.057</t>
  </si>
  <si>
    <t>Mutiara Nika Sekar Melati</t>
  </si>
  <si>
    <t>Robani</t>
  </si>
  <si>
    <t>Suriah</t>
  </si>
  <si>
    <t>BIO_Images/EBTAQ25-05.057.jpg</t>
  </si>
  <si>
    <t>Karbon - TPQ Al Muttaqin</t>
  </si>
  <si>
    <t>EBTAQ25-01.363</t>
  </si>
  <si>
    <t>Wafiq aulia</t>
  </si>
  <si>
    <t>Budiman</t>
  </si>
  <si>
    <t>BIO_Images/EBTAQ25-01.363.jpg</t>
  </si>
  <si>
    <t>EBTAQ25-05.058</t>
  </si>
  <si>
    <t>Rahma Fitriani</t>
  </si>
  <si>
    <t>Parjono</t>
  </si>
  <si>
    <t>Subiyati</t>
  </si>
  <si>
    <t>BIO_Images/EBTAQ25-05.058.jpg</t>
  </si>
  <si>
    <t>EBTAQ25-01.364</t>
  </si>
  <si>
    <t>Dina mariyana sapta agestina</t>
  </si>
  <si>
    <t>Ahmad daroji</t>
  </si>
  <si>
    <t>Maryati</t>
  </si>
  <si>
    <t>BIO_Images/EBTAQ25-01.364.jpg</t>
  </si>
  <si>
    <t>EBTAQ25-01.365</t>
  </si>
  <si>
    <t>Aprilya zolla ahlakul karimah</t>
  </si>
  <si>
    <t>Mohamat Kairul anwar</t>
  </si>
  <si>
    <t>BIO_Images/EBTAQ25-01.365.jpg</t>
  </si>
  <si>
    <t>EBTAQ25-05.059</t>
  </si>
  <si>
    <t>Ahmad Satria Tegar</t>
  </si>
  <si>
    <t>Muhamad Ali Ridwan</t>
  </si>
  <si>
    <t>Sulaimanah</t>
  </si>
  <si>
    <t>BIO_Images/EBTAQ25-05.059.jpg</t>
  </si>
  <si>
    <t>Alika Naili Putri</t>
  </si>
  <si>
    <t>Agung Wibowo</t>
  </si>
  <si>
    <t>BIO_Images/EBTAQ25-03.121.jpg</t>
  </si>
  <si>
    <t>EBTAQ25-05.060</t>
  </si>
  <si>
    <t>Halimatussa'diyah</t>
  </si>
  <si>
    <t>Muhamad Taufiq</t>
  </si>
  <si>
    <t>Siti Al'inayah</t>
  </si>
  <si>
    <t>BIO_Images/EBTAQ25-05.060.jpg</t>
  </si>
  <si>
    <t>Muhammad Hafis Maulana</t>
  </si>
  <si>
    <t>Suwandi</t>
  </si>
  <si>
    <t>Mudrikah</t>
  </si>
  <si>
    <t>BIO_Images/EBTAQ25-03.122.jpg</t>
  </si>
  <si>
    <t>EBTAQ25-04.069</t>
  </si>
  <si>
    <t>Gibran Muhammad Irsyad Al Kafi</t>
  </si>
  <si>
    <t>BIO_Images/EBTAQ25-04.069.jpg</t>
  </si>
  <si>
    <t>Ajeng sayla salsabilla</t>
  </si>
  <si>
    <t>Surip esmandek</t>
  </si>
  <si>
    <t>EBTAQ25-01.367</t>
  </si>
  <si>
    <t>ZUHDI SETIAWAN</t>
  </si>
  <si>
    <t>NURYANAH</t>
  </si>
  <si>
    <t>BIO_Images/EBTAQ25-01.367.jpg</t>
  </si>
  <si>
    <t>EBTAQ25-01.368</t>
  </si>
  <si>
    <t>NAJUBA KHALWA NABIL</t>
  </si>
  <si>
    <t>KUSMANTO</t>
  </si>
  <si>
    <t>UNDARWATI</t>
  </si>
  <si>
    <t>BIO_Images/EBTAQ25-01.368.jpg</t>
  </si>
  <si>
    <t>EBTAQ25-01.369</t>
  </si>
  <si>
    <t>NAURA DWI SEPTIANi</t>
  </si>
  <si>
    <t>HERI PURWANTO</t>
  </si>
  <si>
    <t>USWATUL MAR'AH</t>
  </si>
  <si>
    <t>BIO_Images/EBTAQ25-01.369.jpg</t>
  </si>
  <si>
    <t>EBTAQ25-01.370</t>
  </si>
  <si>
    <t>Joko Purnomo</t>
  </si>
  <si>
    <t>BIO_Images/EBTAQ25-01.370.jpg</t>
  </si>
  <si>
    <t>EBTAQ25-01.372</t>
  </si>
  <si>
    <t>FARRAS MIRZA KHALFANY</t>
  </si>
  <si>
    <t>MUHAMAD RINDUAN</t>
  </si>
  <si>
    <t>BIO_Images/EBTAQ25-01.372.jpg</t>
  </si>
  <si>
    <t>EBTAQ25-01.373</t>
  </si>
  <si>
    <t>NAVYA LEONY</t>
  </si>
  <si>
    <t>Paini</t>
  </si>
  <si>
    <t>BIO_Images/EBTAQ25-01.373.jpg</t>
  </si>
  <si>
    <t>EBTAQ25-01.374</t>
  </si>
  <si>
    <t>BIO_Images/EBTAQ25-01.374.jpg</t>
  </si>
  <si>
    <t>LAILA PURNAMA PUTRI</t>
  </si>
  <si>
    <t>FUAD HASAN</t>
  </si>
  <si>
    <t>TUMISIH</t>
  </si>
  <si>
    <t>EBTAQ25-01.379</t>
  </si>
  <si>
    <t>Muhammad luthfy azka pratama</t>
  </si>
  <si>
    <t>Nur yanto</t>
  </si>
  <si>
    <t>Siti karomah</t>
  </si>
  <si>
    <t>BIO_Images/EBTAQ25-01.379.jpg</t>
  </si>
  <si>
    <t>EBTAQ25-02.065</t>
  </si>
  <si>
    <t>Amaya Sakhi</t>
  </si>
  <si>
    <t>Bambang Hariyanto</t>
  </si>
  <si>
    <t>Tatun Nursiatun</t>
  </si>
  <si>
    <t>BIO_Images/EBTAQ25-02.065.jpg</t>
  </si>
  <si>
    <t>HUSNIA RANI AZZAHRA</t>
  </si>
  <si>
    <t>KASAN NAWAWI</t>
  </si>
  <si>
    <t>NUR SAIDAH</t>
  </si>
  <si>
    <t>EBTAQ25-01.385</t>
  </si>
  <si>
    <t>SYARIFAH AULYA</t>
  </si>
  <si>
    <t>ROZIKIN</t>
  </si>
  <si>
    <t>Shofiatun</t>
  </si>
  <si>
    <t>BIO_Images/EBTAQ25-01.385.jpg</t>
  </si>
  <si>
    <t>MAYZA SYIFA VARISHA RIZQIANA</t>
  </si>
  <si>
    <t>HERU SANTOSO</t>
  </si>
  <si>
    <t>NUR ADZIMAH</t>
  </si>
  <si>
    <t>RANIA ARSYFA SALSABELLA</t>
  </si>
  <si>
    <t>Siti rofiyani</t>
  </si>
  <si>
    <t>EBTAQ25-01.389</t>
  </si>
  <si>
    <t>Demak, kamis 15 Agustus 2015</t>
  </si>
  <si>
    <t>Rozikin</t>
  </si>
  <si>
    <t>BIO_Images/EBTAQ25-01.389.jpg</t>
  </si>
  <si>
    <t>EBTAQ25-01.394</t>
  </si>
  <si>
    <t>Asyla Feza Mahira</t>
  </si>
  <si>
    <t>Muhammad Mutohari</t>
  </si>
  <si>
    <t>Zuafah</t>
  </si>
  <si>
    <t>BIO_Images/EBTAQ25-01.394.jpg</t>
  </si>
  <si>
    <t>Nur Cholis</t>
  </si>
  <si>
    <t>Siti Uminindaroh</t>
  </si>
  <si>
    <t>Faricha Nilnalmuna</t>
  </si>
  <si>
    <t>Muhammad istajib</t>
  </si>
  <si>
    <t>EBTAQ25-01.406</t>
  </si>
  <si>
    <t>Hasna Ahza Mahira</t>
  </si>
  <si>
    <t>Kasnadi</t>
  </si>
  <si>
    <t>Jumiati</t>
  </si>
  <si>
    <t>BIO_Images/EBTAQ25-01.406.jpg</t>
  </si>
  <si>
    <t>Laudia Chintya Bella</t>
  </si>
  <si>
    <t>Ahmad Rofii</t>
  </si>
  <si>
    <t>Raswati</t>
  </si>
  <si>
    <t>EBTAQ25-01.409</t>
  </si>
  <si>
    <t>BIO_Images/EBTAQ25-01.409.jpg</t>
  </si>
  <si>
    <t>ANGGA PRASETYO RAMADHAN</t>
  </si>
  <si>
    <t>KISWANTO</t>
  </si>
  <si>
    <t>SETYO RINI</t>
  </si>
  <si>
    <t>EBTAQ25-01.416</t>
  </si>
  <si>
    <t>ANGGA PRASETYA RAMADHAN</t>
  </si>
  <si>
    <t>BIO_Images/EBTAQ25-01.416.jpeg</t>
  </si>
  <si>
    <t>EBTAQ25-01.417</t>
  </si>
  <si>
    <t>NADIYA AMALIYA HUSNA</t>
  </si>
  <si>
    <t>HIMMATUL MARCHA</t>
  </si>
  <si>
    <t>SUMBER HARYANTO</t>
  </si>
  <si>
    <t>TRI UTAMI</t>
  </si>
  <si>
    <t>EBTAQ25-01.420</t>
  </si>
  <si>
    <t>Meisya Sekar Anindhita</t>
  </si>
  <si>
    <t>Nuryadi</t>
  </si>
  <si>
    <t>Asiyatun</t>
  </si>
  <si>
    <t>BIO_Images/EBTAQ25-01.420.jpg</t>
  </si>
  <si>
    <t>EBTAQ25-01.422</t>
  </si>
  <si>
    <t>BIO_Images/EBTAQ25-01.422.jpeg</t>
  </si>
  <si>
    <t>Slamet Kasmudi</t>
  </si>
  <si>
    <t>Nur Hayati</t>
  </si>
  <si>
    <t>BIO_Images/EBTAQ25-01.430.jpg</t>
  </si>
  <si>
    <t>EBTAQ25-01.432</t>
  </si>
  <si>
    <t>ALVIS FIRGIA NABIL</t>
  </si>
  <si>
    <t>NIR SHOLEH</t>
  </si>
  <si>
    <t>IKHA WAHYU ARDIYANTI</t>
  </si>
  <si>
    <t>BIO_Images/EBTAQ25-01.432.jpg</t>
  </si>
  <si>
    <t>Fakhri nur khoiril anam</t>
  </si>
  <si>
    <t>Surateman</t>
  </si>
  <si>
    <t>MUHAMMAD MALJAUL LUHTFI. AZIZI</t>
  </si>
  <si>
    <t>BIO_Images/EBTAQ25-03.123.jpg</t>
  </si>
  <si>
    <t>ADZKIA NAILA RAMADHANI</t>
  </si>
  <si>
    <t>KISWOYO</t>
  </si>
  <si>
    <t>JUMARTI</t>
  </si>
  <si>
    <t>AQILLA KHANZA SHAFIRA</t>
  </si>
  <si>
    <t>Diego Al-Ghozali</t>
  </si>
  <si>
    <t>Syafaatun</t>
  </si>
  <si>
    <t>EBTAQ25-01.448</t>
  </si>
  <si>
    <t>BIO_Images/EBTAQ25-01.448.jpg</t>
  </si>
  <si>
    <t>Nur imam</t>
  </si>
  <si>
    <t>EBTAQ25-01.450</t>
  </si>
  <si>
    <t>ASYLA FEZA MAHIRA</t>
  </si>
  <si>
    <t>BIO_Images/EBTAQ25-01.450.jpg</t>
  </si>
  <si>
    <t>AHMAD ARKA RASENDRIYA AL KAUTSAR</t>
  </si>
  <si>
    <t>KAMIRUN</t>
  </si>
  <si>
    <t>LEGIMAH</t>
  </si>
  <si>
    <t>BIO_Images/EBTAQ25-03.124.jpeg</t>
  </si>
  <si>
    <t>MUHAMMAD RINDUAN</t>
  </si>
  <si>
    <t>EBTAQ25-01.462</t>
  </si>
  <si>
    <t>BIO_Images/EBTAQ25-01.462.jpg</t>
  </si>
  <si>
    <t>EBTAQ25-01.464</t>
  </si>
  <si>
    <t>Zuhdi wibowo</t>
  </si>
  <si>
    <t>Solichul hadi</t>
  </si>
  <si>
    <t>Alfiah</t>
  </si>
  <si>
    <t>BIO_Images/EBTAQ25-01.464.jpg</t>
  </si>
  <si>
    <t>EBTAQ25-01.465</t>
  </si>
  <si>
    <t>BIO_Images/EBTAQ25-01.465.jpg</t>
  </si>
  <si>
    <t>EBTAQ25-01.466</t>
  </si>
  <si>
    <t>BIO_Images/EBTAQ25-01.466.jpg</t>
  </si>
  <si>
    <t>EBTAQ25-01.470</t>
  </si>
  <si>
    <t>BIO_Images/EBTAQ25-01.470.jpg</t>
  </si>
  <si>
    <t>Sumardi</t>
  </si>
  <si>
    <t>Suyati</t>
  </si>
  <si>
    <t>EBTAQ25-01.476</t>
  </si>
  <si>
    <t>TRI ATMOJO PAMBUDI</t>
  </si>
  <si>
    <t>BIO_Images/EBTAQ25-01.476.jpg</t>
  </si>
  <si>
    <t>DIAN ERLENA</t>
  </si>
  <si>
    <t>SUDARSO</t>
  </si>
  <si>
    <t>SUSANTI</t>
  </si>
  <si>
    <t>BIO_Images/EBTAQ25-03.125.jpg</t>
  </si>
  <si>
    <t>IMAM BAYHAQI</t>
  </si>
  <si>
    <t>KUSNAN</t>
  </si>
  <si>
    <t>TRI BUDI HARMAWATI</t>
  </si>
  <si>
    <t>EBTAQ25-01.481</t>
  </si>
  <si>
    <t>BIO_Images/EBTAQ25-01.481.jpg</t>
  </si>
  <si>
    <t>EBTAQ25-01.484</t>
  </si>
  <si>
    <t>MOHAMAD HERIYANTO</t>
  </si>
  <si>
    <t>TUTI MURYANI</t>
  </si>
  <si>
    <t>BIO_Images/EBTAQ25-01.484.jpg</t>
  </si>
  <si>
    <t>EBTAQ25-01.486</t>
  </si>
  <si>
    <t>BIO_Images/EBTAQ25-01.486.jpg</t>
  </si>
  <si>
    <t>EBTAQ25-01.487</t>
  </si>
  <si>
    <t>BIO_Images/EBTAQ25-01.487.jpg</t>
  </si>
  <si>
    <t>EBTAQ25-01.488</t>
  </si>
  <si>
    <t>Cangkringrembang</t>
  </si>
  <si>
    <t>BIO_Images/EBTAQ25-01.488.jpg</t>
  </si>
  <si>
    <t>EBTAQ25-01.491</t>
  </si>
  <si>
    <t>AKHMAD WINDARTO</t>
  </si>
  <si>
    <t>PUPUT SAFITRI</t>
  </si>
  <si>
    <t>BIO_Images/EBTAQ25-01.491.jpg</t>
  </si>
  <si>
    <t>EBTAQ25-01.492</t>
  </si>
  <si>
    <t>Najma Silmi Adibah</t>
  </si>
  <si>
    <t>Alif Tahudi</t>
  </si>
  <si>
    <t>Erna Noviyanti</t>
  </si>
  <si>
    <t>BIO_Images/EBTAQ25-01.492.jpg</t>
  </si>
  <si>
    <t>SD IT Kota Wali</t>
  </si>
  <si>
    <t>EBTAQ25-01.499</t>
  </si>
  <si>
    <t>Ahmad Habib Mifzal</t>
  </si>
  <si>
    <t>Mohamad khanan</t>
  </si>
  <si>
    <t>Slamet yulianti</t>
  </si>
  <si>
    <t>BIO_Images/EBTAQ25-01.499.jpg</t>
  </si>
  <si>
    <t>EBTAQ25-01.501</t>
  </si>
  <si>
    <t>KHAWLA ADELLA RAMADHANI</t>
  </si>
  <si>
    <t>MUHAMMAD SODIKIN</t>
  </si>
  <si>
    <t>BIO_Images/EBTAQ25-01.501.jpg</t>
  </si>
  <si>
    <t>EBTAQ25-04.070</t>
  </si>
  <si>
    <t>ARSYILA HANANIA HUMAIRA</t>
  </si>
  <si>
    <t>ALI MUNDOFIR</t>
  </si>
  <si>
    <t>ANTIQUL KHOIRIYAH</t>
  </si>
  <si>
    <t>BIO_Images/EBTAQ25-04.070.jpeg</t>
  </si>
  <si>
    <t>Karangga - Babussalam</t>
  </si>
  <si>
    <t>EBTAQ25-04.071</t>
  </si>
  <si>
    <t>AGAM BRAMASTYO ALFALAH</t>
  </si>
  <si>
    <t>SAIFUDDIN</t>
  </si>
  <si>
    <t>NURRISTIANI</t>
  </si>
  <si>
    <t>BIO_Images/EBTAQ25-04.071.jpeg</t>
  </si>
  <si>
    <t>EBTAQ25-01.506</t>
  </si>
  <si>
    <t>Rizky nuzullail ramadhan</t>
  </si>
  <si>
    <t>Bango demak jawa tengah</t>
  </si>
  <si>
    <t>Nur muchlis</t>
  </si>
  <si>
    <t>Maryanah</t>
  </si>
  <si>
    <t>BIO_Images/EBTAQ25-01.506.jpg</t>
  </si>
  <si>
    <t>EBTAQ25-01.507</t>
  </si>
  <si>
    <t>BIO_Images/EBTAQ25-01.507.jpg</t>
  </si>
  <si>
    <t>EBTAQ25-01.508</t>
  </si>
  <si>
    <t>Chauraul Muslichah</t>
  </si>
  <si>
    <t>Adib Mubarok</t>
  </si>
  <si>
    <t>Uli Syifaul Barroh</t>
  </si>
  <si>
    <t>BIO_Images/EBTAQ25-01.508.jpg</t>
  </si>
  <si>
    <t>EBTAQ25-01.510</t>
  </si>
  <si>
    <t>BIO_Images/EBTAQ25-01.510.jpeg</t>
  </si>
  <si>
    <t>EBTAQ25-01.512</t>
  </si>
  <si>
    <t>Ahmad Bintang Saputra</t>
  </si>
  <si>
    <t>Asrori</t>
  </si>
  <si>
    <t>Arifah</t>
  </si>
  <si>
    <t>BIO_Images/EBTAQ25-01.512.jpg</t>
  </si>
  <si>
    <t>EBTAQ25-01.513</t>
  </si>
  <si>
    <t>Demak kec Demak desa bolo kampung dakwos</t>
  </si>
  <si>
    <t>BIO_Images/EBTAQ25-01.513.jpg</t>
  </si>
  <si>
    <t>EBTAQ25-01.514</t>
  </si>
  <si>
    <t>Mahira Hasna Kamila nirwan</t>
  </si>
  <si>
    <t>Iwan Purwanto hadiwibowo</t>
  </si>
  <si>
    <t>Nila Dianawardah</t>
  </si>
  <si>
    <t>BIO_Images/EBTAQ25-01.514.jpg</t>
  </si>
  <si>
    <t>EBTAQ25-01.515</t>
  </si>
  <si>
    <t>BIO_Images/EBTAQ25-01.515.jpg</t>
  </si>
  <si>
    <t>EBTAQ25-06.013</t>
  </si>
  <si>
    <t>Alifa Nayla Putri</t>
  </si>
  <si>
    <t>Ali Imron</t>
  </si>
  <si>
    <t>Nur Fitriana W</t>
  </si>
  <si>
    <t>BIO_Images/EBTAQ25-06.013.jpg</t>
  </si>
  <si>
    <t>Mranggen - Al hidayah</t>
  </si>
  <si>
    <t>Bayu aji syahputra</t>
  </si>
  <si>
    <t>Aspiyan</t>
  </si>
  <si>
    <t>Eni setianingsih</t>
  </si>
  <si>
    <t>EBTAQ25-01.517</t>
  </si>
  <si>
    <t>BIO_Images/EBTAQ25-01.517.jpg</t>
  </si>
  <si>
    <t>EBTAQ25-01.518</t>
  </si>
  <si>
    <t>BIO_Images/EBTAQ25-01.518.jpg</t>
  </si>
  <si>
    <t>ID</t>
  </si>
  <si>
    <t>NAMA</t>
  </si>
  <si>
    <t>TL</t>
  </si>
  <si>
    <t>Diupdate pada Jumat, 12 Desember 2025 - 09.30 WIB</t>
  </si>
  <si>
    <t>Demak - TPQ NURUL IMAN, Dewoka - Nurul Iman</t>
  </si>
  <si>
    <t>https://drive.google.com/open?id=1SvWmwKQtYLGqhi0Dcvzefz2g6t1Z35OM</t>
  </si>
  <si>
    <t>tutimuryani94@guru.sd.belajar.id</t>
  </si>
  <si>
    <t>https://drive.google.com/file/d/1kKrzzJOYrxb4KQ9hupi3GTxzt-lIv3Ar/view?usp=drivesdk</t>
  </si>
  <si>
    <t>https://drive.google.com/open?id=1C4jZRjCRJwHAYZ_fCVk-pZ6zC8NquP7O</t>
  </si>
  <si>
    <t>yusufarifwibowo@gmail.com</t>
  </si>
  <si>
    <t>https://drive.google.com/file/d/1lUnVNWaT1JkVwkQYtKLAwZQlYcE21BYX/view?usp=drivesdk</t>
  </si>
  <si>
    <t>https://drive.google.com/open?id=1M02m6t6b-BbCHjJXH1SaUi6tsDjUR9Md</t>
  </si>
  <si>
    <t>https://drive.google.com/file/d/1EodzJei76fU5aXiXVZeJ7YBoESIyEiU0/view?usp=drivesdk</t>
  </si>
  <si>
    <t>https://drive.google.com/open?id=16lZX52qGvpphVUaJqaQFZlQzHDZ8QwsG</t>
  </si>
  <si>
    <t>https://drive.google.com/file/d/1N28LsuQ11IV52vkzChIjk6gx5cRfsJ1X/view?usp=drivesdk</t>
  </si>
  <si>
    <t>https://drive.google.com/open?id=1nIE6jOgAy4YB0t71f9BX0D97VO5qmEYi</t>
  </si>
  <si>
    <t>putridian5567@gmail.com</t>
  </si>
  <si>
    <t>https://drive.google.com/file/d/10mqqePIo8EImIRWnmI5kHuwhe6rQZLij/view?usp=drivesdk</t>
  </si>
  <si>
    <t>https://drive.google.com/open?id=1G_He5OSHynRQP8Wm0C2ImyStugSQSFgH</t>
  </si>
  <si>
    <t>upi.esta@gmail.com</t>
  </si>
  <si>
    <t>https://drive.google.com/file/d/16xzuGRaEgSdUqU-wMHxq6iCDcVuvznp_/view?usp=drivesdk</t>
  </si>
  <si>
    <t>https://drive.google.com/open?id=1xCYS3L81QS_zY8CDnyYIiBEJjB6199AK</t>
  </si>
  <si>
    <t>https://drive.google.com/file/d/13jIBKgvTjO7QShB0iKBJN0PkjnqF0P2a/view?usp=drivesdk</t>
  </si>
  <si>
    <t>https://drive.google.com/open?id=12nz88Z6dEQWWiQYWbx90ZyQMF60aHfY-</t>
  </si>
  <si>
    <t>https://drive.google.com/file/d/1qw4uCj9D8iS8VcKejrK40GjDAuM-Ee7t/view?usp=drivesdk</t>
  </si>
  <si>
    <t>https://drive.google.com/open?id=1pw2Lj5vlUCSdaKrMqQg86DCGLJw--yGQ</t>
  </si>
  <si>
    <t>kholisatunnafiah54@guru.smk.belajar.id</t>
  </si>
  <si>
    <t>https://drive.google.com/file/d/1ncaQ-y04BxCwWd-ospJM784lDFFzRR0a/view?usp=drivesdk</t>
  </si>
  <si>
    <t>https://drive.google.com/open?id=11nKLU8LmaCq_OcwBHvkrHRGc0q9bjB5h</t>
  </si>
  <si>
    <t>https://drive.google.com/file/d/1w1ob5NHwbFJ_dloUQZ5JCwynsL8bOOQy/view?usp=drivesdk</t>
  </si>
  <si>
    <t>https://drive.google.com/open?id=1CEboIna4mquNWV26OxxIWVKV_ROjrMxC</t>
  </si>
  <si>
    <t>https://drive.google.com/file/d/1ZvcQSp7a6Az71JpwSnPaQLR_k1SfIojD/view?usp=drivesdk</t>
  </si>
  <si>
    <t>https://drive.google.com/open?id=1rXbllAHqEhRndz9pvsZJ2K9HVdmi2Nyz</t>
  </si>
  <si>
    <t>https://drive.google.com/file/d/16MWeoHtmn-EDsh1DpG6kdt_QNqyF_IlK/view?usp=drivesdk</t>
  </si>
  <si>
    <t>https://drive.google.com/open?id=1bkUBmG2L7dUegPNyKcwevwD1kccx2mPS</t>
  </si>
  <si>
    <t>https://drive.google.com/file/d/1heNxoWcbp4oDDM1J_WzsSa1FyJ2pByBZ/view?usp=drivesdk</t>
  </si>
  <si>
    <t>https://drive.google.com/open?id=1CKwa6m6MWkD8ZhKVe6pJ4doGMuLYXXHO</t>
  </si>
  <si>
    <t>marlenalia280@gmail.com</t>
  </si>
  <si>
    <t>EBTAQ25-01.337</t>
  </si>
  <si>
    <t>https://drive.google.com/file/d/1pxrquQihKLfZHeFqbJoSppFzvGzPwT0p/view?usp=drivesdk</t>
  </si>
  <si>
    <t>https://drive.google.com/open?id=19lPkXH3QUt-0VCfqDIeqpuym35GpdRw0</t>
  </si>
  <si>
    <t>zahraahmanisa@gmail.com</t>
  </si>
  <si>
    <t>https://drive.google.com/file/d/1t-9ZUPFOe7pAAJVeQ6yXWFML865uSANl/view?usp=drivesdk</t>
  </si>
  <si>
    <t>https://drive.google.com/open?id=1B0W1PMANmvXwURaihTe5_0YgsU82NrHV</t>
  </si>
  <si>
    <t>https://drive.google.com/file/d/118d8pybXGvjL2X4xAPE82ct9aBFyHUVv/view?usp=drivesdk</t>
  </si>
  <si>
    <t>https://drive.google.com/open?id=1vq2wnFsl-jKUKCMdj9OJeJ1hpB8T2RWI</t>
  </si>
  <si>
    <t>EBTAQ25-01.339</t>
  </si>
  <si>
    <t>https://drive.google.com/file/d/17Qp8gkmzPWkFfO0SNQeMDdOL9D6QfKhy/view?usp=drivesdk</t>
  </si>
  <si>
    <t>https://drive.google.com/open?id=1cgNdBmBCEA7eOdT1KKI_-0qlGXelvq2a</t>
  </si>
  <si>
    <t>lailiardan@gmail.com</t>
  </si>
  <si>
    <t>https://drive.google.com/file/d/1HxFBUwtnJg0GI94K3m7pZ7d2MYt733dh/view?usp=drivesdk</t>
  </si>
  <si>
    <t>Kirana Alma Susilo</t>
  </si>
  <si>
    <t>Heri Susilo</t>
  </si>
  <si>
    <t>Nunik Patriani</t>
  </si>
  <si>
    <t>https://drive.google.com/open?id=1pt7fkhFgYcnyXZQjZ4qD8uVl-rvHcy5l</t>
  </si>
  <si>
    <t>EBTAQ25-01.341</t>
  </si>
  <si>
    <t>https://drive.google.com/file/d/1ZDYM0kjpN13FzI1Xj7forpu5z9JleoM7/view?usp=drivesdk</t>
  </si>
  <si>
    <t>https://drive.google.com/open?id=1nqCJzR0ey2Jc1VW02TkhyxihCSJlaysU</t>
  </si>
  <si>
    <t>https://drive.google.com/file/d/12h9jWUbCTEiTDl_rWsewrAHajFUiOMpp/view?usp=drivesdk</t>
  </si>
  <si>
    <t>https://drive.google.com/open?id=12DB4wT01obcsz7_iduj8YpJftRI2NiCN</t>
  </si>
  <si>
    <t>EBTAQ25-01.342</t>
  </si>
  <si>
    <t>https://drive.google.com/file/d/1CAlqbRaZl_70QcfIpRnuqdfHiHGTul6e/view?usp=drivesdk</t>
  </si>
  <si>
    <t>https://drive.google.com/open?id=17kqmwot_fRTDImo7N815eGZI63e-Uz9Y</t>
  </si>
  <si>
    <t>https://drive.google.com/file/d/1XJo4RHdHy_J9L3RIg_u4NS12AVmrZj5b/view?usp=drivesdk</t>
  </si>
  <si>
    <t>https://drive.google.com/open?id=1hVBEjmVDwK479bZamWNw81u-yKfxww6E</t>
  </si>
  <si>
    <t>https://drive.google.com/file/d/1f1xh5P6M7WgBC44DyvTUYn9b26OA0QTS/view?usp=drivesdk</t>
  </si>
  <si>
    <t>https://drive.google.com/open?id=1RmHNofZavNbmmtTJvq3zpQDbSVpFT7Nk</t>
  </si>
  <si>
    <t>https://drive.google.com/file/d/1V5p_0mAgiU18rxBIGGGtKXlcWCyiQB6v/view?usp=drivesdk</t>
  </si>
  <si>
    <t>https://drive.google.com/open?id=1Hg9bcDp18NpZSoBl5KScL2DyiMYmjCwm</t>
  </si>
  <si>
    <t>oktalina998@gmail.com</t>
  </si>
  <si>
    <t>https://drive.google.com/file/d/1Sp6cdRoThjIPjhE86p2jLPaRTvzwYSJC/view?usp=drivesdk</t>
  </si>
  <si>
    <t>https://drive.google.com/open?id=1xUUAspFJhZzUgELIvNFxbNVELsqqsu4J</t>
  </si>
  <si>
    <t>https://drive.google.com/file/d/124MQ9B9ZXeD_Yh8ezhMp5ZF_3bK4P7so/view?usp=drivesdk</t>
  </si>
  <si>
    <t>https://drive.google.com/open?id=13gH0Smn1gM1_QnZN8jbZvLgV-zU1daKu</t>
  </si>
  <si>
    <t>EBTAQ25-01.344</t>
  </si>
  <si>
    <t>https://drive.google.com/file/d/1EbriQ4B2IrZefHs8KIdnGte7ZYBWDdfG/view?usp=drivesdk</t>
  </si>
  <si>
    <t>https://drive.google.com/open?id=17ST5QLB4qOtNOZFof_rwHSEED1zc6ylA</t>
  </si>
  <si>
    <t>https://drive.google.com/file/d/15j5KqsZKAZ8gVPGsK1_Dqtt1RbIT_Vv_/view?usp=drivesdk</t>
  </si>
  <si>
    <t>https://drive.google.com/open?id=1EW1ayBQ6ynGuCUeVGB3y6UktaYISgkel</t>
  </si>
  <si>
    <t>https://drive.google.com/file/d/1doROzOkTNdArWc0Xgj0b17mAPrvrEVNi/view?usp=drivesdk</t>
  </si>
  <si>
    <t>https://drive.google.com/open?id=1LI2Df53usttRcFxUxcbBOlvEgrLzPMBN</t>
  </si>
  <si>
    <t>https://drive.google.com/file/d/1K_KOuL6nmsLW7JKoF3Oh4LJgDFWbiCQ9/view?usp=drivesdk</t>
  </si>
  <si>
    <t>https://drive.google.com/open?id=1jBnxh3Zg8OkFOSaXMN2w2t1eDTqav6KQ</t>
  </si>
  <si>
    <t>https://drive.google.com/file/d/1CBZyPiqoyaefum4tdGGlpeqk_2hAB918/view?usp=drivesdk</t>
  </si>
  <si>
    <t>https://drive.google.com/open?id=12e6rGbJ2sKsW5FeGM-TqjpoYoB-pDoMB</t>
  </si>
  <si>
    <t>https://drive.google.com/file/d/1lwE7BExcIhyRJfzMp2Rf7e4lwRR8lUEz/view?usp=drivesdk</t>
  </si>
  <si>
    <t>https://drive.google.com/open?id=123Gm7eee2IyRpcNhuP0nQOGbYmqjx3ia</t>
  </si>
  <si>
    <t>pdiah7169@gmail.com</t>
  </si>
  <si>
    <t>https://drive.google.com/file/d/1DXWlk4zBfzUfrQJT1Y2FNT-n1kKIPkjx/view?usp=drivesdk</t>
  </si>
  <si>
    <t>https://drive.google.com/open?id=1gPIn2HmV3eQPJJYIUmaPtldv5CslvuWn</t>
  </si>
  <si>
    <t>https://drive.google.com/file/d/1ULetW-l1a9R-NYq5ovKEUf7_-b4KfJAT/view?usp=drivesdk</t>
  </si>
  <si>
    <t>https://drive.google.com/open?id=15Ox3-OEh0xeyCwILdV7qBK-DSQgoAxNA</t>
  </si>
  <si>
    <t>https://drive.google.com/file/d/18rV36D51n290ag63w2je71K61b83TR7n/view?usp=drivesdk</t>
  </si>
  <si>
    <t>https://drive.google.com/open?id=1ILxxsUEwtJCUli0QlYVcpUCr_-AthHff</t>
  </si>
  <si>
    <t>https://drive.google.com/file/d/1-vnAT8pEXeuKNjBgN_wNawlBk7sBMDUA/view?usp=drivesdk</t>
  </si>
  <si>
    <t>https://drive.google.com/open?id=1EgGzvqbDbnP8dnkw9c97l8Cn1U86cNLS</t>
  </si>
  <si>
    <t>https://drive.google.com/file/d/1HXSb21kELZX0Fjb7hCZhkZagPHhAv1Nz/view?usp=drivesdk</t>
  </si>
  <si>
    <t>https://drive.google.com/open?id=1myWbsRhU_ktNj0TDvZrEuUS3sikHLfAL</t>
  </si>
  <si>
    <t>https://drive.google.com/file/d/1RB5ILCDUpoBbrYGaBopHOU8YSgSUD7RK/view?usp=drivesdk</t>
  </si>
  <si>
    <t>https://drive.google.com/open?id=1zZo8cbduptL6MC7rYIEyT7ggJqAGqnIY</t>
  </si>
  <si>
    <t>https://drive.google.com/file/d/1Sn5oCXyUmytpt7IPEAtCVGpT7sAeVWRc/view?usp=drivesdk</t>
  </si>
  <si>
    <t>https://drive.google.com/open?id=1gm_j2ILzNzCwr3Wj2Hw9GCyDgSKmJ06I</t>
  </si>
  <si>
    <t>https://drive.google.com/file/d/1d3cXzMO61j9yA8Ryq34pURwKcCxmzwTQ/view?usp=drivesdk</t>
  </si>
  <si>
    <t>https://drive.google.com/open?id=16MtuJ1yRHmRzaES-NTfw9AXetxE2E8qP</t>
  </si>
  <si>
    <t>https://drive.google.com/file/d/1-1JE9pT3RsrKF_hau69K0nHuW9cP3tCx/view?usp=drivesdk</t>
  </si>
  <si>
    <t>https://drive.google.com/open?id=1DCNU3NFKabGS7d1q9szqZq6uF8oRDpbu</t>
  </si>
  <si>
    <t>https://drive.google.com/file/d/1p3KMqiZECervMNmEiig6zLv-RuBBGQbS/view?usp=drivesdk</t>
  </si>
  <si>
    <t>https://drive.google.com/open?id=12u_IzoBPhwrkiMkz6Zps3EGnrnItfZ_O</t>
  </si>
  <si>
    <t>https://drive.google.com/file/d/1IkgWDXSu9s2ESuQgnS6gxG7yu1cdRbGA/view?usp=drivesdk</t>
  </si>
  <si>
    <t>https://drive.google.com/open?id=1lrSsJoHfw2WEqWk-rknSbXYsgrmvm_f8</t>
  </si>
  <si>
    <t>https://drive.google.com/file/d/11yaNKutirPpx_EVsSZRIkeCacuJ3zN6L/view?usp=drivesdk</t>
  </si>
  <si>
    <t>MUHAMMAD MALJAUL LUTHFi AZIZI</t>
  </si>
  <si>
    <t>https://drive.google.com/open?id=160DqZ4OJxniq6jRPReW4Huz13RD01B4z</t>
  </si>
  <si>
    <t>r12345rohmah@gmail.com</t>
  </si>
  <si>
    <t>https://drive.google.com/file/d/1LzPwAa6aJnuzASz23zo-N_T9onU7lPDV/view?usp=drivesdk</t>
  </si>
  <si>
    <t>https://drive.google.com/open?id=1o4x6bW30mjcUiqApmeT28BxMlFjleLjz</t>
  </si>
  <si>
    <t>https://drive.google.com/file/d/1BMFxMae6_2LFu6H0c2ANXp0Mx0pPzlCR/view?usp=drivesdk</t>
  </si>
  <si>
    <t>https://drive.google.com/open?id=1UxH07RLW48LW8QP9PmftoYz4xGn8bFRA</t>
  </si>
  <si>
    <t>https://drive.google.com/file/d/1y3BfAXRZEqtJAAVs-KP1sI_V7D-WUZ7a/view?usp=drivesdk</t>
  </si>
  <si>
    <t>https://drive.google.com/open?id=1L6PF91S1boCMrwWeaWRs24iypIYj_nVP</t>
  </si>
  <si>
    <t>https://drive.google.com/file/d/1sPyY7qAOdalBIV_oJobrHKCYrRVNN-eP/view?usp=drivesdk</t>
  </si>
  <si>
    <t>https://drive.google.com/open?id=195WNv920caN458qBmae1LIX6JKKn7cOS</t>
  </si>
  <si>
    <t>hesti.setyorini100700@gmail.com</t>
  </si>
  <si>
    <t>https://drive.google.com/file/d/1Sh0e_cpfBYjiFTV2tyO1Ffrxu32oyHLm/view?usp=drivesdk</t>
  </si>
  <si>
    <t>https://drive.google.com/open?id=13TvOIzsfwI5IBErH6p3BE-dZ34pgTNUs</t>
  </si>
  <si>
    <t>edykristiyanto19830531@gmail.com</t>
  </si>
  <si>
    <t>https://drive.google.com/file/d/1lJDHDWTC4b4N5AY_5eUzUqELUSdIGASQ/view?usp=drivesdk</t>
  </si>
  <si>
    <t>https://drive.google.com/open?id=1pumwoyVPlgmmdUXT7w6DiALsQxlsBaC2</t>
  </si>
  <si>
    <t>https://drive.google.com/file/d/1VBVmgoUdA5_FDtJCAe-5eUYKOlxkuUpY/view?usp=drivesdk</t>
  </si>
  <si>
    <t>https://drive.google.com/open?id=15g2PHQhvD5pTNyhZiGD6FXq-HtQLEJME</t>
  </si>
  <si>
    <t>maulidafebiana22@gmail.com</t>
  </si>
  <si>
    <t>https://drive.google.com/file/d/1_AqjBU8uSm_odQo0ldGH-zOUPunjteqv/view?usp=drivesdk</t>
  </si>
  <si>
    <t>https://drive.google.com/open?id=1zU90AhAXUlbwMzTc-ufszPOKwIQ7ypKH</t>
  </si>
  <si>
    <t>https://drive.google.com/file/d/1HS0tkPj0dLFRSM67GBJwZ4hgAo0eho75/view?usp=drivesdk</t>
  </si>
  <si>
    <t>Siti Nur Salsabila</t>
  </si>
  <si>
    <t>Sholikhin</t>
  </si>
  <si>
    <t>Ngasti'ah</t>
  </si>
  <si>
    <t>https://drive.google.com/open?id=1OcPGVWbDXMNeE9zG7vOlE8yO5ErXuY65</t>
  </si>
  <si>
    <t>EBTAQ25-06.011</t>
  </si>
  <si>
    <t>https://drive.google.com/file/d/1aTdGg0q7FZCyt19SeTPlDmHk2sNivq3U/view?usp=drivesdk</t>
  </si>
  <si>
    <t>https://drive.google.com/open?id=1s8OtL2xj_1--ICjn0yuCCWHHYwx3v54r</t>
  </si>
  <si>
    <t>tpq.asnawiyyah@gmail.com</t>
  </si>
  <si>
    <t>https://drive.google.com/file/d/1KSQPOInZ3UlPP3fQfp0utsTOzkEFKf8k/view?usp=drivesdk</t>
  </si>
  <si>
    <t>https://drive.google.com/open?id=1M7NExzqLsOYp_EUh96yYMMZDEScrEN7P</t>
  </si>
  <si>
    <t>https://drive.google.com/file/d/1-hnLTUHxfUX34-LtkCdfiSxIu0VSzjs0/view?usp=drivesdk</t>
  </si>
  <si>
    <t>https://drive.google.com/open?id=1zCCdMhRTFJglvXLN2wpN10fgJemDIyan</t>
  </si>
  <si>
    <t>https://drive.google.com/file/d/1kNKfXsCOegfStTxhRt3SKeeG3f_sDS2K/view?usp=drivesdk</t>
  </si>
  <si>
    <t>https://drive.google.com/open?id=160kbABLTtfRr2CGJxO0ItBf016lEWYEr</t>
  </si>
  <si>
    <t>muhammadalip.jdn@gmail.com</t>
  </si>
  <si>
    <t>https://drive.google.com/file/d/15T5WlDn38pyUwh2pti0lFT8V19xoeMvl/view?usp=drivesdk</t>
  </si>
  <si>
    <t>https://drive.google.com/open?id=1w8PIBEBcwa2v6fFptPxbLg9-9qq6KAX5</t>
  </si>
  <si>
    <t>https://drive.google.com/file/d/1hkSvMdiN79k4nMVama9Heocm4k7cL8XN/view?usp=drivesdk</t>
  </si>
  <si>
    <t>https://drive.google.com/open?id=1mYkF1kbRAYSrncPC2e1XIit9GAebd6ZX</t>
  </si>
  <si>
    <t>https://drive.google.com/file/d/1JXnAbiUwOcZ9HFhss8GhvQYoemMvrjzI/view?usp=drivesdk</t>
  </si>
  <si>
    <t>https://drive.google.com/open?id=1H_HoA8fd5vmNy8-hugKlML36fgdG6dDf</t>
  </si>
  <si>
    <t>futimah87@gmail.com</t>
  </si>
  <si>
    <t>https://drive.google.com/file/d/1PIPO7izhmSGOFBKjZeOy4c7J7-p5PjMx/view?usp=drivesdk</t>
  </si>
  <si>
    <t>https://drive.google.com/open?id=1qatKQNKWCv8A9DxGCwMpC1N2x5TGgCLM</t>
  </si>
  <si>
    <t>https://drive.google.com/file/d/1YMu4zLwJWpyH5dVFD5suRM2dXtaJDgyE/view?usp=drivesdk</t>
  </si>
  <si>
    <t>https://drive.google.com/open?id=1ChiCHbMqtWAO2bABGcFyYpyOsu7RSXOr</t>
  </si>
  <si>
    <t>https://drive.google.com/file/d/1wgMkwFphGx3MaAp6MZKHndW-qrE6M_s8/view?usp=drivesdk</t>
  </si>
  <si>
    <t>https://drive.google.com/open?id=1qny-eRJWYtDMp16kDUlrZgHEKA0CMQ1H</t>
  </si>
  <si>
    <t>https://drive.google.com/file/d/1pD54C3XJkQgzyWLp3vrSjHl2WCKX-Nkn/view?usp=drivesdk</t>
  </si>
  <si>
    <t>https://drive.google.com/open?id=1WrEK4UNDFenAM1abSlOYnyfqYJeTj1Dd</t>
  </si>
  <si>
    <t>https://drive.google.com/file/d/1ib2865lnM1gpF20Y0ShVkNUBrRLZcoVy/view?usp=drivesdk</t>
  </si>
  <si>
    <t>https://drive.google.com/open?id=1GHbhqz_0_p9ETCugXIKvGsb7luE4_pfS</t>
  </si>
  <si>
    <t>https://drive.google.com/file/d/1YerUCQ1SvkS9zaQ6vv7SvMGwJoo3myvS/view?usp=drivesdk</t>
  </si>
  <si>
    <t>https://drive.google.com/open?id=1vs127iF0lFDqp0qre4IAjrUhdb9e-kNK</t>
  </si>
  <si>
    <t>https://drive.google.com/file/d/1zaRFwpXBwAgCOYJQTH3pIpiAT6jk-XY2/view?usp=drivesdk</t>
  </si>
  <si>
    <t>https://drive.google.com/open?id=1VXbyU23nCnXc-Ab28-lcnUQXQGgyfGsD</t>
  </si>
  <si>
    <t>https://drive.google.com/file/d/1DTSNbxazVXLGFfmJDT1SFjt8NG_qLUoo/view?usp=drivesdk</t>
  </si>
  <si>
    <t>https://drive.google.com/open?id=1Jwglmtau_jwIEsxAx9V_B021Vr8KspW1</t>
  </si>
  <si>
    <t>riz.adhitias@gmail.com</t>
  </si>
  <si>
    <t>https://drive.google.com/file/d/117zvBxoeH5lITTjVYHmX43XjY_PObt-q/view?usp=drivesdk</t>
  </si>
  <si>
    <t>https://drive.google.com/open?id=1J8ewCzSnzhfp9uAGthfF-NJj3lJL1Ngm</t>
  </si>
  <si>
    <t>rohmatdiki72@gmail.com</t>
  </si>
  <si>
    <t>https://drive.google.com/file/d/1VKlKRGekVVONT5dCTa9wW5DboQyuylkf/view?usp=drivesdk</t>
  </si>
  <si>
    <t>https://drive.google.com/open?id=1aeGdOrjAJSttjW5sm6GHgnEHIfEVK4pt</t>
  </si>
  <si>
    <t>korulanam12345@gmail.com</t>
  </si>
  <si>
    <t>https://drive.google.com/file/d/1LC5eNTuynyjV4WuYOODsbk2JHrBjCOFK/view?usp=drivesdk</t>
  </si>
  <si>
    <t>https://drive.google.com/open?id=1rZO_IojWByuDfKb-PeU59ml9rlSG-BW9</t>
  </si>
  <si>
    <t>https://drive.google.com/file/d/1nFs2qJUcjkAQELpOrt9F86NZzRgOsmGf/view?usp=drivesdk</t>
  </si>
  <si>
    <t>https://drive.google.com/open?id=1uAJfL0axkQuqJc29IZ_3lfoJx6NjtE1P</t>
  </si>
  <si>
    <t>https://drive.google.com/file/d/1Qsh9mng7uXqvLHjIUom6MqnRVHlr2tfA/view?usp=drivesdk</t>
  </si>
  <si>
    <t>https://drive.google.com/open?id=1Gjjfy9IKk9ZYBnxBghw-8ekzayts5zAa</t>
  </si>
  <si>
    <t>https://drive.google.com/file/d/1o45zffwwZQvSz4KXXlsCNaKpcKnrDuXp/view?usp=drivesdk</t>
  </si>
  <si>
    <t>https://drive.google.com/open?id=1LzXhyAyvSeWqcJfrTQGqMHQekdKMZ3PF</t>
  </si>
  <si>
    <t>https://drive.google.com/file/d/1v2A5Pt9VojnFNMS3VwdyyW5UN8TGfh40/view?usp=drivesdk</t>
  </si>
  <si>
    <t>https://drive.google.com/open?id=1iKHQrLbf6cSREyxW8CLecTg2jawcUwjO</t>
  </si>
  <si>
    <t>https://drive.google.com/file/d/1GguKFKpPKqa_RNxU1EcO-RofaBys9skS/view?usp=drivesdk</t>
  </si>
  <si>
    <t>https://drive.google.com/open?id=1k9g9d2URGRTjkS0iNyr3toNTwDy9wShb</t>
  </si>
  <si>
    <t>https://drive.google.com/file/d/1nST0z4xzebpzVNXc2jCGPLNHK9aGH-c0/view?usp=drivesdk</t>
  </si>
  <si>
    <t>Demak,28 Oktober 2013</t>
  </si>
  <si>
    <t>https://drive.google.com/open?id=19fJEbfbbTNMZRZN7R4sn7MzN-PRrul5E</t>
  </si>
  <si>
    <t>zaenn528@gmail.com</t>
  </si>
  <si>
    <t>https://drive.google.com/file/d/1nqxQyNaRpNFEb4xwYQjWBBZlQreA7e0L/view?usp=drivesdk</t>
  </si>
  <si>
    <t>https://drive.google.com/open?id=1fiNE20ENYa7RYsO5bygF7FGxWr6WkXRT</t>
  </si>
  <si>
    <t>https://drive.google.com/file/d/16-v2FJrZ4lVHtprW-IJ4D3AzJBdjqBP1/view?usp=drivesdk</t>
  </si>
  <si>
    <t>https://drive.google.com/open?id=1kwVVgVnyDE7Mi01eQ6Un0EeL28heTD3T</t>
  </si>
  <si>
    <t>sisisuna02@gmail.com</t>
  </si>
  <si>
    <t>https://drive.google.com/file/d/14GR8HEpQdWngFKC1HtavGMPnNYp15F-a/view?usp=drivesdk</t>
  </si>
  <si>
    <t>https://drive.google.com/open?id=1uLeXeVJ2w9Ia4H6YTYerQZCnKOAO9d0j</t>
  </si>
  <si>
    <t>https://drive.google.com/file/d/1tSaHJ6tjvFC7IsnCDKIptaTa8va_xVeg/view?usp=drivesdk</t>
  </si>
  <si>
    <t>https://drive.google.com/open?id=1iY-EPut7zmtLjlFvLE1EFWEIpAJtwX9e</t>
  </si>
  <si>
    <t>https://drive.google.com/file/d/1pnFx77H1Lkk7ygTl1bL2oHUnXyU3aNqp/view?usp=drivesdk</t>
  </si>
  <si>
    <t>https://drive.google.com/open?id=1nCoINWmBNj8Rp_EUAmqV07hZz3fDJ1zG</t>
  </si>
  <si>
    <t>https://drive.google.com/file/d/1ZkwXARMQ7mZVHLksQOKM7EM37M13RUH-/view?usp=drivesdk</t>
  </si>
  <si>
    <t>https://drive.google.com/open?id=1RHJM-eXHIb33kqNkSethHJpm1sq7ca02</t>
  </si>
  <si>
    <t>uptdwilayahpjji1@gmail.com</t>
  </si>
  <si>
    <t>https://drive.google.com/file/d/1paYUod5MiC42_BYHGLd_NkHq2y3hfEz7/view?usp=drivesdk</t>
  </si>
  <si>
    <t>https://drive.google.com/open?id=1yz8QrTvVrEs6UwQZ9v3Io7LSG1kDbtNR</t>
  </si>
  <si>
    <t>ngatmanimas@gmail.com</t>
  </si>
  <si>
    <t>EBTAQ25-05.054</t>
  </si>
  <si>
    <t>https://drive.google.com/file/d/1FWRirPybXmkelQRhMamh33TpOBjR8J-i/view?usp=drivesdk</t>
  </si>
  <si>
    <t>https://drive.google.com/open?id=1N2UeMqusbEHKbH1o1fKjgEucc6OcdNvN</t>
  </si>
  <si>
    <t>https://drive.google.com/file/d/1Pn8hZp-oYXXwNgSxz4VwBMOb1wb3_nJg/view?usp=drivesdk</t>
  </si>
  <si>
    <t>https://drive.google.com/open?id=1Nf-7r_K5As7hJs-n0bOPrvfCyz993w6F</t>
  </si>
  <si>
    <t>https://drive.google.com/file/d/18qBQJS1d6iPJST74EYZejT4svwdddlCd/view?usp=drivesdk</t>
  </si>
  <si>
    <t>https://drive.google.com/open?id=1RsHUHobI7du8qadT3CuI46w0XF9OXFo7</t>
  </si>
  <si>
    <t>https://drive.google.com/file/d/1e4WRfwOjbqHklYXnJOMfZ6flEkd5_hZs/view?usp=drivesdk</t>
  </si>
  <si>
    <t>https://drive.google.com/open?id=1QfAlCwWM_IWobxpA0vd-hFSbK9JT_rFl</t>
  </si>
  <si>
    <t>https://drive.google.com/file/d/1xV8gQn1VAFpHzUTyceag1u7yyYXc7Jqe/view?usp=drivesdk</t>
  </si>
  <si>
    <t>https://drive.google.com/open?id=1Idks_1IsiNMfBYnKQVboTsq6GEfGcE83</t>
  </si>
  <si>
    <t>https://drive.google.com/file/d/1mMIFG7nAGyvVGv_eSZMBBJ4DwJhM-qOV/view?usp=drivesdk</t>
  </si>
  <si>
    <t>https://drive.google.com/open?id=1CJP5BtyJjppef-jDBcFbroWDRg-07LS-</t>
  </si>
  <si>
    <t>https://drive.google.com/file/d/1asJtlk3MThiE8toPQMf6EGcD2jsOwnuS/view?usp=drivesdk</t>
  </si>
  <si>
    <t>https://drive.google.com/open?id=1PIWMremD9IgOqGhWFdIUSvXw2KHQzYNy</t>
  </si>
  <si>
    <t>https://drive.google.com/file/d/1x6HW3_wkTAxdlQlf6H4ZikGqY4Im__9W/view?usp=drivesdk</t>
  </si>
  <si>
    <t>https://drive.google.com/open?id=1su7U_tjpZUqTbBAXE5y0GDb_j3Jjkmzj</t>
  </si>
  <si>
    <t>https://drive.google.com/file/d/1ZEgS54tavFteW6GBbEsacDbeKfGVXIdl/view?usp=drivesdk</t>
  </si>
  <si>
    <t>https://drive.google.com/open?id=1WOdQGkWzoZi-JmWQwd6dHwftcg9TpZ4i</t>
  </si>
  <si>
    <t>sajidamecca67@gmail.com</t>
  </si>
  <si>
    <t>https://drive.google.com/file/d/1ZcKhaFoy1nxUDnKHfPaFuRzRNxCnYEuM/view?usp=drivesdk</t>
  </si>
  <si>
    <t>https://drive.google.com/open?id=1eOqIp1V-ugnrqYD5LYHkcchcrufJESAQ</t>
  </si>
  <si>
    <t>balvaoktavia@gmail.com</t>
  </si>
  <si>
    <t>https://drive.google.com/file/d/1BAGm5TS5HGM8fi0TLyvAgDwKTwMvw5Lk/view?usp=drivesdk</t>
  </si>
  <si>
    <t>https://drive.google.com/open?id=1YPBZMVfLAV8_9Dg1jw2eFngrxNxLSFh7</t>
  </si>
  <si>
    <t>zaimussyafiq.syaifana@gmail.com</t>
  </si>
  <si>
    <t>https://drive.google.com/file/d/1KqlXDPzWnOrJoNBWQmyIOVOk0medJHjZ/view?usp=drivesdk</t>
  </si>
  <si>
    <t>https://drive.google.com/open?id=1ezYd82WyVuIZ-saJM2NLvQmE8kd_YCpc</t>
  </si>
  <si>
    <t>lubnanaura176@gmail.com</t>
  </si>
  <si>
    <t>https://drive.google.com/file/d/1gsEG2RqoLnP7Hm1sU8xKCGWXnj5iEa7_/view?usp=drivesdk</t>
  </si>
  <si>
    <t>https://drive.google.com/open?id=1qUf_kXsuqrzdaUy-rPLErbDiP1ev_Ita</t>
  </si>
  <si>
    <t>https://drive.google.com/file/d/1NQoPR81oEskb9RyT-AEwtMZjJHl3addY/view?usp=drivesdk</t>
  </si>
  <si>
    <t>https://drive.google.com/open?id=1hKO-k_5f4mifGO_nnlj6peokVqzVUnKq</t>
  </si>
  <si>
    <t>nyakmahyulizaraceh@gmail.com</t>
  </si>
  <si>
    <t>https://drive.google.com/file/d/1XoeIG5eZVxImVZ55ayTCoLZqj2eRke4u/view?usp=drivesdk</t>
  </si>
  <si>
    <t>https://drive.google.com/open?id=1K9ydQGgVTO-D8HVgx6BYGdPh5FTCp3j4</t>
  </si>
  <si>
    <t>chedut1234@gmail.com</t>
  </si>
  <si>
    <t>https://drive.google.com/file/d/1QJflHK9gUEMbudKwmZbzmUtR5XS4wxeW/view?usp=drivesdk</t>
  </si>
  <si>
    <t>https://drive.google.com/open?id=1jLIPRskTM93VJJaoo4cCbesMQhCkmCRe</t>
  </si>
  <si>
    <t>https://drive.google.com/file/d/1co6ig5TVUrxO7aP4dVNgxFzs6ZJr5zr2/view?usp=drivesdk</t>
  </si>
  <si>
    <t>https://drive.google.com/open?id=1uyZyrwQkil7ZXsbVdiQtrHbZS8FxXDGE</t>
  </si>
  <si>
    <t>tokosuksess23@gmail.com</t>
  </si>
  <si>
    <t>https://drive.google.com/file/d/19Aix4OPzay_FTx9YA8GwIMIFWWQEaGbS/view?usp=drivesdk</t>
  </si>
  <si>
    <t>https://drive.google.com/open?id=117pT1tPL37O-GpsLz1mRIHCoJ7WX4lJV</t>
  </si>
  <si>
    <t>ibuiklimahbango@gmail.com</t>
  </si>
  <si>
    <t>https://drive.google.com/file/d/1FYFHggm4mhbXKQCMIKhNIApi7F7InmmY/view?usp=drivesdk</t>
  </si>
  <si>
    <t>https://drive.google.com/open?id=18WgcyDJMUFcCD6BKq_7g2VNVz7B_uO2m</t>
  </si>
  <si>
    <t>khansamua5@gmail.com</t>
  </si>
  <si>
    <t>https://drive.google.com/file/d/1XzDoB77Ia27weSFTvH0oUUE1pG8Efyv3/view?usp=drivesdk</t>
  </si>
  <si>
    <t>https://drive.google.com/open?id=14X7U5lW09trjNHw2eeBVxIPKxQMMTGYa</t>
  </si>
  <si>
    <t>rukemideleik@gmail.com</t>
  </si>
  <si>
    <t>https://drive.google.com/file/d/1Vnur17M-WaFdNyD8mP8L3buF78vRV58P/view?usp=drivesdk</t>
  </si>
  <si>
    <t>https://drive.google.com/open?id=1erQSZ0TCxfDwZ29-vBv9IJWH8VNhbYyg</t>
  </si>
  <si>
    <t>indahhidayati123@gmail.com</t>
  </si>
  <si>
    <t>https://drive.google.com/file/d/1MmcEh9QNg1Ht9ar-C4hwoMcv3BAAfhuT/view?usp=drivesdk</t>
  </si>
  <si>
    <t>https://drive.google.com/open?id=1gj8O-ZCAxxYnkzkYg68_yHDJRa77Cbf1</t>
  </si>
  <si>
    <t>wafiqaulia752@gmail.com</t>
  </si>
  <si>
    <t>https://drive.google.com/file/d/1HMr4UuX89ttJQDdcCyLUkvbbVzlaQoYn/view?usp=drivesdk</t>
  </si>
  <si>
    <t>https://drive.google.com/open?id=1ppO6Q7szqtuQw0R0pQbc47zEi58bu9Dx</t>
  </si>
  <si>
    <t>https://drive.google.com/file/d/18WsMNOr9t66IZeOA8xTgqWssw2Atr5yl/view?usp=drivesdk</t>
  </si>
  <si>
    <t>https://drive.google.com/open?id=1NizjICQtP7cOfLykBOq33Jy9vKvVnlQs</t>
  </si>
  <si>
    <t>patriotpatriot839@gmail.com</t>
  </si>
  <si>
    <t>https://drive.google.com/file/d/1GKl-kFC41-0H-YHkiW20BY6xoEmmpgwc/view?usp=drivesdk</t>
  </si>
  <si>
    <t>https://drive.google.com/open?id=1h45p8GOai0EtLznZSGUznu6vIteYzxsO</t>
  </si>
  <si>
    <t>zollazilla9@gmail.com</t>
  </si>
  <si>
    <t>https://drive.google.com/file/d/1X1loO9Ezn5zzk-wY7pivydIYezOMY9Yp/view?usp=drivesdk</t>
  </si>
  <si>
    <t>https://drive.google.com/open?id=1pkrncBpZQGcWwkF5Ayjgsel1BbzPDMLF</t>
  </si>
  <si>
    <t>https://drive.google.com/file/d/1tmgN8ouaeqY1Hyo40g_r6CW1cbA6eycP/view?usp=drivesdk</t>
  </si>
  <si>
    <t>https://drive.google.com/open?id=10S7k2zVN1xlkIIQ6cfNDK8P1vQw9uekO</t>
  </si>
  <si>
    <t>npa72245@gmail.com</t>
  </si>
  <si>
    <t>https://drive.google.com/file/d/1x415600bwI7kbL0JCAYs5sNj1TsyAfbi/view?usp=drivesdk</t>
  </si>
  <si>
    <t>https://drive.google.com/open?id=1XcX3ul-ZhW2Ocs9_GR2E7220ZUkMQfUa</t>
  </si>
  <si>
    <t>https://drive.google.com/file/d/1a68Nqc78Y2BBRhHyfFE19mRKoYnGOAQT/view?usp=drivesdk</t>
  </si>
  <si>
    <t>https://drive.google.com/open?id=1z0pYP2ROZvPyYk-DFDNqg6_f6N-AX-kV</t>
  </si>
  <si>
    <t>https://drive.google.com/file/d/1TMSWxs8wATuZGHKTpDCaAL_8DGFVIART/view?usp=drivesdk</t>
  </si>
  <si>
    <t>https://drive.google.com/open?id=1bsc5QBcXOnqIvA8BYJTwnergkD6ctpg4</t>
  </si>
  <si>
    <t>faridakurniarohmah95@gmail.com</t>
  </si>
  <si>
    <t>https://drive.google.com/file/d/1yW9GXoRs5P1A71xgTXgkTnV8Ce5dD7uL/view?usp=drivesdk</t>
  </si>
  <si>
    <t>Joko purnomo</t>
  </si>
  <si>
    <t>https://drive.google.com/open?id=1ta_OlEK5JhDiJIUxVmY_nT4MaZv87c89</t>
  </si>
  <si>
    <t>sailademak@gmail.com</t>
  </si>
  <si>
    <t>EBTAQ25-01.366</t>
  </si>
  <si>
    <t>https://drive.google.com/file/d/1oQmfNwb2GY6C6FfIwdygt9IycthsCXw8/view?usp=drivesdk</t>
  </si>
  <si>
    <t>https://drive.google.com/open?id=1Qnpyz5KPTJrRw8Ye02itD81qD7Y2wwiK</t>
  </si>
  <si>
    <t>salisatul.salisa@gmail.com</t>
  </si>
  <si>
    <t>https://drive.google.com/file/d/1ka1BSmAqK7FMkFOnlPV7-zBUluxbI2s6/view?usp=drivesdk</t>
  </si>
  <si>
    <t>https://drive.google.com/open?id=1qV44wpt0XDxEdTnuCf4d9F5zdA8zDrpj</t>
  </si>
  <si>
    <t>umimasyitoh29@gmail.com</t>
  </si>
  <si>
    <t>https://drive.google.com/file/d/1iJwfcgDrG_wZxf8409tNqkPZNcpyYVlS/view?usp=drivesdk</t>
  </si>
  <si>
    <t>https://drive.google.com/open?id=1mg_a_jNX2K48y44W6Y9RFhkFSBsyx6Ga</t>
  </si>
  <si>
    <t>https://drive.google.com/file/d/1mPCToccGgt9MoFdomJqPTsZNl-urf_zk/view?usp=drivesdk</t>
  </si>
  <si>
    <t>https://drive.google.com/open?id=1IXILp-rUmoW6RnhdemIBj7Zo6T1325Tg</t>
  </si>
  <si>
    <t>https://drive.google.com/file/d/1xC_i8TlFwTxmyKOQ0Zq4D2pmyTYG9XzE/view?usp=drivesdk</t>
  </si>
  <si>
    <t>Angga prasetyo ramadhan</t>
  </si>
  <si>
    <t>Kiswanto</t>
  </si>
  <si>
    <t>Setyo rini</t>
  </si>
  <si>
    <t>https://drive.google.com/open?id=1URxoDBawZEFc2Pj2a93jGGXtMOx2JmrL</t>
  </si>
  <si>
    <t>anggaprasetyo9910@gmail.com</t>
  </si>
  <si>
    <t>EBTAQ25-01.371</t>
  </si>
  <si>
    <t>https://drive.google.com/file/d/1242OljUIwRhkEI6Nw6zQevTIBC88eUlx/view?usp=drivesdk</t>
  </si>
  <si>
    <t>https://drive.google.com/open?id=1MlLH0gRPe6rInuyIzEsDf_W83-3Bil4l</t>
  </si>
  <si>
    <t>sitimahmudah36124@gmail.com</t>
  </si>
  <si>
    <t>https://drive.google.com/file/d/1x3AENv_SMjqh3pL_muq1NkGpzxcS4xhm/view?usp=drivesdk</t>
  </si>
  <si>
    <t>Dakwos Bolo Demak</t>
  </si>
  <si>
    <t>https://drive.google.com/open?id=1HTAjVAQgj_8OSj3zb9ldUm8P76GVwH0r</t>
  </si>
  <si>
    <t>enief03@gmail.com</t>
  </si>
  <si>
    <t>https://drive.google.com/file/d/1peT9pHPkjk5WiyVRmKBfVYMwo9cBWQB5/view?usp=drivesdk</t>
  </si>
  <si>
    <t>https://drive.google.com/open?id=1Gt5MEh2o2HkoP0bIkceXsnrGiFT_EaT7</t>
  </si>
  <si>
    <t>https://drive.google.com/file/d/1CP1aXRDUpsxhlpDhitQhATS0SovJwdat/view?usp=drivesdk</t>
  </si>
  <si>
    <t>https://drive.google.com/open?id=1r1MpxWSL8d__Jwx29LGaZv7maNXFwiLC</t>
  </si>
  <si>
    <t>EBTAQ25-01.375</t>
  </si>
  <si>
    <t>https://drive.google.com/file/d/1ey_sq9IvqZFnBr8DxboQCTBMdztY4tt5/view?usp=drivesdk</t>
  </si>
  <si>
    <t>Setyo Rini</t>
  </si>
  <si>
    <t>https://drive.google.com/open?id=1Y67g1hoQguvjjkPYL4OAA70GCXx1WAL1</t>
  </si>
  <si>
    <t>EBTAQ25-01.376</t>
  </si>
  <si>
    <t>https://drive.google.com/file/d/1EFn8T_T2564mVX5zSo6bS0y_7lJQIGnK/view?usp=drivesdk</t>
  </si>
  <si>
    <t>https://drive.google.com/open?id=1dZXUAZSXrIVvhJaR3cKbMP_5xy9lZTJp</t>
  </si>
  <si>
    <t>aryaputri592@gmail.com</t>
  </si>
  <si>
    <t>EBTAQ25-01.377</t>
  </si>
  <si>
    <t>https://drive.google.com/file/d/15JHpWacK7jnxWfBnxDotxCJTaPcDWY0T/view?usp=drivesdk</t>
  </si>
  <si>
    <t>https://drive.google.com/open?id=1Tx2x-YsIvvh0TPO-kJoNyMhu0oelvm2b</t>
  </si>
  <si>
    <t>EBTAQ25-01.378</t>
  </si>
  <si>
    <t>https://drive.google.com/file/d/1kKwBRn0UfewJ2eJXRDw8D0r4TQ88kJyJ/view?usp=drivesdk</t>
  </si>
  <si>
    <t>https://drive.google.com/open?id=1GC_eHvCM2b6KZWReDDsEoSzHVtc2e5ND</t>
  </si>
  <si>
    <t>muhl65900@gmail.com</t>
  </si>
  <si>
    <t>https://drive.google.com/file/d/11wuGTbXLx46-HMCudD80bCMNSE_HJJYS/view?usp=drivesdk</t>
  </si>
  <si>
    <t>Angga Prasetyo Ramadhan</t>
  </si>
  <si>
    <t>https://drive.google.com/open?id=15d60Bvqq8IvVM6GepevJbddPoFD4mXUx</t>
  </si>
  <si>
    <t>EBTAQ25-01.380</t>
  </si>
  <si>
    <t>https://drive.google.com/file/d/1Sp8vneLZ2LVkpCwoBwYLrzsvATPvaR-0/view?usp=drivesdk</t>
  </si>
  <si>
    <t>https://drive.google.com/open?id=1mJDhK3J3HmezCgYzG4x6mq8uVouq87MM</t>
  </si>
  <si>
    <t>EBTAQ25-01.381</t>
  </si>
  <si>
    <t>https://drive.google.com/file/d/1R2j0wXUwhgNih4cXKBwj7OpXA8E1UXFg/view?usp=drivesdk</t>
  </si>
  <si>
    <t>https://drive.google.com/open?id=1NWHMLJxX7tysKk4nRYHf7MA1GslSE7qN</t>
  </si>
  <si>
    <t>putrakradenan2023@gmail.com</t>
  </si>
  <si>
    <t>https://drive.google.com/file/d/1wPLQoCQGLwWEB0Hrl-QtqbK-OZtgn-wD/view?usp=drivesdk</t>
  </si>
  <si>
    <t>https://drive.google.com/open?id=1RmcUnwK5FRQ68yRN30o-7JvX9PiUYTmW</t>
  </si>
  <si>
    <t>nursaidah0274recd@gmail.com</t>
  </si>
  <si>
    <t>EBTAQ25-01.382</t>
  </si>
  <si>
    <t>https://drive.google.com/file/d/1iATLS2d_CAQsQe61l93WGCYi_pXWYfM8/view?usp=drivesdk</t>
  </si>
  <si>
    <t>Demak,Sabtu</t>
  </si>
  <si>
    <t>https://drive.google.com/open?id=1zA4t6KY12jdR8fA99uYSQkNiu1Wk9I18</t>
  </si>
  <si>
    <t>EBTAQ25-01.383</t>
  </si>
  <si>
    <t>https://drive.google.com/file/d/1NhgmiwKaAHL2d10KuhNTAVXaPzdnnw2_/view?usp=drivesdk</t>
  </si>
  <si>
    <t>https://drive.google.com/open?id=1MjVdyJkzOMybs9tjNlYU49y5yTHKe-6Z</t>
  </si>
  <si>
    <t>EBTAQ25-01.384</t>
  </si>
  <si>
    <t>https://drive.google.com/file/d/1N9cdqye1erJpnJ0l0qu6Mom_yvBSC8hx/view?usp=drivesdk</t>
  </si>
  <si>
    <t>https://drive.google.com/open?id=1JNG9Jc-VoqpvAjP_c_CpuHJDQE3Dvhr0</t>
  </si>
  <si>
    <t>hakikidemak@gmail.com</t>
  </si>
  <si>
    <t>https://drive.google.com/file/d/1Tq51w9WnF2Z8vZKKrzyH_EzojiOK0p1c/view?usp=drivesdk</t>
  </si>
  <si>
    <t>https://drive.google.com/open?id=17VV6cDZ5b9YZY28X-S6rv5fHQB2CMVwP</t>
  </si>
  <si>
    <t>santosoheru2104@gmail.com</t>
  </si>
  <si>
    <t>EBTAQ25-01.386</t>
  </si>
  <si>
    <t>https://drive.google.com/file/d/1ZgwLfeJv9KQDEvLnafkY-7xTYeJrh7NB/view?usp=drivesdk</t>
  </si>
  <si>
    <t>Muhamad istajib</t>
  </si>
  <si>
    <t>https://drive.google.com/open?id=1mXLX3Cq3FiNeoLr6kiBq9RAdAgEHrBq-</t>
  </si>
  <si>
    <t>bismamahardika45@gmail.com</t>
  </si>
  <si>
    <t>EBTAQ25-01.387</t>
  </si>
  <si>
    <t>https://drive.google.com/file/d/14n7znCyqq2HqgiU937Mjk6m9htjfxB-5/view?usp=drivesdk</t>
  </si>
  <si>
    <t>https://drive.google.com/open?id=1ccR3djKrP4GlK5LoKGWvoWF_tbGtDKK_</t>
  </si>
  <si>
    <t>EBTAQ25-01.388</t>
  </si>
  <si>
    <t>https://drive.google.com/file/d/1forro6bjmQWVIZB66f-CAFjrkHCA-qz9/view?usp=drivesdk</t>
  </si>
  <si>
    <t>https://drive.google.com/open?id=19tK7hClfob-cibVI19u1bjZXxPJniT6k</t>
  </si>
  <si>
    <t>https://drive.google.com/file/d/1otkS44pe00DhAwdQYinSazsjeJuVZb56/view?usp=drivesdk</t>
  </si>
  <si>
    <t>https://drive.google.com/open?id=1NmnwitQUUYEDgqn2G7C3pHwVO1sa2eKi</t>
  </si>
  <si>
    <t>pakherusan@gmail.com</t>
  </si>
  <si>
    <t>EBTAQ25-01.390</t>
  </si>
  <si>
    <t>https://drive.google.com/file/d/1wX3rapqlp2D1fDd8p0EBExSMpdr2a2wc/view?usp=drivesdk</t>
  </si>
  <si>
    <t>https://drive.google.com/open?id=1YueCLycdhqLNG9JcNBLwaC9mfDsYry0r</t>
  </si>
  <si>
    <t>sinarpahala77@gmail.com</t>
  </si>
  <si>
    <t>EBTAQ25-01.391</t>
  </si>
  <si>
    <t>https://drive.google.com/file/d/132gBIXVqz28_fBucIbg0_bqJnDxCu9SP/view?usp=drivesdk</t>
  </si>
  <si>
    <t>https://drive.google.com/open?id=1nqVG0QxjBuqAKC-rN65tpOlOpYJ_UF1k</t>
  </si>
  <si>
    <t>EBTAQ25-01.392</t>
  </si>
  <si>
    <t>https://drive.google.com/file/d/11S92ZO90nhvL7debqAZPGHHOdGblxK-o/view?usp=drivesdk</t>
  </si>
  <si>
    <t>https://drive.google.com/open?id=135cQhXzr29vO61BH3y9XHS49Rb-_lCU8</t>
  </si>
  <si>
    <t>EBTAQ25-01.393</t>
  </si>
  <si>
    <t>https://drive.google.com/file/d/1KSgyhUqUMBAqin_XO2Z3nU1anHuvvDax/view?usp=drivesdk</t>
  </si>
  <si>
    <t>Demak - TPQ ALMUBAROK,</t>
  </si>
  <si>
    <t>https://drive.google.com/open?id=1yVFvSTM81-0ZNzPhPuiRuB7hheHi8uLy</t>
  </si>
  <si>
    <t>zuafahlia39@gmail.com</t>
  </si>
  <si>
    <t>https://drive.google.com/file/d/12QeGhw_9f2ijvUheShj6TzC-YHl2-IoJ/view?usp=drivesdk</t>
  </si>
  <si>
    <t>https://drive.google.com/open?id=1NrEO5F2lOdkFWudZA-rUAbpEbdGlDhdO</t>
  </si>
  <si>
    <t>EBTAQ25-01.395</t>
  </si>
  <si>
    <t>https://drive.google.com/file/d/1VCxazoM__vUQ1BGqjTUNMqJ8kdDxS-BK/view?usp=drivesdk</t>
  </si>
  <si>
    <t>Aqilla Khanza shafira</t>
  </si>
  <si>
    <t>Akhmad windarto</t>
  </si>
  <si>
    <t>Puput safitri</t>
  </si>
  <si>
    <t>https://drive.google.com/open?id=1qTQvz-KIs8428zjZ5l3TuD7wkb0D01O-</t>
  </si>
  <si>
    <t>ahmadwindarto7@gmail.com</t>
  </si>
  <si>
    <t>EBTAQ25-01.396</t>
  </si>
  <si>
    <t>https://drive.google.com/file/d/1wfoE_m2vyBXV7AtrtKRpmqNLgIB7tvQ7/view?usp=drivesdk</t>
  </si>
  <si>
    <t>https://drive.google.com/open?id=1jW7-AzKyUAD0nTwuspXW36zXsPfed9K7</t>
  </si>
  <si>
    <t>EBTAQ25-01.397</t>
  </si>
  <si>
    <t>https://drive.google.com/file/d/107HO3X8vtE8GrNDjeFMTTh39qJA746Y5/view?usp=drivesdk</t>
  </si>
  <si>
    <t>https://drive.google.com/open?id=1yLeMKPtSOItPk_GS_tBduRsrTFGbkimI</t>
  </si>
  <si>
    <t>EBTAQ25-01.398</t>
  </si>
  <si>
    <t>https://drive.google.com/file/d/1H9dehYm1Sz8i4yoY94W6yzoFs0yGcLuw/view?usp=drivesdk</t>
  </si>
  <si>
    <t>https://drive.google.com/open?id=176wRirQGqhq7ev2OCD-bPb_siOEuAGFO</t>
  </si>
  <si>
    <t>umininda66@gmail.com</t>
  </si>
  <si>
    <t>https://drive.google.com/open?id=1e0qmyYPHHJbxrWsdNphHOqkB51NGaj4W</t>
  </si>
  <si>
    <t>EBTAQ25-01.400</t>
  </si>
  <si>
    <t>https://drive.google.com/file/d/10gpTGrEdkOHszrpGGj0YuWiTPaWR7lDZ/view?usp=drivesdk</t>
  </si>
  <si>
    <t>https://drive.google.com/open?id=1EwPLNlwh6r9LcTqFm1IjeRYC250_QewX</t>
  </si>
  <si>
    <t>adzimah12@gmail.com</t>
  </si>
  <si>
    <t>EBTAQ25-01.401</t>
  </si>
  <si>
    <t>https://drive.google.com/file/d/1W86GLojMIfdDz0KEZ2f4FxereiyI8eLs/view?usp=drivesdk</t>
  </si>
  <si>
    <t>https://drive.google.com/open?id=1iExCfgp_Yrd4MF24JMwQCS0hHrdO_Ie-</t>
  </si>
  <si>
    <t>EBTAQ25-01.402</t>
  </si>
  <si>
    <t>https://drive.google.com/file/d/18ubsBaRHezZQLWc1tAdPagxZYNUjYWao/view?usp=drivesdk</t>
  </si>
  <si>
    <t>https://drive.google.com/open?id=1zj_mBFEK2JCE50g_vl1mGjF7zlZubhU2</t>
  </si>
  <si>
    <t>EBTAQ25-01.403</t>
  </si>
  <si>
    <t>https://drive.google.com/file/d/127oxAFffrV5OPoqWsKOaumxJ1l5H2mcI/view?usp=drivesdk</t>
  </si>
  <si>
    <t>https://drive.google.com/open?id=1il8I3AyY0JoJj2hZpAGE5P2A6ZD0pBYL</t>
  </si>
  <si>
    <t>EBTAQ25-01.404</t>
  </si>
  <si>
    <t>https://drive.google.com/file/d/1CEzCQdzaaxQ76kFfWH8OTbfrs2FmCeX6/view?usp=drivesdk</t>
  </si>
  <si>
    <t>https://drive.google.com/open?id=1gu7ZYtq1c2_UxhYPLutDPCxdAGtp1X_h</t>
  </si>
  <si>
    <t>EBTAQ25-01.405</t>
  </si>
  <si>
    <t>https://drive.google.com/file/d/1wHJlOD5ld_-5m0X46fsrvPd9zc6iyg45/view?usp=drivesdk</t>
  </si>
  <si>
    <t>https://drive.google.com/open?id=1ovJr0LkMhKNihpEiKXpd4oqMZTeZCiK_</t>
  </si>
  <si>
    <t>kasnadiuyee@gmail.com</t>
  </si>
  <si>
    <t>https://drive.google.com/file/d/1YW2LWUip9ZoeRkyMQiFhmqYpIRM6lmHM/view?usp=drivesdk</t>
  </si>
  <si>
    <t>https://drive.google.com/open?id=1wAETq0tiRU6QQyi9OqOlDZdIO5SlY4zO</t>
  </si>
  <si>
    <t>tokosembakobella@gmail.com</t>
  </si>
  <si>
    <t>EBTAQ25-01.407</t>
  </si>
  <si>
    <t>https://drive.google.com/file/d/1SxwOoxbA2RGCLJVyJ3UaDyARMdjYNEd0/view?usp=drivesdk</t>
  </si>
  <si>
    <t>https://drive.google.com/open?id=10bh8CLMjQVyzonaUTQ0AYOTv2euLuhqI</t>
  </si>
  <si>
    <t>EBTAQ25-01.408</t>
  </si>
  <si>
    <t>https://drive.google.com/file/d/1ngp5hqkBkp00INL9qArBqJkd4v_anYhw/view?usp=drivesdk</t>
  </si>
  <si>
    <t>https://drive.google.com/open?id=1-KD3YtnbrEw10s3kH_22EsgbOGOxyMSL</t>
  </si>
  <si>
    <t>nninda257@gmail.com</t>
  </si>
  <si>
    <t>https://drive.google.com/file/d/1zaWv5DrHONLG428i1c1jb1mcO1E5Rj2b/view?usp=drivesdk</t>
  </si>
  <si>
    <t>https://drive.google.com/open?id=1NXLJTIxrwi6JhKx-J_dm6o1pviJEuRwe</t>
  </si>
  <si>
    <t>EBTAQ25-01.410</t>
  </si>
  <si>
    <t>https://drive.google.com/file/d/1nug1A9Ta55O-bfX-wvT2uZLJ8LEBAlrj/view?usp=drivesdk</t>
  </si>
  <si>
    <t>https://drive.google.com/open?id=10RmOGwi2vTX17veOdn4Mmf36FCP92t3x</t>
  </si>
  <si>
    <t>EBTAQ25-01.411</t>
  </si>
  <si>
    <t>https://drive.google.com/file/d/1_GntPSP0bgJ6es8e6t45dt_KPi0fwz9g/view?usp=drivesdk</t>
  </si>
  <si>
    <t>https://drive.google.com/open?id=1T5JNcbuMq7Ihxsk0kpPTAWRdRnbwOLvg</t>
  </si>
  <si>
    <t>EBTAQ25-01.412</t>
  </si>
  <si>
    <t>https://drive.google.com/file/d/1XJnU30NmA9AaptlcqZWQg9pRrV80xU4F/view?usp=drivesdk</t>
  </si>
  <si>
    <t>https://drive.google.com/open?id=1y5gKyn1vBrCY6GgHgHGTuTIsueIGhgWa</t>
  </si>
  <si>
    <t>EBTAQ25-01.413</t>
  </si>
  <si>
    <t>https://drive.google.com/file/d/1SMzCSIGpn5q0P0hwG9tU0NJnvnypXAvs/view?usp=drivesdk</t>
  </si>
  <si>
    <t>https://drive.google.com/open?id=1H25V9__Dq6y5fD093DUhEp_f7o_oec7S</t>
  </si>
  <si>
    <t>EBTAQ25-01.414</t>
  </si>
  <si>
    <t>https://drive.google.com/file/d/1H78Qymttxjdj2-etINEcFrn1IdO7zI0o/view?usp=drivesdk</t>
  </si>
  <si>
    <t>https://drive.google.com/open?id=1KD0mBlLYtTzOiqyNUdMgY9Ce914fAWqQ</t>
  </si>
  <si>
    <t>EBTAQ25-01.415</t>
  </si>
  <si>
    <t>https://drive.google.com/file/d/15UJHMTmeDHzOmPWZsFeAZupAYSgeRK00/view?usp=drivesdk</t>
  </si>
  <si>
    <t>https://drive.google.com/open?id=1vrQEjquL7k7jrX06CF6k3jjekstXgik7</t>
  </si>
  <si>
    <t>rinisetyo07011987@gmail.com</t>
  </si>
  <si>
    <t>https://drive.google.com/file/d/1SyZsMOyrOmLYCkL5v5KIGIdKd3z67biW/view?usp=drivesdk</t>
  </si>
  <si>
    <t>Slamet kasmudi</t>
  </si>
  <si>
    <t>Nur hayati</t>
  </si>
  <si>
    <t>https://drive.google.com/open?id=1q4IZUNINt47SqxLQpXd__FTMvw2kaZGO</t>
  </si>
  <si>
    <t>nadiyarahma731@gmail.com</t>
  </si>
  <si>
    <t>https://drive.google.com/file/d/1GwPqSsaHi5Xy_7CmIZP5n3hOakiYlj2g/view?usp=drivesdk</t>
  </si>
  <si>
    <t>https://drive.google.com/open?id=1hIdLNfNdZqqL4vGTeSbOyvJjC6ae7B5Z</t>
  </si>
  <si>
    <t>EBTAQ25-01.418</t>
  </si>
  <si>
    <t>https://drive.google.com/file/d/13858MbtChE0wMQd3KpYSyW3QlR1q_8W1/view?usp=drivesdk</t>
  </si>
  <si>
    <t>https://drive.google.com/open?id=1OZbP7cvPOhz87yqKy__2wONvXd4g86HA</t>
  </si>
  <si>
    <t>wildanv17pro@gmail.com</t>
  </si>
  <si>
    <t>EBTAQ25-01.419</t>
  </si>
  <si>
    <t>https://drive.google.com/file/d/1O_wIqO41leR9VOmKPyS8jezqXw432Kqk/view?usp=drivesdk</t>
  </si>
  <si>
    <t>https://drive.google.com/open?id=1XQhTESXfKCIRojjGXImCh8Ecqc4HPh1i</t>
  </si>
  <si>
    <t>nurulayu0511@gmail.com</t>
  </si>
  <si>
    <t>https://drive.google.com/file/d/1sMaIdCR7aWUzJgh3n1aWeiUFuddTKcTC/view?usp=drivesdk</t>
  </si>
  <si>
    <t>https://drive.google.com/open?id=1ZiLKxoiUbAyIQbMvrJ1eFOm-54QTguaB</t>
  </si>
  <si>
    <t>EBTAQ25-01.421</t>
  </si>
  <si>
    <t>https://drive.google.com/file/d/1n9gNSSMOAxxAsU4hK9wcHuQZZ_XAUXGI/view?usp=drivesdk</t>
  </si>
  <si>
    <t>https://drive.google.com/open?id=1EsB17EZevL7d1lVjgP3bPg_IhIIAH2Bo</t>
  </si>
  <si>
    <t>nuradzimah28@guru.sma.belajar.id</t>
  </si>
  <si>
    <t>https://drive.google.com/file/d/1aCtefjJYKjxlFuw3wpfjI0cvqtwH_8Ag/view?usp=drivesdk</t>
  </si>
  <si>
    <t>https://drive.google.com/open?id=1jCkx5BunRoeb8tLOAQwxiklI9tP1ztAj</t>
  </si>
  <si>
    <t>EBTAQ25-01.423</t>
  </si>
  <si>
    <t>https://drive.google.com/file/d/1SWkFQ7wL50Kkff2CrrJvOc9DwNukfsJ3/view?usp=drivesdk</t>
  </si>
  <si>
    <t>https://drive.google.com/open?id=1sj4bNW1QSAnUYbxLZdZofJV-BonqlYne</t>
  </si>
  <si>
    <t>EBTAQ25-01.424</t>
  </si>
  <si>
    <t>https://drive.google.com/file/d/1pH0TX0L87OgV-UPcaBLnWbWBlCVyQuK_/view?usp=drivesdk</t>
  </si>
  <si>
    <t>https://drive.google.com/open?id=1nv3vATl8jEFhfQKmzuTw0oFznFPVQnYG</t>
  </si>
  <si>
    <t>https://drive.google.com/open?id=11LYuXkfDIwVnZ3AlO9HDN3ZxDSNjCLtM</t>
  </si>
  <si>
    <t>EBTAQ25-01.426</t>
  </si>
  <si>
    <t>https://drive.google.com/file/d/19aDabfgz0xZ1TJKGETg-NrWAXzG3b8iP/view?usp=drivesdk</t>
  </si>
  <si>
    <t>https://drive.google.com/open?id=1RNPFcO7VJwtUEPIeBEBRChqz-m3GRHDF</t>
  </si>
  <si>
    <t>EBTAQ25-01.427</t>
  </si>
  <si>
    <t>https://drive.google.com/file/d/1MS_g9uzZojfNZChvaaR1T5_sT5hWR2h5/view?usp=drivesdk</t>
  </si>
  <si>
    <t>Laila Purnama Putri</t>
  </si>
  <si>
    <t>Fuad Hasan</t>
  </si>
  <si>
    <t>Tumisih</t>
  </si>
  <si>
    <t>https://drive.google.com/open?id=1OjKzXag7nSAMBV_QULBoMSW1jBmQzev7</t>
  </si>
  <si>
    <t>EBTAQ25-01.428</t>
  </si>
  <si>
    <t>https://drive.google.com/file/d/1bCXeHWBlgIfuVQ-O7UyW80fAaAcpHJqs/view?usp=drivesdk</t>
  </si>
  <si>
    <t>Nut Hayati</t>
  </si>
  <si>
    <t>https://drive.google.com/open?id=1Ls_Lk1nfo-f8E2fterpKyV5sjAZCH-4n</t>
  </si>
  <si>
    <t>EBTAQ25-01.429</t>
  </si>
  <si>
    <t>https://drive.google.com/file/d/1alxoPuHQULI5j6BH8VqkXr7yiK3zNDFs/view?usp=drivesdk</t>
  </si>
  <si>
    <t>https://drive.google.com/open?id=1iB-SKiD5-Drh-nnhNnvjwMzo8l8jveo_</t>
  </si>
  <si>
    <t>ikaputriwidyaningrum56@gmail.com</t>
  </si>
  <si>
    <t>EBTAQ25-01.430</t>
  </si>
  <si>
    <t>https://drive.google.com/file/d/1HeUcv_KvYlTO8Tus6AEOQOj_mbjb13NO/view?usp=drivesdk</t>
  </si>
  <si>
    <t>https://drive.google.com/open?id=12jQiYTOPkgyQ-vsiIsESsukLy3eUrrvd</t>
  </si>
  <si>
    <t>EBTAQ25-01.431</t>
  </si>
  <si>
    <t>https://drive.google.com/file/d/1_JwO0VxbzZzEC-keNuGs1N_THUP2NNc2/view?usp=drivesdk</t>
  </si>
  <si>
    <t>https://drive.google.com/open?id=16GP34Y9DuZSUFUw_2Nrh5wqWmRAWGvZ5</t>
  </si>
  <si>
    <t>likhawahyu13@gmail.com</t>
  </si>
  <si>
    <t>https://drive.google.com/file/d/1itdO8Zaa-ry9mAQc5t4rg06tIODc1y7Z/view?usp=drivesdk</t>
  </si>
  <si>
    <t>https://drive.google.com/open?id=1oLF3c5InR0dpqegADu88_UV0qhDpvGXz</t>
  </si>
  <si>
    <t>muhammadistajib068@gmail.com</t>
  </si>
  <si>
    <t>EBTAQ25-01.433</t>
  </si>
  <si>
    <t>https://drive.google.com/file/d/1N1eokM6aENqxjRNmQRmMVKH_Ds6M8jpr/view?usp=drivesdk</t>
  </si>
  <si>
    <t>Navya Leony</t>
  </si>
  <si>
    <t>https://drive.google.com/open?id=1Jm0neo-qdBytYqoPSDARRa9tuD98o_Kj</t>
  </si>
  <si>
    <t>asshydr63@gmail.com</t>
  </si>
  <si>
    <t>EBTAQ25-01.434</t>
  </si>
  <si>
    <t>https://drive.google.com/file/d/1cI9hKvYVi7BksSuAXWDE2midFJF0pCVO/view?usp=drivesdk</t>
  </si>
  <si>
    <t>https://drive.google.com/open?id=1s2ZNxAVng4FCzOGCkOW5qVqwGy8vFfCB</t>
  </si>
  <si>
    <t>EBTAQ25-01.435</t>
  </si>
  <si>
    <t>https://drive.google.com/file/d/1Hz1f3Ly0FKep2W_gDK6KCRE14feuF7-R/view?usp=drivesdk</t>
  </si>
  <si>
    <t>https://drive.google.com/open?id=1rW_llRKSlIIcY0u7ekdHAmjmseHJ9Mcz</t>
  </si>
  <si>
    <t>EBTAQ25-01.436</t>
  </si>
  <si>
    <t>https://drive.google.com/file/d/1CkLLctcAjdnnYtJFkvDNWB_ruoFOdfL6/view?usp=drivesdk</t>
  </si>
  <si>
    <t>https://drive.google.com/open?id=1iLtOKGSyFLh_XqA3qy-Nl1vf68VppvIk</t>
  </si>
  <si>
    <t>putragnda542@gmail.com</t>
  </si>
  <si>
    <t>EBTAQ25-01.437</t>
  </si>
  <si>
    <t>https://drive.google.com/file/d/1XsiNpYX8BnS9-0Qa9gLx-1hRMzGIFs1F/view?usp=drivesdk</t>
  </si>
  <si>
    <t>https://drive.google.com/open?id=1JZZJdrVnh1ByY8HapjE5AqUYVp21Asg2</t>
  </si>
  <si>
    <t>kaysanasyla01@gmail.com</t>
  </si>
  <si>
    <t>EBTAQ25-01.438</t>
  </si>
  <si>
    <t>https://drive.google.com/file/d/1IEuSLxjx1Gkt8mIJ-lZGFNhEDZPJt2Yq/view?usp=drivesdk</t>
  </si>
  <si>
    <t>https://drive.google.com/open?id=1jJC6nRWwOH0dY5UzMfDiXgMMRBOsJ4JK</t>
  </si>
  <si>
    <t>https://drive.google.com/file/d/1ZC4uI4Q4TnYEFMFjYSKSOOB3OMyzxU79/view?usp=drivesdk</t>
  </si>
  <si>
    <t>https://drive.google.com/open?id=15Geq0bfW0VlNsbwjbbuGqoIGN4n6rSPb</t>
  </si>
  <si>
    <t>EBTAQ25-01.439</t>
  </si>
  <si>
    <t>https://drive.google.com/file/d/1-xnPwAp7M_7zjmG-iAjwmih0lBQvhApo/view?usp=drivesdk</t>
  </si>
  <si>
    <t>https://drive.google.com/open?id=1cany7yzynWKUZzSEijRVWSPBHrECwgg9</t>
  </si>
  <si>
    <t>jjumarti117@gmail.com</t>
  </si>
  <si>
    <t>EBTAQ25-01.440</t>
  </si>
  <si>
    <t>https://drive.google.com/file/d/1MoSLmvkl3Hxg9dbU0-C9dZIdLTq1jM9H/view?usp=drivesdk</t>
  </si>
  <si>
    <t>https://drive.google.com/open?id=1RYmX3PP_cTGitNzkgTyGDhu7IvMct2qf</t>
  </si>
  <si>
    <t>EBTAQ25-01.441</t>
  </si>
  <si>
    <t>https://drive.google.com/file/d/1Yt5zsb4Nnc7V2hPdp04z8FsGdMW7begI/view?usp=drivesdk</t>
  </si>
  <si>
    <t>Akhmad Windarto</t>
  </si>
  <si>
    <t>Puput Safitri</t>
  </si>
  <si>
    <t>https://drive.google.com/open?id=1JEmirqhlHGnDdazFWTdtoRMcmXWaHv_7</t>
  </si>
  <si>
    <t>EBTAQ25-01.442</t>
  </si>
  <si>
    <t>https://drive.google.com/file/d/1dpG2YFrUJCyiSIDWupDHfoVEPL_Ds7N3/view?usp=drivesdk</t>
  </si>
  <si>
    <t>Laila purnama putri</t>
  </si>
  <si>
    <t>Fuad hasan</t>
  </si>
  <si>
    <t>https://drive.google.com/open?id=1vm2c4zx5Za49dPebzxegzQoKehnEXg0d</t>
  </si>
  <si>
    <t>rararara555999@gmail.com</t>
  </si>
  <si>
    <t>EBTAQ25-01.443</t>
  </si>
  <si>
    <t>https://drive.google.com/file/d/1IgtFOsDY-sN0nmq1GC1_mHgTZNKbuq4S/view?usp=drivesdk</t>
  </si>
  <si>
    <t>https://drive.google.com/open?id=1HyTizbzV-ejbw2plu9HasLNDc-54IiHJ</t>
  </si>
  <si>
    <t>EBTAQ25-01.444</t>
  </si>
  <si>
    <t>https://drive.google.com/file/d/19pXNh9X0wKXcx7m9K_IhxhsJbuOGHQDc/view?usp=drivesdk</t>
  </si>
  <si>
    <t>https://drive.google.com/open?id=1wwBqKcW01pl0IHF0Igecocb1zTQblicZ</t>
  </si>
  <si>
    <t>EBTAQ25-01.445</t>
  </si>
  <si>
    <t>https://drive.google.com/file/d/10HWyrbh3XMjFdvOGuosDwutuFO134kxo/view?usp=drivesdk</t>
  </si>
  <si>
    <t>https://drive.google.com/open?id=1zAHn_9TVYuaPve0R1h3XLqQfNdLDjgba</t>
  </si>
  <si>
    <t>EBTAQ25-01.446</t>
  </si>
  <si>
    <t>https://drive.google.com/file/d/1ZtPVaiANyy-vXziwg2f_Cr9JMaP-y9dy/view?usp=drivesdk</t>
  </si>
  <si>
    <t>Nur Imam</t>
  </si>
  <si>
    <t>https://drive.google.com/open?id=1gfHio6_PHagLvxL2nwl8NfivwEJMpQsK</t>
  </si>
  <si>
    <t>amarazhalea@gmail.com</t>
  </si>
  <si>
    <t>EBTAQ25-01.447</t>
  </si>
  <si>
    <t>https://drive.google.com/file/d/1qe5by5Nc2z4XWthZwJFGtMphwumafAz7/view?usp=drivesdk</t>
  </si>
  <si>
    <t>https://drive.google.com/open?id=1KEO9exIuRtOxFr6zIBCdz4yA7oP-wHB2</t>
  </si>
  <si>
    <t>https://drive.google.com/file/d/1FdASXhCAGvQ7BQR4OqRcR3WpBClHP1At/view?usp=drivesdk</t>
  </si>
  <si>
    <t>https://drive.google.com/open?id=1fBqVtfrMZwu5Oj0ububnO-6vtqo1o1Hq</t>
  </si>
  <si>
    <t>EBTAQ25-01.449</t>
  </si>
  <si>
    <t>https://drive.google.com/file/d/1HqAMZKsPrJMbBNXkmkuQDb0mnH3EKtHa/view?usp=drivesdk</t>
  </si>
  <si>
    <t>https://drive.google.com/open?id=1c4jHSQO4ZV0ykA_LsvKBVPvU7EeT7Qb4</t>
  </si>
  <si>
    <t>almubarokika@gmail.com</t>
  </si>
  <si>
    <t>https://drive.google.com/file/d/1My3b2gh6fNOcERDutMrlVBVerS1MMZOW/view?usp=drivesdk</t>
  </si>
  <si>
    <t>https://drive.google.com/open?id=1VTD1vVpKSHAAwY6I1L-DBi2WIrHF0GDO</t>
  </si>
  <si>
    <t>EBTAQ25-01.451</t>
  </si>
  <si>
    <t>https://drive.google.com/file/d/1dP2aXDuF4ILdYl0YHhalX8Ak24dE2eK0/view?usp=drivesdk</t>
  </si>
  <si>
    <t>https://drive.google.com/open?id=1qUosp_sR3fPg59dVFfhm6wqVyWxWORQf</t>
  </si>
  <si>
    <t>dwinuraeni106@gmail.com</t>
  </si>
  <si>
    <t>EBTAQ25-01.452</t>
  </si>
  <si>
    <t>https://drive.google.com/file/d/1X6QYyspHbWeWTl6WrEWVO3olZE1SBGaD/view?usp=drivesdk</t>
  </si>
  <si>
    <t>Aqilla Khanza Shafira</t>
  </si>
  <si>
    <t>https://drive.google.com/open?id=1qe0sHVv95AU1sRQI9lGq2F4_7xEAE8Jl</t>
  </si>
  <si>
    <t>akhmadwindarto75@gmail.com</t>
  </si>
  <si>
    <t>EBTAQ25-01.453</t>
  </si>
  <si>
    <t>https://drive.google.com/file/d/1Um2HWtqPa1ydLA4iJhNPa1m-YnZYbo2G/view?usp=drivesdk</t>
  </si>
  <si>
    <t>https://drive.google.com/open?id=1RKZzZrbgaoTxpvQy2YpitavIJi3l9V0R</t>
  </si>
  <si>
    <t>n09086230@gmail.com</t>
  </si>
  <si>
    <t>EBTAQ25-01.454</t>
  </si>
  <si>
    <t>https://drive.google.com/file/d/1zXW4NVKCL2cxjuVvRTRhcJmGWO1J7_ds/view?usp=drivesdk</t>
  </si>
  <si>
    <t>https://drive.google.com/open?id=1PWgKJclE7z0nl-frb1izcg84mEOPS-I2</t>
  </si>
  <si>
    <t>https://drive.google.com/file/d/1DTXpVX42ET_PpP_KS6YV_tdWlBq9hT3-/view?usp=drivesdk</t>
  </si>
  <si>
    <t>https://drive.google.com/open?id=1alxNLQo7_97nondnILcrJWrm494s_n0D</t>
  </si>
  <si>
    <t>EBTAQ25-01.455</t>
  </si>
  <si>
    <t>https://drive.google.com/file/d/10epyD6ODtKgeefvTgy-Xvpotmp4cucCW/view?usp=drivesdk</t>
  </si>
  <si>
    <t>https://drive.google.com/open?id=1Ab7JvUxd93F66rUPbvQOemw5XrSvcuk8</t>
  </si>
  <si>
    <t>EBTAQ25-01.456</t>
  </si>
  <si>
    <t>https://drive.google.com/file/d/1b4K3CV1E3SXyq6ZtLIbzMSNno3nGMqxh/view?usp=drivesdk</t>
  </si>
  <si>
    <t>https://drive.google.com/open?id=1MuKkAs3PNRBRJ7xUQDm2QSUK4-NSH4ul</t>
  </si>
  <si>
    <t>EBTAQ25-01.457</t>
  </si>
  <si>
    <t>https://drive.google.com/file/d/12LuNqv6yWR6P5_OupMgVJiUde8iPSm96/view?usp=drivesdk</t>
  </si>
  <si>
    <t>https://drive.google.com/open?id=1TUKpyhgSLPNcM3tOZ-Hs1JcnfEyHjHy5</t>
  </si>
  <si>
    <t>https://drive.google.com/open?id=1Gw74EzhkBS-X0V7Vk4YSgktNwlERSFgf</t>
  </si>
  <si>
    <t>EBTAQ25-01.459</t>
  </si>
  <si>
    <t>https://drive.google.com/file/d/1Iul1Qk6eLgmS_PqCdpa65qbmF_ASNUa_/view?usp=drivesdk</t>
  </si>
  <si>
    <t>https://drive.google.com/open?id=13dy11eAobuvj6S_Y3K4bieK2F7RQkHds</t>
  </si>
  <si>
    <t>faizatulaliyah82@gmail.com</t>
  </si>
  <si>
    <t>EBTAQ25-01.460</t>
  </si>
  <si>
    <t>https://drive.google.com/file/d/1vNlsqgj5KCtaLnq5G2D8_3Pb_VSzAVqB/view?usp=drivesdk</t>
  </si>
  <si>
    <t>https://drive.google.com/open?id=1wXd8K2bwhAPEp3TtGORe6mDMp-5LDGdm</t>
  </si>
  <si>
    <t>EBTAQ25-01.461</t>
  </si>
  <si>
    <t>https://drive.google.com/file/d/13edr77p5hzrDv_swJU1kQXQqOuFdj4rQ/view?usp=drivesdk</t>
  </si>
  <si>
    <t>https://drive.google.com/open?id=1UV10_O1Byck6nr3yZlsdyH1w8zEvfeGV</t>
  </si>
  <si>
    <t>https://drive.google.com/file/d/1qy0iis7F_BDaQg2v3kQdhnxM04Y9H3hC/view?usp=drivesdk</t>
  </si>
  <si>
    <t>https://drive.google.com/open?id=1v83FBKny1GBBSitaMS7viYyjn0xLp2LP</t>
  </si>
  <si>
    <t>EBTAQ25-01.463</t>
  </si>
  <si>
    <t>https://drive.google.com/file/d/1xlWf4_x7lApFSJUpCdeLWjcK4rLZKv1h/view?usp=drivesdk</t>
  </si>
  <si>
    <t>https://drive.google.com/open?id=1nQGy-IZMIAa7LvDWQoUX7pU2Un-B9wPt</t>
  </si>
  <si>
    <t>callbackepep48@gmail.com</t>
  </si>
  <si>
    <t>https://drive.google.com/file/d/1ZAIrFHulglB14H6lO2rPJQolA3nz8dXv/view?usp=drivesdk</t>
  </si>
  <si>
    <t>https://drive.google.com/open?id=1VtQfaBvdtArS9JAuS97SuIW-0T75kNSp</t>
  </si>
  <si>
    <t>https://drive.google.com/file/d/1RmuuycygRHOA7xWQ_IH3-WsJLPV2zXGK/view?usp=drivesdk</t>
  </si>
  <si>
    <t>https://drive.google.com/open?id=1rR9btYhPeV5wpVHYvRPTihSyyYmdJ5GA</t>
  </si>
  <si>
    <t>nabildemak22@gmail.com</t>
  </si>
  <si>
    <t>https://drive.google.com/file/d/1uqI-3Ag7-rHj85IrFAZphmPktgX2vcvK/view?usp=drivesdk</t>
  </si>
  <si>
    <t>https://drive.google.com/open?id=1CoM9YGxS9FbEMtXw7rkBGCm-UDrIi4xT</t>
  </si>
  <si>
    <t>EBTAQ25-01.467</t>
  </si>
  <si>
    <t>https://drive.google.com/file/d/1PG4Bzsrru0WSXkNuHu8y7ZcXRPZeDnFO/view?usp=drivesdk</t>
  </si>
  <si>
    <t>https://drive.google.com/open?id=1W4vjECnvAodU6tfKgcZcRa8z-TbL3Ozc</t>
  </si>
  <si>
    <t>EBTAQ25-01.468</t>
  </si>
  <si>
    <t>https://drive.google.com/file/d/1323_pVJWkpPdKo5yx74qXN6OZF2qsUU2/view?usp=drivesdk</t>
  </si>
  <si>
    <t>https://drive.google.com/open?id=1nyS1r9jjTWbHbUORraGVEEESa782-h-5</t>
  </si>
  <si>
    <t>EBTAQ25-01.469</t>
  </si>
  <si>
    <t>https://drive.google.com/file/d/1g7t6ggGp2kJguCPcxL5MbUc0ske7Rmol/view?usp=drivesdk</t>
  </si>
  <si>
    <t>https://drive.google.com/open?id=1tCacc1XRId8n2il4PkdMgnUVWJ8R1WES</t>
  </si>
  <si>
    <t>https://drive.google.com/file/d/1RJVJs2VWLGxGXCD7UtZyPnhVdDrzMT0j/view?usp=drivesdk</t>
  </si>
  <si>
    <t>Tri Atmojo Pambudi</t>
  </si>
  <si>
    <t>https://drive.google.com/open?id=1rMo2z30NwE0MTtEdB8UVs5G_iR3tzc-g</t>
  </si>
  <si>
    <t>saputramirzaa29@gmail.com</t>
  </si>
  <si>
    <t>https://drive.google.com/open?id=1J6TB97C5t2CQztMa-mFNK8Tz_TjU8FgY</t>
  </si>
  <si>
    <t>EBTAQ25-01.472</t>
  </si>
  <si>
    <t>https://drive.google.com/file/d/1Qh4sBqHZQj0_2ryV6JFffMbji6G08AOY/view?usp=drivesdk</t>
  </si>
  <si>
    <t>https://drive.google.com/open?id=1jZGW3Fe1SVgw4_4_dMnmga0R7gM9nwnF</t>
  </si>
  <si>
    <t>EBTAQ25-01.473</t>
  </si>
  <si>
    <t>https://drive.google.com/file/d/1UiSIK1YWIvOYYfGqiqQbpnOgHYdN-kqN/view?usp=drivesdk</t>
  </si>
  <si>
    <t>https://drive.google.com/open?id=1EC3rtbix0mW60Pv4IW_ITWnnaD8DUOkc</t>
  </si>
  <si>
    <t>EBTAQ25-01.474</t>
  </si>
  <si>
    <t>https://drive.google.com/file/d/1xbds6YNQ46SsOgkd4w5qexJPv2PIWEdI/view?usp=drivesdk</t>
  </si>
  <si>
    <t>https://drive.google.com/open?id=13FbLGvBPV2IO93hLBMkSNBkuEaUwNM3_</t>
  </si>
  <si>
    <t>EBTAQ25-01.475</t>
  </si>
  <si>
    <t>https://drive.google.com/file/d/1ujs2Dvz0qRMBNhwM7DTG0NA0z3G9fWf1/view?usp=drivesdk</t>
  </si>
  <si>
    <t>https://drive.google.com/open?id=1r_VL3kQNvWB6jTuAz1xz0PDFCifUnZOk</t>
  </si>
  <si>
    <t>https://drive.google.com/file/d/18YivwannFmZEUeMHVxMNWC-L5pF96jHn/view?usp=drivesdk</t>
  </si>
  <si>
    <t>https://drive.google.com/open?id=1Cvqmej54Sm5D6OojsA_OjTD99_ilRi8M</t>
  </si>
  <si>
    <t>EBTAQ25-01.477</t>
  </si>
  <si>
    <t>https://drive.google.com/file/d/1EcCQvxxaz779Pxh4vH9uBW3p_IEwuMN-/view?usp=drivesdk</t>
  </si>
  <si>
    <t>https://drive.google.com/open?id=1276mJNvEPL2IQYUigdHUd3bhCtSRykbR</t>
  </si>
  <si>
    <t>azuraairin76@gmail.com</t>
  </si>
  <si>
    <t>https://drive.google.com/file/d/1WB2HIp8RTKyemsXJIZeIv1ZrlIpsU7lS/view?usp=drivesdk</t>
  </si>
  <si>
    <t>KAB. DEMAK KEC DEMAK</t>
  </si>
  <si>
    <t>https://drive.google.com/open?id=1I3L7VoazNeRc192lCKhPgstb4wu0pLbW</t>
  </si>
  <si>
    <t>hqidemak@gmail.com</t>
  </si>
  <si>
    <t>EBTAQ25-01.478</t>
  </si>
  <si>
    <t>https://drive.google.com/file/d/1qUxjZXmHsY5AP-pUVN1aIM6qcMwngZqN/view?usp=drivesdk</t>
  </si>
  <si>
    <t>Muhammad mutohari</t>
  </si>
  <si>
    <t>https://drive.google.com/open?id=1p9Bj0y7AFUgPLf9Ogmp988ZR17N2Gf1g</t>
  </si>
  <si>
    <t>EBTAQ25-01.479</t>
  </si>
  <si>
    <t>https://drive.google.com/file/d/1LzqtsvKQaqjTeeUsffXMK0QHSQEEuwje/view?usp=drivesdk</t>
  </si>
  <si>
    <t>Asyla Feza mahira</t>
  </si>
  <si>
    <t>https://drive.google.com/open?id=1emFPcsWbvGFQw0uBZXvU-r5Q1iYPO7tQ</t>
  </si>
  <si>
    <t>EBTAQ25-01.480</t>
  </si>
  <si>
    <t>https://drive.google.com/file/d/1PaVQUgvh_kfATQUohHYH6bQDbzlw-Sew/view?usp=drivesdk</t>
  </si>
  <si>
    <t>https://drive.google.com/open?id=1GKG-W-I7SqvNuny1O--MsIRM1ts83DYZ</t>
  </si>
  <si>
    <t>https://drive.google.com/file/d/1h1m27UME6YLaU6iNf7bZIAmPGomiPwWp/view?usp=drivesdk</t>
  </si>
  <si>
    <t>https://drive.google.com/open?id=1Ok-0gcnzDrP0rBlS4ilqs-Z4GUIfvYUd</t>
  </si>
  <si>
    <t>EBTAQ25-01.482</t>
  </si>
  <si>
    <t>https://drive.google.com/file/d/1Y7XDiTyxtDHptQNsWQUvxK6gLRGyGD7t/view?usp=drivesdk</t>
  </si>
  <si>
    <t>https://drive.google.com/open?id=1S2FqMBLHOCCi6wgtVED1SpRZVmZD20gy</t>
  </si>
  <si>
    <t>EBTAQ25-01.483</t>
  </si>
  <si>
    <t>https://drive.google.com/file/d/1I-NeHn0O5sUT2T7rDZq43jqNfBmTHWPa/view?usp=drivesdk</t>
  </si>
  <si>
    <t>https://drive.google.com/open?id=18w6UV76jEgh9DMUi7XWucHbKbJyI_4oV</t>
  </si>
  <si>
    <t>https://drive.google.com/file/d/157LSqP5QRwYemidnsEiKcFJTUYXKbGtE/view?usp=drivesdk</t>
  </si>
  <si>
    <t>https://drive.google.com/open?id=1t7Bo8cfwlgxyTvx_baxDmEhu5apCX0cF</t>
  </si>
  <si>
    <t>EBTAQ25-01.485</t>
  </si>
  <si>
    <t>https://drive.google.com/file/d/1ClYMMqFyFejXSwuucxpIxFUdWQ2bOh7_/view?usp=drivesdk</t>
  </si>
  <si>
    <t>https://drive.google.com/open?id=1XhYIC2sLjvZEFB2Zm5MgGH_0iorCpTVM</t>
  </si>
  <si>
    <t>andinkeisya389@gmail.com</t>
  </si>
  <si>
    <t>https://drive.google.com/file/d/1ZBhxvDIW-LlFt7WR59y5Oie1cCVPHr5s/view?usp=drivesdk</t>
  </si>
  <si>
    <t>https://drive.google.com/open?id=1el-JOlJ5tXR19VYWVvmyJW27sqTbAHdb</t>
  </si>
  <si>
    <t>https://drive.google.com/file/d/1OXK9QlOrNagIwdirBDAdbivL17h6adTD/view?usp=drivesdk</t>
  </si>
  <si>
    <t>https://drive.google.com/open?id=1yYv5581gW-F0k6RvfcE8gzI6xPtTL-8f</t>
  </si>
  <si>
    <t>https://drive.google.com/file/d/1yzGbVyMcPdR79yrl-ufuP2Fv77pVl5-H/view?usp=drivesdk</t>
  </si>
  <si>
    <t>https://drive.google.com/open?id=1aP3mbJ2MK26ZRhKAm9kxpJq-_ctdHhSf</t>
  </si>
  <si>
    <t>EBTAQ25-01.489</t>
  </si>
  <si>
    <t>https://drive.google.com/file/d/1SP65nVpULzqd34C3v7AadCOWzWhZ5Fyu/view?usp=drivesdk</t>
  </si>
  <si>
    <t>husnia rani azzahra</t>
  </si>
  <si>
    <t>kasan nawawi</t>
  </si>
  <si>
    <t>nur saidah</t>
  </si>
  <si>
    <t>https://drive.google.com/open?id=1gC88TxgesZRhtmpij54ZGfOqQCXejJL1</t>
  </si>
  <si>
    <t>amsyarzafran34@gmail.com</t>
  </si>
  <si>
    <t>EBTAQ25-01.490</t>
  </si>
  <si>
    <t>https://drive.google.com/file/d/1OwXiGu-TkxsoXcrmr6cv7NZYfKbGC23B/view?usp=drivesdk</t>
  </si>
  <si>
    <t>https://drive.google.com/open?id=1fe4HQ5aMVa94tRVFRxy09jgO_JLxGvGU</t>
  </si>
  <si>
    <t>https://drive.google.com/file/d/1voeU682siy89vRvKKvPsdTgnz_3_dJY-/view?usp=drivesdk</t>
  </si>
  <si>
    <t>https://drive.google.com/open?id=1l_rWZ5Yj6Y2VkF4f4oFFSFKl3JpUISfX</t>
  </si>
  <si>
    <t>ernanoviyanti21@guru.sd.belajar.id</t>
  </si>
  <si>
    <t>https://drive.google.com/file/d/166h2ySXVN58nQjsPTdGP97j-BwlM_up5/view?usp=drivesdk</t>
  </si>
  <si>
    <t>https://drive.google.com/open?id=1Crmpj5DCTwQntel0CAfPV_im0hP9weUU</t>
  </si>
  <si>
    <t>EBTAQ25-01.493</t>
  </si>
  <si>
    <t>https://drive.google.com/file/d/1kKn8GgxlT4uDkBcPZ6PVNm8RXfpRpMTq/view?usp=drivesdk</t>
  </si>
  <si>
    <t>https://drive.google.com/open?id=1ccXozhfqS2Kp52CnkQZ9uqZ7vmtD1ho6</t>
  </si>
  <si>
    <t>EBTAQ25-01.494</t>
  </si>
  <si>
    <t>https://drive.google.com/file/d/1mS22-LNsVhSd1BJJ7N3oO55dSzde-q0j/view?usp=drivesdk</t>
  </si>
  <si>
    <t>Kiswoyo</t>
  </si>
  <si>
    <t>Jumarti</t>
  </si>
  <si>
    <t>https://drive.google.com/open?id=1nXFtWPMLY5EreWPSjh9_4_2kiUZP78QV</t>
  </si>
  <si>
    <t>dn2923706@gmail.com</t>
  </si>
  <si>
    <t>EBTAQ25-01.495</t>
  </si>
  <si>
    <t>https://drive.google.com/file/d/1P_j9SXl3p5-a6zDF8ELpG6mvRk3lnF1h/view?usp=drivesdk</t>
  </si>
  <si>
    <t>Diego</t>
  </si>
  <si>
    <t>https://drive.google.com/open?id=1XMNZQ--pi8Ls0qZ8x7WnV05vGpqoKtEL</t>
  </si>
  <si>
    <t>EBTAQ25-01.496</t>
  </si>
  <si>
    <t>https://drive.google.com/file/d/1WblymUo78ebzDwP0o6qdYEklJ6DGPdFQ/view?usp=drivesdk</t>
  </si>
  <si>
    <t>https://drive.google.com/open?id=1iFBEZDftU9Agqq-G4m1u8c9KvLZbApym</t>
  </si>
  <si>
    <t>EBTAQ25-01.497</t>
  </si>
  <si>
    <t>https://drive.google.com/file/d/1dRw3yCNiu86GXgDCHmqKB9Fu2vQL3hza/view?usp=drivesdk</t>
  </si>
  <si>
    <t>https://drive.google.com/open?id=190fvZp4_uxEZuElC4ed827vl_ZuQA2_K</t>
  </si>
  <si>
    <t>EBTAQ25-01.498</t>
  </si>
  <si>
    <t>https://drive.google.com/file/d/1n3PgP3HGgZ2DESPvet-oOTbPVJyl3Bdq/view?usp=drivesdk</t>
  </si>
  <si>
    <t>https://drive.google.com/open?id=1MIPi3I0e1TxLHo7yNYDl_CIYOCJzC291</t>
  </si>
  <si>
    <t>ahmadhabibmifzal30@gmail.com</t>
  </si>
  <si>
    <t>https://drive.google.com/file/d/1gto6v8ePA1IqnEWJFVIcn99W6k6E-a-7/view?usp=drivesdk</t>
  </si>
  <si>
    <t>Fatimatuz Zahra Adnan</t>
  </si>
  <si>
    <t>Ahmad Adnan</t>
  </si>
  <si>
    <t>Uci Noviati</t>
  </si>
  <si>
    <t>https://drive.google.com/open?id=1AHp2aEP8q2OxVJoAQEVhUWz1aQwJuwb4</t>
  </si>
  <si>
    <t>uci82taqyabbad@gmail.com</t>
  </si>
  <si>
    <t>EBTAQ25-01.500</t>
  </si>
  <si>
    <t>https://drive.google.com/file/d/1eGnixIYviKy7H1b4YKLFDCpspJ6UjKLB/view?usp=drivesdk</t>
  </si>
  <si>
    <t>https://drive.google.com/open?id=1EsdJFg3EJQNUTyZsbBMoLW4FeSFNHb5W</t>
  </si>
  <si>
    <t>shodmail28@gmail.com</t>
  </si>
  <si>
    <t>https://drive.google.com/file/d/1wEdFI6NYmUsM_0ttlZqEQPjPUpqcNVhz/view?usp=drivesdk</t>
  </si>
  <si>
    <t>https://drive.google.com/open?id=1rOY8Z1m4M-6DvqXOhYzEthbCsSZ4s_S3</t>
  </si>
  <si>
    <t>EBTAQ25-01.502</t>
  </si>
  <si>
    <t>https://drive.google.com/file/d/16Zn0L36XNv-3YE3UjsFlkJhZl7oBzDN8/view?usp=drivesdk</t>
  </si>
  <si>
    <t>https://drive.google.com/open?id=1QU_PKxVJOyQXkz2DTvvKLQLJqNhL7kRM</t>
  </si>
  <si>
    <t>EBTAQ25-01.503</t>
  </si>
  <si>
    <t>https://drive.google.com/file/d/1R6ApmMfU6pKkVJDkDFKQM5Lra5v3YTMe/view?usp=drivesdk</t>
  </si>
  <si>
    <t>https://drive.google.com/open?id=1GRRkqUB6KxrQL9XP1EVAJyIVF4q5XB2T</t>
  </si>
  <si>
    <t>enip08511@gmail.com</t>
  </si>
  <si>
    <t>https://drive.google.com/file/d/1JPQPyvSXowP6ePLALdpb57HpbGvxk-Jx/view?usp=drivesdk</t>
  </si>
  <si>
    <t>https://drive.google.com/open?id=14HlGjZszb0tUF9W7hGovpWnWy7e9R0FA</t>
  </si>
  <si>
    <t>purwatieni81@gmail.com</t>
  </si>
  <si>
    <t>https://drive.google.com/file/d/1kKQJOsF7TEplwpKzjZUY2U1ts6QHmfD4/view?usp=drivesdk</t>
  </si>
  <si>
    <t>https://drive.google.com/open?id=1MrY0BplQ1X7sFGVTADic9JLi05CXErE1</t>
  </si>
  <si>
    <t>EBTAQ25-01.504</t>
  </si>
  <si>
    <t>https://drive.google.com/file/d/1t94ZGz9RvRe4AKJJGdGdGzUUU5NNwMpz/view?usp=drivesdk</t>
  </si>
  <si>
    <t>https://drive.google.com/open?id=1LT_CiyM4vAIJbtUkf6Kr9y4X1y0RgWQj</t>
  </si>
  <si>
    <t>EBTAQ25-01.505</t>
  </si>
  <si>
    <t>https://drive.google.com/file/d/12uPjFwNguXuk1OhP-W0Wy25S0-uMhlBg/view?usp=drivesdk</t>
  </si>
  <si>
    <t>https://drive.google.com/open?id=1rmeCf9iuiwVyRXADSqkUqOfEI07ItL0g</t>
  </si>
  <si>
    <t>rzktoti@gmail.com</t>
  </si>
  <si>
    <t>https://drive.google.com/file/d/1XpEbvtFYNwdAy6aj4mni6dHwrVhKIaNz/view?usp=drivesdk</t>
  </si>
  <si>
    <t>https://drive.google.com/open?id=1FxpjBd3DWJU7Pqnq2tYcK2Zr-YrWHucI</t>
  </si>
  <si>
    <t>https://drive.google.com/file/d/1ZiI2upXrQ5gN6jK_nTq_m0RPozwjIM01/view?usp=drivesdk</t>
  </si>
  <si>
    <t>https://drive.google.com/open?id=1FFPJntYTmZEsarHbLS1MeYCUK2hwCU1B</t>
  </si>
  <si>
    <t>kangadieb@gmail.com</t>
  </si>
  <si>
    <t>https://drive.google.com/file/d/1NHNVSGQiPQrkEeS2WML1eczrT1fphxjz/view?usp=drivesdk</t>
  </si>
  <si>
    <t>Kab Demak kec Demak</t>
  </si>
  <si>
    <t>https://drive.google.com/open?id=1i3bqju5SDUNfukNL4_ZeTMP1ywauNeye</t>
  </si>
  <si>
    <t>udinluqman9@gmail.com</t>
  </si>
  <si>
    <t>EBTAQ25-01.509</t>
  </si>
  <si>
    <t>https://drive.google.com/file/d/1M6BHFxBeZ5jN9EWEwK8XmblJzQCr1UT6/view?usp=drivesdk</t>
  </si>
  <si>
    <t>https://drive.google.com/open?id=1ggk120jZiISTGIRiRgHhZFwdD7A1R6YG</t>
  </si>
  <si>
    <t>wahyuniwiwin20@gmail.com</t>
  </si>
  <si>
    <t>https://drive.google.com/file/d/1Fheeu5VqDzme8b5BnAnmJkw_vgz1agoH/view?usp=drivesdk</t>
  </si>
  <si>
    <t>Demak kec Demak</t>
  </si>
  <si>
    <t>https://drive.google.com/open?id=1WB5k_eO0kZo4lpCNgrb_mFH_70GNTUeZ</t>
  </si>
  <si>
    <t>EBTAQ25-01.511</t>
  </si>
  <si>
    <t>https://drive.google.com/file/d/1AQrauRsU7kpVe8yRKWUdmih-pKe0SWJL/view?usp=drivesdk</t>
  </si>
  <si>
    <t>https://drive.google.com/open?id=1ZDObWq02ERj7S5cLv_EDIkuhnWcbjQbb</t>
  </si>
  <si>
    <t>wantilatifah11@gmail.com</t>
  </si>
  <si>
    <t>https://drive.google.com/file/d/1x8uGY7iveTes2jwyruIT4E_e3ex6D_cC/view?usp=drivesdk</t>
  </si>
  <si>
    <t>https://drive.google.com/open?id=1v44ppysfF0hi6bPYowhZ8g4XDYAPtk3g</t>
  </si>
  <si>
    <t>https://drive.google.com/file/d/1yYZBwe1MnfkCefOhQPgyJXeLQT_MdSgH/view?usp=drivesdk</t>
  </si>
  <si>
    <t>https://drive.google.com/open?id=1qbPyYrpJs4nVfL8kCI42egtG780eChg_</t>
  </si>
  <si>
    <t>iwanpurwanto577@gmail.com</t>
  </si>
  <si>
    <t>https://drive.google.com/open?id=1COpeh4EWB0aEYgfZzZ_YWXiPb9ypzU6J</t>
  </si>
  <si>
    <t>https://drive.google.com/file/d/1Y8oUESJSW8Cx0uZMJXZz3n5MzyvsU34Q/view?usp=drivesdk</t>
  </si>
  <si>
    <t>https://drive.google.com/open?id=1ML7HSAbQ3hrYjZnvr3qHBEknRU9Y8eDh</t>
  </si>
  <si>
    <t>anykfauziah72@gmail.com</t>
  </si>
  <si>
    <t>https://drive.google.com/file/d/1cHd3F6_F6C5BO5g21njvRkbMCjHJujR0/view?usp=drivesdk</t>
  </si>
  <si>
    <t>https://drive.google.com/open?id=1hhfk3kpfQ_bF-FOty8LREtp8wuaGzmsX</t>
  </si>
  <si>
    <t>bayuadji0162024@gmail.com</t>
  </si>
  <si>
    <t>EBTAQ25-01.516</t>
  </si>
  <si>
    <t>https://drive.google.com/file/d/19PDgCsesJuY5MlUtWVfZj0FBRKQoiPQo/view?usp=drivesdk</t>
  </si>
  <si>
    <t>https://drive.google.com/open?id=1GWLk2ywaEyq3yTC_CtCs4389YYdUVxwO</t>
  </si>
  <si>
    <t>https://drive.google.com/file/d/183VeM7tM-AlfJrOUBChyBw3dCRhimuCn/view?usp=drivesdk</t>
  </si>
  <si>
    <t>https://drive.google.com/open?id=1UsRii6QsewuEQG_9RqXH-nekmnAnnmTN</t>
  </si>
  <si>
    <t>https://drive.google.com/file/d/1dEsYFOnhDZkoD5H3_MmMWtmD5GOeoe7Q/view?usp=drivesdk</t>
  </si>
  <si>
    <t>Kab Demak kec Demak desa bolo RT 01 RW 07</t>
  </si>
  <si>
    <t>Kusnan</t>
  </si>
  <si>
    <t>Tri budi harmawati</t>
  </si>
  <si>
    <t>https://drive.google.com/open?id=1qD21fVNz_HvGI5lRhMhFh10CYLzxIzpt</t>
  </si>
  <si>
    <t>EBTAQ25-01.519</t>
  </si>
  <si>
    <t>https://drive.google.com/file/d/1-TAD5Wu12EGJniewjoulQEAiTr_sWIIE/view?usp=drivesdk</t>
  </si>
  <si>
    <t>https://drive.google.com/open?id=1Myi4KERXFe3YuuqKnV62uINmYXtDZNpv</t>
  </si>
  <si>
    <t>enisetianingsihe91@gmail.com</t>
  </si>
  <si>
    <t>EBTAQ25-01.520</t>
  </si>
  <si>
    <t>https://drive.google.com/file/d/1LfL9LY3g8V95vFGkr39G0BVyBlCH7ct1/view?usp=drivesdk</t>
  </si>
  <si>
    <t>https://drive.google.com/open?id=153gUCuMEKo2w7v0DEC1TdUmCIvZJe-dc</t>
  </si>
  <si>
    <t>EBTAQ25-01.521</t>
  </si>
  <si>
    <t>https://drive.google.com/file/d/1GQ1FfxuCiRdf18HGYzLMPV_cwILYCfFe/view?usp=drivesdk</t>
  </si>
  <si>
    <t>https://drive.google.com/open?id=1BTlSI7zkmdicSmW9xaYaeZGswffN4C1B</t>
  </si>
  <si>
    <t>EBTAQ25-01.522</t>
  </si>
  <si>
    <t>https://drive.google.com/file/d/1PCD9ARfxUR6sPciVy-f3sjjzWiaemiL5/view?usp=drivesdk</t>
  </si>
  <si>
    <t>https://drive.google.com/open?id=1gN6H9U4nCyiiyFpKa1-ET18UX8YpNCCP</t>
  </si>
  <si>
    <t>EBTAQ25-01.523</t>
  </si>
  <si>
    <t>https://drive.google.com/file/d/1-q2iNo7dffP3ehnR_sLh3sm-kY6aXeZO/view?usp=drivesdk</t>
  </si>
  <si>
    <t>Demak,</t>
  </si>
  <si>
    <t>https://drive.google.com/open?id=1GLLbVxc2TPPhMr9J5Tu-6cybUWVdYhhO</t>
  </si>
  <si>
    <t>EBTAQ25-01.524</t>
  </si>
  <si>
    <t>https://drive.google.com/file/d/1NTDFQKL7K1o_blgfIY0EuPUrqNCCwTUG/view?usp=drivesdk</t>
  </si>
  <si>
    <t>AHMAD FARKHAN AL AZHAR</t>
  </si>
  <si>
    <t>TURAIKHAN</t>
  </si>
  <si>
    <t>SITI MULYATI</t>
  </si>
  <si>
    <t>https://drive.google.com/open?id=1D27M3i-GPciu2hNaki5fRmMSsFgxCQvY</t>
  </si>
  <si>
    <t>imron09051975@gmail.com</t>
  </si>
  <si>
    <t>EBTAQ25-01.525</t>
  </si>
  <si>
    <t>https://drive.google.com/file/d/16XwAce04fiF0tNjfNip0BB9fO9x-OFfM/view?usp=drivesdk</t>
  </si>
  <si>
    <t>https://drive.google.com/open?id=1_yG-RfLgRMkYi1C85qHuqx5r12zg1KhY</t>
  </si>
  <si>
    <t>EBTAQ25-01.526</t>
  </si>
  <si>
    <t>https://drive.google.com/file/d/1NftX41K8gijv2Wgh0K2UhvDI3kXFJEtt/view?usp=drivesdk</t>
  </si>
  <si>
    <t>https://drive.google.com/open?id=1OKFutdEeEbI-oLuT-4OFaqpaFVeTvyp_</t>
  </si>
  <si>
    <t>EBTAQ25-01.527</t>
  </si>
  <si>
    <t>https://drive.google.com/file/d/19evRIT9LunUdwwtNFJcJ-62ILxW2ZQZ7/view?usp=drivesdk</t>
  </si>
  <si>
    <t>Alvis firgia nabil</t>
  </si>
  <si>
    <t>Nur sholeh</t>
  </si>
  <si>
    <t>Ikha wahyu ardiyanti</t>
  </si>
  <si>
    <t>https://drive.google.com/open?id=1Kni-bxnZVu6UjLHqPk7mcM_QUhbC87ua</t>
  </si>
  <si>
    <t>EBTAQ25-01.528</t>
  </si>
  <si>
    <t>https://drive.google.com/file/d/1N1o70VxqtDayf6eKiP14Pm0j6iR4UuMt/view?usp=drivesdk</t>
  </si>
  <si>
    <t>Ngepung. Bolo. Demak</t>
  </si>
  <si>
    <t>https://drive.google.com/open?id=1tqUlXjh2orpT_mG7k0XVVP40wjsV_xXu</t>
  </si>
  <si>
    <t>EBTAQ25-01.529</t>
  </si>
  <si>
    <t>https://drive.google.com/file/d/1JTGmh1z1dAOMM1eCQjnq23UGwsnlOV3C/view?usp=drivesdk</t>
  </si>
  <si>
    <t>Azzahra asyila rahma</t>
  </si>
  <si>
    <t>Robinoralfa</t>
  </si>
  <si>
    <t>Endang welasih</t>
  </si>
  <si>
    <t>https://drive.google.com/open?id=1fdHozauGrh880cszkv9eAtF99iHve5Pn</t>
  </si>
  <si>
    <t>EBTAQ25-04.072</t>
  </si>
  <si>
    <t>https://drive.google.com/file/d/1LSDAK40I9dU_LVPEYH3UhpznEd5CxUlc/view?usp=drivesdk</t>
  </si>
  <si>
    <t>FAJRIA NADA NADIFA</t>
  </si>
  <si>
    <t>Bagus Adi Cahyo</t>
  </si>
  <si>
    <t>https://drive.google.com/open?id=14I7arFM_m40_RbA0ZY-5JlBIsT2LgLvu</t>
  </si>
  <si>
    <t>rukayatuniyah@gmail.com</t>
  </si>
  <si>
    <t>EBTAQ25-01.530</t>
  </si>
  <si>
    <t>https://drive.google.com/file/d/10XONnnc97T0nRFfCVokNEMU2yHA0ErAH/view?usp=drivesdk</t>
  </si>
  <si>
    <t>https://drive.google.com/open?id=1XXbdSdJbRvNGlFJP9anxI0YAtpOGvZrw</t>
  </si>
  <si>
    <t>EBTAQ25-01.531</t>
  </si>
  <si>
    <t>https://drive.google.com/file/d/1PYmTtWBvzRBBhjlmFELW-0OWRSYtNY-X/view?usp=drivesdk</t>
  </si>
  <si>
    <t>MUHAMMAD IRGI FAHREZA</t>
  </si>
  <si>
    <t>Segamat Johor Malaysia</t>
  </si>
  <si>
    <t>Suyono</t>
  </si>
  <si>
    <t>Jasirah</t>
  </si>
  <si>
    <t>https://drive.google.com/open?id=1mYmulZzSw0-gJLnlR9Ntx2IbrLwO16HU</t>
  </si>
  <si>
    <t>EBTAQ25-01.532</t>
  </si>
  <si>
    <t>https://drive.google.com/file/d/1Nb3WacEnR8s1oEMoZgM90Zx7H_-kQLMU/view?usp=drivesdk</t>
  </si>
  <si>
    <t>ALIEF IBNU ROBBY</t>
  </si>
  <si>
    <t>Demak, 17 Oktober 2013</t>
  </si>
  <si>
    <t>Sugino</t>
  </si>
  <si>
    <t>Nur Kholidah</t>
  </si>
  <si>
    <t>https://drive.google.com/open?id=1sWlWmgKDVclzx7Qm7-1xPCzHpBbCrCHr</t>
  </si>
  <si>
    <t>EBTAQ25-01.533</t>
  </si>
  <si>
    <t>https://drive.google.com/file/d/1hgcI4DKLl7f8TbKGjhfBbh6_U7JsPd6y/view?usp=drivesdk</t>
  </si>
  <si>
    <t>Roro Gendis Safitriana</t>
  </si>
  <si>
    <t>IANAH</t>
  </si>
  <si>
    <t>https://drive.google.com/open?id=1E4XuG15VWn5wefM8zCTKl1etzqVTLPHK</t>
  </si>
  <si>
    <t>ianah0579@gmail.com</t>
  </si>
  <si>
    <t>EBTAQ25-06.014</t>
  </si>
  <si>
    <t>https://drive.google.com/file/d/1rhmKgEI7_j-w0rdWdI5k5msKlzzkaMuh/view?usp=drivesdk</t>
  </si>
  <si>
    <t>Afiqah Farzana Humaira</t>
  </si>
  <si>
    <t>Abu Bakar</t>
  </si>
  <si>
    <t>Siti Nur Mukholisoh</t>
  </si>
  <si>
    <t>https://drive.google.com/open?id=1FxeerDplWKg_BdTrGEkAElx608Gem-H1</t>
  </si>
  <si>
    <t>EBTAQ25-06.015</t>
  </si>
  <si>
    <t>https://drive.google.com/file/d/16LfL2GqNT935Btg4rv_1Tp2KxBOO2rXg/view?usp=drivesdk</t>
  </si>
  <si>
    <t>Rizky Nuzullail Ramadhan</t>
  </si>
  <si>
    <t>Demak jawa tengah</t>
  </si>
  <si>
    <t>https://drive.google.com/open?id=1iUBEnFj5ttcZBA7J0jVR0bIJk-ZLzAvj</t>
  </si>
  <si>
    <t>EBTAQ25-01.534</t>
  </si>
  <si>
    <t>https://drive.google.com/file/d/1BTIGn9uZ56opQs5KGt_CZ-mFPGZQOR-V/view?usp=drivesdk</t>
  </si>
  <si>
    <t>Aqeela Khanza Ayyash Syifa</t>
  </si>
  <si>
    <t>Amin Subihono</t>
  </si>
  <si>
    <t>Hidayati</t>
  </si>
  <si>
    <t>https://drive.google.com/open?id=1gZ6IYiQ_K6L5aVM5IeWSR3Ux2YBZZ859</t>
  </si>
  <si>
    <t>EBTAQ25-06.016</t>
  </si>
  <si>
    <t>https://drive.google.com/file/d/1rKt0FQcGXI6A9ZOJDxlAxBK3vYHUTZnE/view?usp=drivesdk</t>
  </si>
  <si>
    <t>https://drive.google.com/open?id=1yF53gt_xFr7lMkazbYBlkUtGH5TZKqtE</t>
  </si>
  <si>
    <t>EBTAQ25-01.535</t>
  </si>
  <si>
    <t>https://drive.google.com/file/d/1QPNBIjXDtare-q5R0DDKLMNKR2nqzX0x/view?usp=drivesdk</t>
  </si>
  <si>
    <t>NUR ABIDA RAHMADANI</t>
  </si>
  <si>
    <t>SUBECHI</t>
  </si>
  <si>
    <t>MUKHAYATI</t>
  </si>
  <si>
    <t>https://drive.google.com/open?id=1FG4_MNOBvD5M844_FWowFw84uUnA3BJ4</t>
  </si>
  <si>
    <t>dewihandayani8872@gmail.com</t>
  </si>
  <si>
    <t>EBTAQ25-01.536</t>
  </si>
  <si>
    <t>https://drive.google.com/file/d/1wN80ehFgRFQ4tWRnUdOi0EJK6XvGY8lo/view?usp=drivesdk</t>
  </si>
  <si>
    <t>Naura Nurul Jannah</t>
  </si>
  <si>
    <t>Andi Widodo</t>
  </si>
  <si>
    <t>Siti Rokanah</t>
  </si>
  <si>
    <t>https://drive.google.com/open?id=1xkhhRuFeVHjyb-FuY43pHfS-VSF2Wwxx</t>
  </si>
  <si>
    <t>EBTAQ25-06.017</t>
  </si>
  <si>
    <t>https://drive.google.com/file/d/1dQNx1wOc00JfJ3drjlbne_VU1F2ENAZx/view?usp=drivesdk</t>
  </si>
  <si>
    <t>https://drive.google.com/open?id=17TTJ48hF6WT002_XXmrthUH7Qnu5NY-k</t>
  </si>
  <si>
    <t>EBTAQ25-01.537</t>
  </si>
  <si>
    <t>https://drive.google.com/file/d/1Gx7NBX_E-aQEWl2tpngv_6wUkGFMpF-W/view?usp=drivesdk</t>
  </si>
  <si>
    <t>MAULIDA ZULFA</t>
  </si>
  <si>
    <t>ACHMAD MIFTAH</t>
  </si>
  <si>
    <t>LAILATUS SA'DIYAH</t>
  </si>
  <si>
    <t>https://drive.google.com/open?id=1GygILcoK_qpk1LIsjycvzkjEfGmVynMA</t>
  </si>
  <si>
    <t>EBTAQ25-01.538</t>
  </si>
  <si>
    <t>https://drive.google.com/file/d/1pUX3YiKyKJo3C3A0nBLBAjF_tOqhTEyL/view?usp=drivesdk</t>
  </si>
  <si>
    <t>ANA ALFATUN NISA</t>
  </si>
  <si>
    <t>SUDAR</t>
  </si>
  <si>
    <t>RUMISIH</t>
  </si>
  <si>
    <t>https://drive.google.com/open?id=1HPft8Cj4uTuCcnyugSEyhrVNsNphnJ8J</t>
  </si>
  <si>
    <t>EBTAQ25-01.539</t>
  </si>
  <si>
    <t>https://drive.google.com/file/d/1tBQaQP76DdsteedHA2TQxRcukxjyr2Z7/view?usp=drivesdk</t>
  </si>
  <si>
    <t>RIZKY NUZULLAIL RAMADHAN</t>
  </si>
  <si>
    <t>DEMAK JAWA TENGAH</t>
  </si>
  <si>
    <t>NUR MUCHLIS</t>
  </si>
  <si>
    <t>MARYANAH</t>
  </si>
  <si>
    <t>https://drive.google.com/open?id=1ajvh1VcnnirL1144E7p5r0pS6keEXYP5</t>
  </si>
  <si>
    <t>EBTAQ25-01.540</t>
  </si>
  <si>
    <t>https://drive.google.com/file/d/1qgvxFiQzHsF4nhTP_WqIkw2blkKMIO2h/view?usp=drivesdk</t>
  </si>
  <si>
    <t>Nahil Rayya Kamilah</t>
  </si>
  <si>
    <t>Kasnur</t>
  </si>
  <si>
    <t>Okta fitriyanti</t>
  </si>
  <si>
    <t>https://drive.google.com/open?id=1G0HNUBAQaNuYt-xJCu99Hm1Rice_T7xh</t>
  </si>
  <si>
    <t>EBTAQ25-06.018</t>
  </si>
  <si>
    <t>https://drive.google.com/file/d/13PpbquMEKWeSRkQLVPmg7WKWmre33Z29/view?usp=drivesdk</t>
  </si>
  <si>
    <t>https://drive.google.com/open?id=1zcARZQldrDHaLIs8cmxtYoAWEFS7Ysly</t>
  </si>
  <si>
    <t>EBTAQ25-01.541</t>
  </si>
  <si>
    <t>https://drive.google.com/file/d/1zsxpsT3OKjAmqEFr_fXeKgVYLDSbAC9t/view?usp=drivesdk</t>
  </si>
  <si>
    <t>https://drive.google.com/open?id=1EhhTCOMoJxpXODeXVfaiZ08CBUp96M4O</t>
  </si>
  <si>
    <t>EBTAQ25-01.542</t>
  </si>
  <si>
    <t>https://drive.google.com/file/d/1oOkBiACu1Pfi5wzEFT-6FtsBQ-xSi41O/view?usp=drivesdk</t>
  </si>
  <si>
    <t>Supriyatun</t>
  </si>
  <si>
    <t>https://drive.google.com/open?id=1GYoEtejtQIj2iF_VhxKXzqAA0LSr1no8</t>
  </si>
  <si>
    <t>adel45273@gmail.com</t>
  </si>
  <si>
    <t>EBTAQ25-01.543</t>
  </si>
  <si>
    <t>https://drive.google.com/file/d/19Q1EtFQNHiDUVU82NOrun89XJ5QCDosR/view?usp=drivesdk</t>
  </si>
  <si>
    <t>https://drive.google.com/open?id=18qBrKBVxd4Davip_NinpRiC5swGk8GNs</t>
  </si>
  <si>
    <t>EBTAQ25-01.544</t>
  </si>
  <si>
    <t>https://drive.google.com/file/d/1YXBMuCe4eOV_qOl0RAr6Rng4eV3U5b2m/view?usp=drivesdk</t>
  </si>
  <si>
    <t>HILMY FAHRIZAL RAFA</t>
  </si>
  <si>
    <t>KOTAWARINGIN BARAT</t>
  </si>
  <si>
    <t>HENDRIK TOMY YULIANTO</t>
  </si>
  <si>
    <t>RISMA WIDI ASTUTI</t>
  </si>
  <si>
    <t>https://drive.google.com/open?id=1dFivps9mD6vunKhZsJZJbq0luvzlqhAg</t>
  </si>
  <si>
    <t>EBTAQ25-01.545</t>
  </si>
  <si>
    <t>https://drive.google.com/file/d/1qPqU9-wjkvKaJ2byU8mLD_0PxA9SYdia/view?usp=drivesdk</t>
  </si>
  <si>
    <t>SUMARDI</t>
  </si>
  <si>
    <t>https://drive.google.com/open?id=1kzach7pJmCmrY8eEIBogS9y3LHYb50EK</t>
  </si>
  <si>
    <t>EBTAQ25-01.546</t>
  </si>
  <si>
    <t>https://drive.google.com/file/d/19g26p13fvPLhuiunnTz6WNZIz94iAmQQ/view?usp=drivesdk</t>
  </si>
  <si>
    <t>https://drive.google.com/open?id=1CSK7H03hFcm--Jlu2CNXGOTs3Sb9QWN6</t>
  </si>
  <si>
    <t>EBTAQ25-01.547</t>
  </si>
  <si>
    <t>https://drive.google.com/file/d/1OiHFRFUKfbLbvc11AoJVX4DtxmYsFyj9/view?usp=drivesdk</t>
  </si>
  <si>
    <t>INTAN HANDAYANI FAHKRUNNISA</t>
  </si>
  <si>
    <t>CHAIRUL UMAM</t>
  </si>
  <si>
    <t>MARYATUN</t>
  </si>
  <si>
    <t>https://drive.google.com/open?id=1AocLr4tTQsKbUZVIwnjJVVpTr25fUWEN</t>
  </si>
  <si>
    <t>EBTAQ25-01.548</t>
  </si>
  <si>
    <t>https://drive.google.com/file/d/1yI85D0qfO3k_q2YWnOQlbI1TJeoCXrI-/view?usp=drivesdk</t>
  </si>
  <si>
    <t>ZAHRA ARYANI</t>
  </si>
  <si>
    <t>SUBANDRIO</t>
  </si>
  <si>
    <t>SURIAH</t>
  </si>
  <si>
    <t>https://drive.google.com/open?id=1qYwx5poG9wVK0hTAwLa0pAsplgnImVtK</t>
  </si>
  <si>
    <t>EBTAQ25-01.549</t>
  </si>
  <si>
    <t>https://drive.google.com/file/d/1gQ2WrkMav1fBFMgDfTcmaGMPxgHFoCTt/view?usp=drivesdk</t>
  </si>
  <si>
    <t>Kayla Rahma Faulina</t>
  </si>
  <si>
    <t>Ahmad Fauzi</t>
  </si>
  <si>
    <t>https://drive.google.com/open?id=1ai2SuoSXGZOzKVadzTTqAdFr40fDGxIt</t>
  </si>
  <si>
    <t>EBTAQ25-01.550</t>
  </si>
  <si>
    <t>https://drive.google.com/file/d/1q8Mz1yd4txiLpnESAkZNFVUrmsWnHd4A/view?usp=drivesdk</t>
  </si>
  <si>
    <t>Alfarih Maulana Akbar</t>
  </si>
  <si>
    <t>Hendra Adi Saputra</t>
  </si>
  <si>
    <t>Dina Munawaroh</t>
  </si>
  <si>
    <t>https://drive.google.com/open?id=1dtnvppE0HiBsPVlcKwwsEhpcgduHVoMk</t>
  </si>
  <si>
    <t>vnskiee6@gmail.com</t>
  </si>
  <si>
    <t>EBTAQ25-01.551</t>
  </si>
  <si>
    <t>https://drive.google.com/file/d/1tDByq6-zBlRVefc50ZKkbJ23-q0s2bKF/view?usp=drivesdk</t>
  </si>
  <si>
    <t>KEISHA RAHMA SYAFIRA</t>
  </si>
  <si>
    <t>NUR ROKHMAN</t>
  </si>
  <si>
    <t>RIZKA GITA AMILIA</t>
  </si>
  <si>
    <t>https://drive.google.com/open?id=1thgrxJUTij28vNaRlfHpea-Z870cQuT0</t>
  </si>
  <si>
    <t>EBTAQ25-01.552</t>
  </si>
  <si>
    <t>https://drive.google.com/file/d/1ltzR8vB8T7kLVcJx1GkpYZiulj8MIdlU/view?usp=drivesdk</t>
  </si>
  <si>
    <t>https://drive.google.com/open?id=1wQIpLgmTGhln2fBNX0ja2MmV77j6ByR-</t>
  </si>
  <si>
    <t>EBTAQ25-01.553</t>
  </si>
  <si>
    <t>https://drive.google.com/file/d/1DKAUiNAH9s6VeyGMr2dk7Dgx8GA8NNie/view?usp=drivesdk</t>
  </si>
  <si>
    <t>MARSELA AYUDIA INARA</t>
  </si>
  <si>
    <t>SLAMET</t>
  </si>
  <si>
    <t>DUROTUL AMIN</t>
  </si>
  <si>
    <t>https://drive.google.com/open?id=1dYCgGjw4k3VWeR_WMLzSxnjTKQ8RbEPo</t>
  </si>
  <si>
    <t>EBTAQ25-01.554</t>
  </si>
  <si>
    <t>https://drive.google.com/file/d/1uiC0yatyo4UrzdlaFrnVQc_CZZLIM8RA/view?usp=drivesdk</t>
  </si>
  <si>
    <t>MUHAMMAD AQEEL TSANIY</t>
  </si>
  <si>
    <t>MUHAMMAD ULIL ABROR</t>
  </si>
  <si>
    <t>YUBAIDAH</t>
  </si>
  <si>
    <t>https://drive.google.com/open?id=1t_zQkf-udG17Z1QPi6lskCH50Fq2H8k0</t>
  </si>
  <si>
    <t>EBTAQ25-01.555</t>
  </si>
  <si>
    <t>https://drive.google.com/file/d/1_PkOYhQiA-w6AgVmU1m_MXOsegv4YjmF/view?usp=drivesdk</t>
  </si>
  <si>
    <t>MUHAMMAD ARFANSHAH</t>
  </si>
  <si>
    <t>ARIP PURWANTO</t>
  </si>
  <si>
    <t>PURWADYANI PUTRI ARCHI JAWARANSYI</t>
  </si>
  <si>
    <t>https://drive.google.com/open?id=1pZNmHzG6lIR3zoeF1PMgrogay17uyPXq</t>
  </si>
  <si>
    <t>EBTAQ25-01.556</t>
  </si>
  <si>
    <t>https://drive.google.com/file/d/1U8l6OXMgEe4xWBztvUg33s7YvLjdfPyB/view?usp=drivesdk</t>
  </si>
  <si>
    <t>Ahmad Farhan Faruq</t>
  </si>
  <si>
    <t>Junaidi</t>
  </si>
  <si>
    <t>Siti Muthoharoh</t>
  </si>
  <si>
    <t>https://drive.google.com/open?id=1f7rwE94E-ff2budS4zo8gYAP9BnUkjmb</t>
  </si>
  <si>
    <t>ulisyifaulbarroh@gmail.com</t>
  </si>
  <si>
    <t>EBTAQ25-01.557</t>
  </si>
  <si>
    <t>https://drive.google.com/file/d/1NfcNLlwDtr1m0YTnn4NbKLl4Z3KzNQ3j/view?usp=drivesdk</t>
  </si>
  <si>
    <t>MUHAMMAD DAFA ARRIZKI</t>
  </si>
  <si>
    <t>SISWANTO</t>
  </si>
  <si>
    <t>ZULI RETNAWATI</t>
  </si>
  <si>
    <t>https://drive.google.com/open?id=1OZ_yNYXKo71mTR4aKhMmM4tAz0ZI-Bqc</t>
  </si>
  <si>
    <t>EBTAQ25-01.558</t>
  </si>
  <si>
    <t>https://drive.google.com/file/d/1LqSVs2yCEoNGW4hyybE__vSHbdIsqByQ/view?usp=drivesdk</t>
  </si>
  <si>
    <t>MUHAMMAD FAQIH AL KHAKIM</t>
  </si>
  <si>
    <t>SAMSUL KOMARUDIN</t>
  </si>
  <si>
    <t>MEGA WAHYU MUSTIKA</t>
  </si>
  <si>
    <t>https://drive.google.com/open?id=1qOxHMQ8Bu07RbUujLGg-0F_qDk2zgkXH</t>
  </si>
  <si>
    <t>EBTAQ25-01.559</t>
  </si>
  <si>
    <t>https://drive.google.com/file/d/1cCPWFCoDCqD_AcBFA0H58gw7ygUYBJ43/view?usp=drivesdk</t>
  </si>
  <si>
    <t>Silva Wahyu Karima</t>
  </si>
  <si>
    <t>Ali Fatkur</t>
  </si>
  <si>
    <t>Salimatul Laila</t>
  </si>
  <si>
    <t>https://drive.google.com/open?id=1j6ZHn_EM5TxL7Y4bHngoXbpB6VR6ZO8u</t>
  </si>
  <si>
    <t>EBTAQ25-01.560</t>
  </si>
  <si>
    <t>https://drive.google.com/file/d/1A30DTdPojmn6nf1ssPe8PXKQzgS1eiz9/view?usp=drivesdk</t>
  </si>
  <si>
    <t>MUHAMMAD FARICHUL AZZAM</t>
  </si>
  <si>
    <t>MAHMUDAH</t>
  </si>
  <si>
    <t>https://drive.google.com/open?id=18tHZ4YxyMN-0mkbt_OYC87O5k0fmcu7T</t>
  </si>
  <si>
    <t>EBTAQ25-01.561</t>
  </si>
  <si>
    <t>https://drive.google.com/file/d/1q1NU_NuoYnb6dr9dqz0Wuu0_BAGcJkZy/view?usp=drivesdk</t>
  </si>
  <si>
    <t>Muhammad Hanafi Apriliano</t>
  </si>
  <si>
    <t>Khoirul Anam</t>
  </si>
  <si>
    <t>Elisiana Novita Kumalasari</t>
  </si>
  <si>
    <t>https://drive.google.com/open?id=1hO68OE4bVS_QhUkPEF1_a_Q8Ke7Uyz9K</t>
  </si>
  <si>
    <t>EBTAQ25-01.562</t>
  </si>
  <si>
    <t>https://drive.google.com/file/d/1gcSNz9Dd-LEkRqntqm8b2PMgGPyQRyTK/view?usp=drivesdk</t>
  </si>
  <si>
    <t>Muhammad Syamsuddin Mabrur</t>
  </si>
  <si>
    <t>Akhid Nukman</t>
  </si>
  <si>
    <t>Sri Lestari</t>
  </si>
  <si>
    <t>https://drive.google.com/open?id=1R2sBeS-7jgVwHsMl0iY8VJVPw4dFs1r4</t>
  </si>
  <si>
    <t>EBTAQ25-01.563</t>
  </si>
  <si>
    <t>https://drive.google.com/file/d/1LV6Cmxa1ccKP7pwS7Vci4RGuNfSDfw3B/view?usp=drivesdk</t>
  </si>
  <si>
    <t>Sabrina Azka Zahra</t>
  </si>
  <si>
    <t>Giri Oktofi</t>
  </si>
  <si>
    <t>Kholisatunnidah</t>
  </si>
  <si>
    <t>https://drive.google.com/open?id=15Ozyk8qky-OoO4oazSFMKJKCfBUIRWSS</t>
  </si>
  <si>
    <t>EBTAQ25-01.564</t>
  </si>
  <si>
    <t>https://drive.google.com/file/d/1qlhRiYLu_su89THQGrnYgDXqxvh-Kr83/view?usp=drivesdk</t>
  </si>
  <si>
    <t>https://drive.google.com/open?id=1O_4fWawCvKHxwznDAYdK__qW0PML9vD9</t>
  </si>
  <si>
    <t>EBTAQ25-01.565</t>
  </si>
  <si>
    <t>https://drive.google.com/file/d/1aDAYTBlb3vWnMXGxqNNYRRAWvUnB8Tdb/view?usp=drivesdk</t>
  </si>
  <si>
    <t>Nur abida rahmadani</t>
  </si>
  <si>
    <t>Subechi</t>
  </si>
  <si>
    <t>Muhayati</t>
  </si>
  <si>
    <t>https://drive.google.com/open?id=1-ElZzqGZE-nMRtP0xwXPDWx-PaDRiMLX</t>
  </si>
  <si>
    <t>kholidnurrohman841@gmail.com</t>
  </si>
  <si>
    <t>EBTAQ25-01.566</t>
  </si>
  <si>
    <t>https://drive.google.com/file/d/1a5h_iXwTW0k0p5GWgXxc6Gt53e_KfVGB/view?usp=drivesdk</t>
  </si>
  <si>
    <t>MUHAMMAD JAFFAN ARAFAT PRAWIRANEGARA</t>
  </si>
  <si>
    <t>SUPRIYANTO</t>
  </si>
  <si>
    <t>IKA WAHYU SUPRAPTI</t>
  </si>
  <si>
    <t>https://drive.google.com/open?id=1-QVaM-GcOTKivbCe-kwLJKj47-oIUFYu</t>
  </si>
  <si>
    <t>EBTAQ25-01.567</t>
  </si>
  <si>
    <t>https://drive.google.com/file/d/1sMLs80TmxEI_mDB4hx_fAxp_mRAVhid7/view?usp=drivesdk</t>
  </si>
  <si>
    <t>Rokwan</t>
  </si>
  <si>
    <t>Tri Winarsih</t>
  </si>
  <si>
    <t>https://drive.google.com/open?id=1h8OfFoWUTP0MQRaR1ffNmnEEKQ7QJUHq</t>
  </si>
  <si>
    <t>EBTAQ25-01.568</t>
  </si>
  <si>
    <t>https://drive.google.com/file/d/13ViJJz43zGKN93TLJ-p2yMBCePMkvs_g/view?usp=drivesdk</t>
  </si>
  <si>
    <t>Wahyu budi utomo</t>
  </si>
  <si>
    <t>Heni sulistiyoningsih</t>
  </si>
  <si>
    <t>https://drive.google.com/open?id=1FmMiRSjS4HzurUJzpdhAbLJ99TLc9eBS</t>
  </si>
  <si>
    <t>EBTAQ25-01.569</t>
  </si>
  <si>
    <t>https://drive.google.com/file/d/1OH5wyV5bnyOcFiIRiR2U2Ztc5q1gV3a5/view?usp=drivesdk</t>
  </si>
  <si>
    <t>MUHAMMAD NADHIF UBAIDILLAH</t>
  </si>
  <si>
    <t>SAMSUL ARIF</t>
  </si>
  <si>
    <t>SITI ASIYAH</t>
  </si>
  <si>
    <t>https://drive.google.com/open?id=1YSUk2J7Yl4fndv__gL2cQfLcjNXBDdOJ</t>
  </si>
  <si>
    <t>EBTAQ25-01.570</t>
  </si>
  <si>
    <t>https://drive.google.com/file/d/1mcavXp--F7MKkwsCM0ik4J10UWlAAYME/view?usp=drivesdk</t>
  </si>
  <si>
    <t>MUHAMMAD NUR ARSY MUBAROK</t>
  </si>
  <si>
    <t>ACHMAD FARIDUL MUBAROQ</t>
  </si>
  <si>
    <t>UMI MUNFARIDAH</t>
  </si>
  <si>
    <t>https://drive.google.com/open?id=13KC-MpQHrBB80YAhELp0zrQ3wzwlyveO</t>
  </si>
  <si>
    <t>EBTAQ25-01.571</t>
  </si>
  <si>
    <t>https://drive.google.com/file/d/1LsRNnLFyDI3JX9suchvYUTwUt-dr9-FY/view?usp=drivesdk</t>
  </si>
  <si>
    <t>NAFISHA SYAKILA BIYANTORO</t>
  </si>
  <si>
    <t>KUPANG</t>
  </si>
  <si>
    <t>HENDRA BIYANTORO</t>
  </si>
  <si>
    <t>NUR HIDAYAH</t>
  </si>
  <si>
    <t>https://drive.google.com/open?id=17QifXBB3MVKWkVxf4vrBSkDZ-PbbMWsq</t>
  </si>
  <si>
    <t>EBTAQ25-01.572</t>
  </si>
  <si>
    <t>https://drive.google.com/file/d/1pF9CEBYV_oJ6cE7Tiq58g5woz-pDtlds/view?usp=drivesdk</t>
  </si>
  <si>
    <t>NAURA ARSYILA SALSABILA</t>
  </si>
  <si>
    <t>BUDI HARTONO</t>
  </si>
  <si>
    <t>LAILATUN NAFIAH</t>
  </si>
  <si>
    <t>https://drive.google.com/open?id=1ktA62bYE_w88VbR7ZFBsle7Tb27-h2TJ</t>
  </si>
  <si>
    <t>EBTAQ25-01.573</t>
  </si>
  <si>
    <t>https://drive.google.com/file/d/1PxA2DgwqRyWMSKDWaNWQmMybIYXGE0vR/view?usp=drivesdk</t>
  </si>
  <si>
    <t>Naura Hanifatul Ulya</t>
  </si>
  <si>
    <t>Andi Rohman</t>
  </si>
  <si>
    <t>Amalin Khoeroh</t>
  </si>
  <si>
    <t>https://drive.google.com/open?id=1oaiJr-PMpKGXSajEEub2KPlgD3HUTHlS</t>
  </si>
  <si>
    <t>EBTAQ25-01.574</t>
  </si>
  <si>
    <t>https://drive.google.com/file/d/1jb1wZZ-iiY-XH_dGnSL4n_35rWS6bm63/view?usp=drivesdk</t>
  </si>
  <si>
    <t>NURUL AZIS HISYAM</t>
  </si>
  <si>
    <t>Yiswoyo</t>
  </si>
  <si>
    <t>Mulyasari</t>
  </si>
  <si>
    <t>https://drive.google.com/open?id=1AvXvC347gZ_xQuKlaEWEAJ6hXFbivazG</t>
  </si>
  <si>
    <t>EBTAQ25-01.575</t>
  </si>
  <si>
    <t>https://drive.google.com/file/d/1w-eUMOEkMgsCrr5GzcOO_rS9oXon0k4-/view?usp=drivesdk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</si>
</sst>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21]dd\ mmmm\ yyyy;@"/>
  </numFmts>
  <fonts count="1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u/>
      <sz val="11"/>
      <color theme="10"/>
      <name val="Calibri"/>
      <family val="2"/>
      <charset val="1"/>
      <scheme val="minor"/>
    </font>
    <font>
      <sz val="10"/>
      <color rgb="FFFFFFFF"/>
      <name val="Roboto"/>
    </font>
    <font>
      <sz val="8"/>
      <name val="Calibri"/>
      <family val="2"/>
      <charset val="1"/>
      <scheme val="minor"/>
    </font>
    <font>
      <sz val="10"/>
      <color rgb="FFFF0000"/>
      <name val="Roboto"/>
    </font>
    <font>
      <sz val="11"/>
      <color theme="1"/>
      <name val="Arial"/>
      <family val="2"/>
    </font>
    <font>
      <sz val="11"/>
      <color rgb="FF434343"/>
      <name val="Roboto"/>
    </font>
    <font>
      <u/>
      <sz val="11"/>
      <color rgb="FF0563C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5B3F86"/>
        <bgColor indexed="64"/>
      </patternFill>
    </fill>
    <fill>
      <patternFill patternType="solid">
        <fgColor rgb="FFBDBDBD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" fillId="0" borderId="1" xfId="0" applyFont="1" applyBorder="1"/>
    <xf numFmtId="0" fontId="1" fillId="4" borderId="1" xfId="0" applyFont="1" applyFill="1" applyBorder="1"/>
    <xf numFmtId="0" fontId="1" fillId="0" borderId="1" xfId="0" applyFont="1" applyBorder="1" applyAlignment="1">
      <alignment wrapText="1"/>
    </xf>
    <xf numFmtId="165" fontId="1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left"/>
    </xf>
    <xf numFmtId="0" fontId="4" fillId="0" borderId="1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4" borderId="2" xfId="0" applyFont="1" applyFill="1" applyBorder="1"/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/>
    <xf numFmtId="15" fontId="0" fillId="0" borderId="0" xfId="0" applyNumberFormat="1"/>
    <xf numFmtId="22" fontId="5" fillId="5" borderId="3" xfId="0" applyNumberFormat="1" applyFont="1" applyFill="1" applyBorder="1" applyAlignment="1">
      <alignment horizontal="right" vertical="center"/>
    </xf>
    <xf numFmtId="0" fontId="5" fillId="5" borderId="4" xfId="0" applyFont="1" applyFill="1" applyBorder="1" applyAlignment="1">
      <alignment vertical="center"/>
    </xf>
    <xf numFmtId="14" fontId="5" fillId="5" borderId="4" xfId="0" applyNumberFormat="1" applyFont="1" applyFill="1" applyBorder="1" applyAlignment="1">
      <alignment horizontal="right" vertical="center"/>
    </xf>
    <xf numFmtId="0" fontId="7" fillId="5" borderId="4" xfId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22" fontId="5" fillId="3" borderId="6" xfId="0" applyNumberFormat="1" applyFont="1" applyFill="1" applyBorder="1" applyAlignment="1">
      <alignment horizontal="right" vertical="center"/>
    </xf>
    <xf numFmtId="0" fontId="5" fillId="3" borderId="7" xfId="0" applyFont="1" applyFill="1" applyBorder="1" applyAlignment="1">
      <alignment vertical="center"/>
    </xf>
    <xf numFmtId="14" fontId="5" fillId="3" borderId="7" xfId="0" applyNumberFormat="1" applyFont="1" applyFill="1" applyBorder="1" applyAlignment="1">
      <alignment horizontal="right" vertical="center"/>
    </xf>
    <xf numFmtId="0" fontId="7" fillId="3" borderId="7" xfId="1" applyFill="1" applyBorder="1" applyAlignment="1">
      <alignment vertical="center"/>
    </xf>
    <xf numFmtId="0" fontId="7" fillId="3" borderId="8" xfId="1" applyFill="1" applyBorder="1" applyAlignment="1">
      <alignment vertical="center"/>
    </xf>
    <xf numFmtId="22" fontId="5" fillId="5" borderId="9" xfId="0" applyNumberFormat="1" applyFont="1" applyFill="1" applyBorder="1" applyAlignment="1">
      <alignment horizontal="right" vertical="center"/>
    </xf>
    <xf numFmtId="0" fontId="5" fillId="5" borderId="10" xfId="0" applyFont="1" applyFill="1" applyBorder="1" applyAlignment="1">
      <alignment vertical="center"/>
    </xf>
    <xf numFmtId="14" fontId="5" fillId="5" borderId="10" xfId="0" applyNumberFormat="1" applyFont="1" applyFill="1" applyBorder="1" applyAlignment="1">
      <alignment horizontal="right" vertical="center"/>
    </xf>
    <xf numFmtId="0" fontId="7" fillId="5" borderId="10" xfId="1" applyFill="1" applyBorder="1" applyAlignment="1">
      <alignment vertical="center"/>
    </xf>
    <xf numFmtId="0" fontId="7" fillId="5" borderId="8" xfId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15" fontId="5" fillId="3" borderId="7" xfId="0" applyNumberFormat="1" applyFont="1" applyFill="1" applyBorder="1" applyAlignment="1">
      <alignment vertical="center"/>
    </xf>
    <xf numFmtId="22" fontId="5" fillId="5" borderId="11" xfId="0" applyNumberFormat="1" applyFont="1" applyFill="1" applyBorder="1" applyAlignment="1">
      <alignment horizontal="right" vertical="center"/>
    </xf>
    <xf numFmtId="0" fontId="5" fillId="5" borderId="12" xfId="0" applyFont="1" applyFill="1" applyBorder="1" applyAlignment="1">
      <alignment vertical="center"/>
    </xf>
    <xf numFmtId="14" fontId="5" fillId="5" borderId="12" xfId="0" applyNumberFormat="1" applyFont="1" applyFill="1" applyBorder="1" applyAlignment="1">
      <alignment horizontal="right" vertical="center"/>
    </xf>
    <xf numFmtId="0" fontId="7" fillId="5" borderId="12" xfId="1" applyFill="1" applyBorder="1" applyAlignment="1">
      <alignment vertical="center"/>
    </xf>
    <xf numFmtId="0" fontId="7" fillId="5" borderId="13" xfId="1" applyFill="1" applyBorder="1" applyAlignment="1">
      <alignment vertical="center"/>
    </xf>
    <xf numFmtId="0" fontId="8" fillId="6" borderId="14" xfId="0" applyFont="1" applyFill="1" applyBorder="1" applyAlignment="1">
      <alignment vertical="center"/>
    </xf>
    <xf numFmtId="0" fontId="8" fillId="6" borderId="15" xfId="0" applyFont="1" applyFill="1" applyBorder="1" applyAlignment="1">
      <alignment vertical="center"/>
    </xf>
    <xf numFmtId="0" fontId="8" fillId="6" borderId="16" xfId="0" applyFont="1" applyFill="1" applyBorder="1" applyAlignment="1">
      <alignment vertical="center"/>
    </xf>
    <xf numFmtId="22" fontId="5" fillId="3" borderId="3" xfId="0" applyNumberFormat="1" applyFont="1" applyFill="1" applyBorder="1" applyAlignment="1">
      <alignment horizontal="right" vertical="center"/>
    </xf>
    <xf numFmtId="22" fontId="5" fillId="5" borderId="6" xfId="0" applyNumberFormat="1" applyFont="1" applyFill="1" applyBorder="1" applyAlignment="1">
      <alignment horizontal="right" vertical="center"/>
    </xf>
    <xf numFmtId="22" fontId="5" fillId="3" borderId="9" xfId="0" applyNumberFormat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vertical="center"/>
    </xf>
    <xf numFmtId="0" fontId="5" fillId="5" borderId="7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15" fontId="5" fillId="3" borderId="10" xfId="0" applyNumberFormat="1" applyFont="1" applyFill="1" applyBorder="1" applyAlignment="1">
      <alignment vertical="center"/>
    </xf>
    <xf numFmtId="14" fontId="5" fillId="3" borderId="4" xfId="0" applyNumberFormat="1" applyFont="1" applyFill="1" applyBorder="1" applyAlignment="1">
      <alignment horizontal="right" vertical="center"/>
    </xf>
    <xf numFmtId="14" fontId="5" fillId="5" borderId="7" xfId="0" applyNumberFormat="1" applyFont="1" applyFill="1" applyBorder="1" applyAlignment="1">
      <alignment horizontal="right" vertical="center"/>
    </xf>
    <xf numFmtId="14" fontId="5" fillId="3" borderId="10" xfId="0" applyNumberFormat="1" applyFont="1" applyFill="1" applyBorder="1" applyAlignment="1">
      <alignment horizontal="right" vertical="center"/>
    </xf>
    <xf numFmtId="0" fontId="7" fillId="3" borderId="4" xfId="1" applyFill="1" applyBorder="1" applyAlignment="1">
      <alignment vertical="center"/>
    </xf>
    <xf numFmtId="0" fontId="7" fillId="5" borderId="7" xfId="1" applyFill="1" applyBorder="1" applyAlignment="1">
      <alignment vertical="center"/>
    </xf>
    <xf numFmtId="0" fontId="7" fillId="3" borderId="10" xfId="1" applyFill="1" applyBorder="1" applyAlignment="1">
      <alignment vertical="center"/>
    </xf>
    <xf numFmtId="0" fontId="7" fillId="3" borderId="5" xfId="1" applyFill="1" applyBorder="1" applyAlignment="1">
      <alignment vertical="center"/>
    </xf>
    <xf numFmtId="22" fontId="5" fillId="3" borderId="11" xfId="0" applyNumberFormat="1" applyFont="1" applyFill="1" applyBorder="1" applyAlignment="1">
      <alignment horizontal="right" vertical="center"/>
    </xf>
    <xf numFmtId="0" fontId="5" fillId="3" borderId="12" xfId="0" applyFont="1" applyFill="1" applyBorder="1" applyAlignment="1">
      <alignment vertical="center"/>
    </xf>
    <xf numFmtId="14" fontId="5" fillId="3" borderId="12" xfId="0" applyNumberFormat="1" applyFont="1" applyFill="1" applyBorder="1" applyAlignment="1">
      <alignment horizontal="right" vertical="center"/>
    </xf>
    <xf numFmtId="0" fontId="7" fillId="3" borderId="12" xfId="1" applyFill="1" applyBorder="1" applyAlignment="1">
      <alignment vertical="center"/>
    </xf>
    <xf numFmtId="0" fontId="7" fillId="3" borderId="13" xfId="1" applyFill="1" applyBorder="1" applyAlignment="1">
      <alignment vertical="center"/>
    </xf>
    <xf numFmtId="22" fontId="5" fillId="4" borderId="9" xfId="0" applyNumberFormat="1" applyFont="1" applyFill="1" applyBorder="1" applyAlignment="1">
      <alignment horizontal="right" vertical="center"/>
    </xf>
    <xf numFmtId="0" fontId="5" fillId="4" borderId="10" xfId="0" applyFont="1" applyFill="1" applyBorder="1" applyAlignment="1">
      <alignment vertical="center"/>
    </xf>
    <xf numFmtId="14" fontId="5" fillId="4" borderId="10" xfId="0" applyNumberFormat="1" applyFont="1" applyFill="1" applyBorder="1" applyAlignment="1">
      <alignment horizontal="right" vertical="center"/>
    </xf>
    <xf numFmtId="0" fontId="7" fillId="4" borderId="10" xfId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22" fontId="5" fillId="4" borderId="6" xfId="0" applyNumberFormat="1" applyFont="1" applyFill="1" applyBorder="1" applyAlignment="1">
      <alignment horizontal="right" vertical="center"/>
    </xf>
    <xf numFmtId="0" fontId="5" fillId="4" borderId="7" xfId="0" applyFont="1" applyFill="1" applyBorder="1" applyAlignment="1">
      <alignment vertical="center"/>
    </xf>
    <xf numFmtId="14" fontId="5" fillId="4" borderId="7" xfId="0" applyNumberFormat="1" applyFont="1" applyFill="1" applyBorder="1" applyAlignment="1">
      <alignment horizontal="right" vertical="center"/>
    </xf>
    <xf numFmtId="0" fontId="7" fillId="4" borderId="7" xfId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10" fillId="3" borderId="7" xfId="0" applyFont="1" applyFill="1" applyBorder="1" applyAlignment="1">
      <alignment vertical="center"/>
    </xf>
    <xf numFmtId="0" fontId="10" fillId="3" borderId="10" xfId="0" applyFont="1" applyFill="1" applyBorder="1" applyAlignment="1">
      <alignment vertical="center"/>
    </xf>
    <xf numFmtId="0" fontId="10" fillId="4" borderId="7" xfId="0" applyFont="1" applyFill="1" applyBorder="1" applyAlignment="1">
      <alignment vertical="center"/>
    </xf>
    <xf numFmtId="0" fontId="10" fillId="4" borderId="10" xfId="0" applyFont="1" applyFill="1" applyBorder="1" applyAlignment="1">
      <alignment vertical="center"/>
    </xf>
    <xf numFmtId="0" fontId="1" fillId="7" borderId="2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0" fillId="0" borderId="1" xfId="0" applyBorder="1" applyAlignment="1">
      <alignment horizontal="right" vertical="center"/>
    </xf>
    <xf numFmtId="0" fontId="0" fillId="4" borderId="0" xfId="0" applyFill="1"/>
    <xf numFmtId="0" fontId="1" fillId="0" borderId="0" xfId="0" applyFont="1"/>
    <xf numFmtId="0" fontId="1" fillId="0" borderId="10" xfId="0" applyFont="1" applyBorder="1"/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1" fillId="0" borderId="7" xfId="0" applyFont="1" applyBorder="1"/>
    <xf numFmtId="0" fontId="5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7" xfId="0" applyFont="1" applyBorder="1"/>
    <xf numFmtId="0" fontId="1" fillId="0" borderId="18" xfId="0" applyFont="1" applyBorder="1"/>
    <xf numFmtId="0" fontId="11" fillId="4" borderId="2" xfId="0" applyFont="1" applyFill="1" applyBorder="1"/>
    <xf numFmtId="0" fontId="12" fillId="4" borderId="2" xfId="0" applyFont="1" applyFill="1" applyBorder="1"/>
    <xf numFmtId="0" fontId="1" fillId="0" borderId="2" xfId="0" applyFont="1" applyBorder="1" applyAlignment="1">
      <alignment horizontal="right"/>
    </xf>
    <xf numFmtId="0" fontId="0" fillId="0" borderId="2" xfId="0" applyBorder="1"/>
    <xf numFmtId="0" fontId="1" fillId="4" borderId="0" xfId="0" applyFont="1" applyFill="1" applyAlignment="1">
      <alignment horizontal="right"/>
    </xf>
    <xf numFmtId="0" fontId="11" fillId="4" borderId="0" xfId="0" applyFont="1" applyFill="1"/>
    <xf numFmtId="0" fontId="12" fillId="4" borderId="0" xfId="0" applyFont="1" applyFill="1"/>
    <xf numFmtId="0" fontId="1" fillId="4" borderId="0" xfId="0" applyFont="1" applyFill="1"/>
    <xf numFmtId="14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14" fontId="1" fillId="4" borderId="2" xfId="0" applyNumberFormat="1" applyFont="1" applyFill="1" applyBorder="1" applyAlignment="1">
      <alignment horizontal="right"/>
    </xf>
    <xf numFmtId="0" fontId="1" fillId="4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" fillId="0" borderId="19" xfId="0" applyFont="1" applyBorder="1"/>
    <xf numFmtId="0" fontId="7" fillId="0" borderId="19" xfId="1" applyBorder="1" applyAlignment="1"/>
    <xf numFmtId="0" fontId="13" fillId="0" borderId="19" xfId="0" applyFont="1" applyBorder="1"/>
    <xf numFmtId="0" fontId="1" fillId="0" borderId="19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0" fillId="4" borderId="1" xfId="0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8" xfId="0" applyFont="1" applyFill="1" applyBorder="1" applyAlignment="1">
      <alignment vertical="center"/>
    </xf>
    <xf numFmtId="15" fontId="5" fillId="5" borderId="10" xfId="0" applyNumberFormat="1" applyFont="1" applyFill="1" applyBorder="1" applyAlignment="1">
      <alignment horizontal="right" vertical="center"/>
    </xf>
    <xf numFmtId="0" fontId="6" fillId="5" borderId="10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15" fontId="5" fillId="5" borderId="10" xfId="0" applyNumberFormat="1" applyFont="1" applyFill="1" applyBorder="1" applyAlignment="1">
      <alignment vertical="center"/>
    </xf>
  </cellXfs>
  <cellStyles count="2">
    <cellStyle name="Hipertaut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DKyLqwwUWKlOOpL8LSxkwSwAEqYiX60F" TargetMode="External"/><Relationship Id="rId2" Type="http://schemas.openxmlformats.org/officeDocument/2006/relationships/hyperlink" Target="https://drive.google.com/open?id=1_FuZ6TTcrbkipetCBPYcL-0B5D1rx6rW" TargetMode="External"/><Relationship Id="rId1" Type="http://schemas.openxmlformats.org/officeDocument/2006/relationships/hyperlink" Target="https://drive.google.com/file/d/18B_Z97IlJVJdaBXZBwvpSgpgIy1h6OAF/view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drive.google.com/file/d/1gt_POAXQ21jIiShA8tSKzkmzmGd0Kr9g/view?usp=drivesdk" TargetMode="External"/><Relationship Id="rId170" Type="http://schemas.openxmlformats.org/officeDocument/2006/relationships/hyperlink" Target="https://drive.google.com/open?id=1gPOJCOuwVVOrMQGPpLhV2Cba2Nyb-mam" TargetMode="External"/><Relationship Id="rId268" Type="http://schemas.openxmlformats.org/officeDocument/2006/relationships/hyperlink" Target="https://drive.google.com/open?id=16Jn1kZooIo5kByuYX73esDGZsK1V0sq5" TargetMode="External"/><Relationship Id="rId475" Type="http://schemas.openxmlformats.org/officeDocument/2006/relationships/hyperlink" Target="https://drive.google.com/file/d/12TD2WANXJcvkAN0oAz_0LCbHPuN8G-J-/view?usp=drivesdk" TargetMode="External"/><Relationship Id="rId682" Type="http://schemas.openxmlformats.org/officeDocument/2006/relationships/hyperlink" Target="https://drive.google.com/open?id=1WuLxVsmZxqmlO2r8yhCAaEYATodtYX6q" TargetMode="External"/><Relationship Id="rId128" Type="http://schemas.openxmlformats.org/officeDocument/2006/relationships/hyperlink" Target="https://drive.google.com/file/d/1emSs0Wb-vszNXcXUTm7_Nm5uuZ0C2W9A/view?usp=drivesdk" TargetMode="External"/><Relationship Id="rId335" Type="http://schemas.openxmlformats.org/officeDocument/2006/relationships/hyperlink" Target="https://drive.google.com/file/d/1TgnmMnCqcAuU8I4rvK91KfVXLc0iM8_f/view?usp=drivesdk" TargetMode="External"/><Relationship Id="rId542" Type="http://schemas.openxmlformats.org/officeDocument/2006/relationships/hyperlink" Target="https://drive.google.com/file/d/1MTrrSPbvNcTlb4QvVgff6pI5TUFVL_O4/view?usp=drivesdk" TargetMode="External"/><Relationship Id="rId987" Type="http://schemas.openxmlformats.org/officeDocument/2006/relationships/hyperlink" Target="https://drive.google.com/file/d/1KqlXDPzWnOrJoNBWQmyIOVOk0medJHjZ/view?usp=drivesdk" TargetMode="External"/><Relationship Id="rId1172" Type="http://schemas.openxmlformats.org/officeDocument/2006/relationships/hyperlink" Target="https://drive.google.com/open?id=1jJC6nRWwOH0dY5UzMfDiXgMMRBOsJ4JK" TargetMode="External"/><Relationship Id="rId402" Type="http://schemas.openxmlformats.org/officeDocument/2006/relationships/hyperlink" Target="https://drive.google.com/open?id=10dIxDPoiBWrpY6v7ZSlDxQNVKNg2SJNh" TargetMode="External"/><Relationship Id="rId847" Type="http://schemas.openxmlformats.org/officeDocument/2006/relationships/hyperlink" Target="https://drive.google.com/file/d/124MQ9B9ZXeD_Yh8ezhMp5ZF_3bK4P7so/view?usp=drivesdk" TargetMode="External"/><Relationship Id="rId1032" Type="http://schemas.openxmlformats.org/officeDocument/2006/relationships/hyperlink" Target="https://drive.google.com/open?id=1mg_a_jNX2K48y44W6Y9RFhkFSBsyx6Ga" TargetMode="External"/><Relationship Id="rId707" Type="http://schemas.openxmlformats.org/officeDocument/2006/relationships/hyperlink" Target="https://drive.google.com/file/d/1IA62g2trTXkyTD5TEusZw6uADjcWIfS9/view?usp=drivesdk" TargetMode="External"/><Relationship Id="rId914" Type="http://schemas.openxmlformats.org/officeDocument/2006/relationships/hyperlink" Target="https://drive.google.com/open?id=1mYkF1kbRAYSrncPC2e1XIit9GAebd6ZX" TargetMode="External"/><Relationship Id="rId1337" Type="http://schemas.openxmlformats.org/officeDocument/2006/relationships/hyperlink" Target="https://drive.google.com/open?id=1GWLk2ywaEyq3yTC_CtCs4389YYdUVxwO" TargetMode="External"/><Relationship Id="rId43" Type="http://schemas.openxmlformats.org/officeDocument/2006/relationships/hyperlink" Target="https://drive.google.com/file/d/1_SujYlKbyvK7wiJSAKSl8u8zn_EMD8ZY/view?usp=drivesdk" TargetMode="External"/><Relationship Id="rId1404" Type="http://schemas.openxmlformats.org/officeDocument/2006/relationships/hyperlink" Target="https://drive.google.com/file/d/1YXBMuCe4eOV_qOl0RAr6Rng4eV3U5b2m/view?usp=drivesdk" TargetMode="External"/><Relationship Id="rId192" Type="http://schemas.openxmlformats.org/officeDocument/2006/relationships/hyperlink" Target="https://drive.google.com/file/d/1lOzRiMbHi4yiGvzy7cGboHF1lps7CV2A/view?usp=drivesdk" TargetMode="External"/><Relationship Id="rId497" Type="http://schemas.openxmlformats.org/officeDocument/2006/relationships/hyperlink" Target="https://drive.google.com/open?id=1ZDCJ1HKa6b-hpN78HJ6vEX4a7mf69e6L" TargetMode="External"/><Relationship Id="rId357" Type="http://schemas.openxmlformats.org/officeDocument/2006/relationships/hyperlink" Target="https://drive.google.com/open?id=1hSmvXMsLfh92U9xMwaXm002KnN854ZSi" TargetMode="External"/><Relationship Id="rId1194" Type="http://schemas.openxmlformats.org/officeDocument/2006/relationships/hyperlink" Target="https://drive.google.com/open?id=1fBqVtfrMZwu5Oj0ububnO-6vtqo1o1Hq" TargetMode="External"/><Relationship Id="rId217" Type="http://schemas.openxmlformats.org/officeDocument/2006/relationships/hyperlink" Target="https://drive.google.com/file/d/1m6lizUGKRNkI2JbXIN3IOQDDAZnAAs9a/view?usp=drivesdk" TargetMode="External"/><Relationship Id="rId564" Type="http://schemas.openxmlformats.org/officeDocument/2006/relationships/hyperlink" Target="https://drive.google.com/file/d/1nHkLhvl7oSQRM1yT0-doOsY_L-Z9DupR/view?usp=drivesdk" TargetMode="External"/><Relationship Id="rId771" Type="http://schemas.openxmlformats.org/officeDocument/2006/relationships/hyperlink" Target="https://drive.google.com/file/d/1O2uh7X6musbRuEJSmlvXqBYl9FQZKxSO/view?usp=drivesdk" TargetMode="External"/><Relationship Id="rId869" Type="http://schemas.openxmlformats.org/officeDocument/2006/relationships/hyperlink" Target="https://drive.google.com/file/d/1HXSb21kELZX0Fjb7hCZhkZagPHhAv1Nz/view?usp=drivesdk" TargetMode="External"/><Relationship Id="rId424" Type="http://schemas.openxmlformats.org/officeDocument/2006/relationships/hyperlink" Target="https://drive.google.com/open?id=1ztR_lC3vsPK0_7QgtvlbYis6cEjN7R0K" TargetMode="External"/><Relationship Id="rId631" Type="http://schemas.openxmlformats.org/officeDocument/2006/relationships/hyperlink" Target="https://drive.google.com/open?id=18k_P7IhYuPq8plhp9TXs38WGbeDxELxT" TargetMode="External"/><Relationship Id="rId729" Type="http://schemas.openxmlformats.org/officeDocument/2006/relationships/hyperlink" Target="https://drive.google.com/file/d/1cOkk7ohpzAlDfo11IwqL871lsIpiXIjl/view?usp=drivesdk" TargetMode="External"/><Relationship Id="rId1054" Type="http://schemas.openxmlformats.org/officeDocument/2006/relationships/hyperlink" Target="https://drive.google.com/open?id=15d60Bvqq8IvVM6GepevJbddPoFD4mXUx" TargetMode="External"/><Relationship Id="rId1261" Type="http://schemas.openxmlformats.org/officeDocument/2006/relationships/hyperlink" Target="https://drive.google.com/file/d/1h1m27UME6YLaU6iNf7bZIAmPGomiPwWp/view?usp=drivesdk" TargetMode="External"/><Relationship Id="rId1359" Type="http://schemas.openxmlformats.org/officeDocument/2006/relationships/hyperlink" Target="https://drive.google.com/open?id=1Kni-bxnZVu6UjLHqPk7mcM_QUhbC87ua" TargetMode="External"/><Relationship Id="rId936" Type="http://schemas.openxmlformats.org/officeDocument/2006/relationships/hyperlink" Target="https://drive.google.com/open?id=1aeGdOrjAJSttjW5sm6GHgnEHIfEVK4pt" TargetMode="External"/><Relationship Id="rId1121" Type="http://schemas.openxmlformats.org/officeDocument/2006/relationships/hyperlink" Target="https://drive.google.com/open?id=1y5gKyn1vBrCY6GgHgHGTuTIsueIGhgWa" TargetMode="External"/><Relationship Id="rId1219" Type="http://schemas.openxmlformats.org/officeDocument/2006/relationships/hyperlink" Target="https://drive.google.com/open?id=1wXd8K2bwhAPEp3TtGORe6mDMp-5LDGdm" TargetMode="External"/><Relationship Id="rId65" Type="http://schemas.openxmlformats.org/officeDocument/2006/relationships/hyperlink" Target="https://drive.google.com/file/d/1Pvsg3IngayRTExM_QWDU8J9mMJg6jD81/view?usp=drivesdk" TargetMode="External"/><Relationship Id="rId1426" Type="http://schemas.openxmlformats.org/officeDocument/2006/relationships/hyperlink" Target="https://drive.google.com/file/d/1_PkOYhQiA-w6AgVmU1m_MXOsegv4YjmF/view?usp=drivesdk" TargetMode="External"/><Relationship Id="rId281" Type="http://schemas.openxmlformats.org/officeDocument/2006/relationships/hyperlink" Target="https://drive.google.com/file/d/1G_nSBvixchnnd6DOC4WOFzOORDoiejNV/view?usp=drivesdk" TargetMode="External"/><Relationship Id="rId141" Type="http://schemas.openxmlformats.org/officeDocument/2006/relationships/hyperlink" Target="https://drive.google.com/file/d/1NbX6Tlzaihu3k_UpWRg_8KklRm0ONtYd/view?usp=drivesdk" TargetMode="External"/><Relationship Id="rId379" Type="http://schemas.openxmlformats.org/officeDocument/2006/relationships/hyperlink" Target="https://drive.google.com/file/d/1UNhIEiT-uz8NCkWTMcsDQwPg7laDRRoi/view?usp=drivesdk" TargetMode="External"/><Relationship Id="rId586" Type="http://schemas.openxmlformats.org/officeDocument/2006/relationships/hyperlink" Target="https://drive.google.com/file/d/1_6Ad1oFUwT8tZ9vp29k-RjmYu38dBjeB/view?usp=drivesdk" TargetMode="External"/><Relationship Id="rId793" Type="http://schemas.openxmlformats.org/officeDocument/2006/relationships/hyperlink" Target="https://drive.google.com/file/d/1kTr8kBIk0dHmQaCCy9eAVozG0HIiS0TP/view?usp=drivesdk" TargetMode="External"/><Relationship Id="rId7" Type="http://schemas.openxmlformats.org/officeDocument/2006/relationships/hyperlink" Target="https://drive.google.com/file/d/1S1EnzUcSIlncCOXIW-y-UYZySpxnWtrK/view?usp=drivesdk" TargetMode="External"/><Relationship Id="rId239" Type="http://schemas.openxmlformats.org/officeDocument/2006/relationships/hyperlink" Target="https://drive.google.com/open?id=1T8zere1wiyP9t9N8zj2PMGiLGAp3hbap" TargetMode="External"/><Relationship Id="rId446" Type="http://schemas.openxmlformats.org/officeDocument/2006/relationships/hyperlink" Target="https://drive.google.com/file/d/12vPXXXnFyO3EwG_kkMOyhTkMBRaYU01R/view?usp=drivesdk" TargetMode="External"/><Relationship Id="rId653" Type="http://schemas.openxmlformats.org/officeDocument/2006/relationships/hyperlink" Target="https://drive.google.com/file/d/1dUDJLQ1cEuydrQdfhoDzfWPB5b1vpKIh/view?usp=drivesdk" TargetMode="External"/><Relationship Id="rId1076" Type="http://schemas.openxmlformats.org/officeDocument/2006/relationships/hyperlink" Target="https://drive.google.com/open?id=1NmnwitQUUYEDgqn2G7C3pHwVO1sa2eKi" TargetMode="External"/><Relationship Id="rId1283" Type="http://schemas.openxmlformats.org/officeDocument/2006/relationships/hyperlink" Target="https://drive.google.com/file/d/166h2ySXVN58nQjsPTdGP97j-BwlM_up5/view?usp=drivesdk" TargetMode="External"/><Relationship Id="rId306" Type="http://schemas.openxmlformats.org/officeDocument/2006/relationships/hyperlink" Target="https://drive.google.com/open?id=1W7_6GMiU0BgfIp9jZXWDFB6P5RZkfhWl" TargetMode="External"/><Relationship Id="rId860" Type="http://schemas.openxmlformats.org/officeDocument/2006/relationships/hyperlink" Target="https://drive.google.com/open?id=123Gm7eee2IyRpcNhuP0nQOGbYmqjx3ia" TargetMode="External"/><Relationship Id="rId958" Type="http://schemas.openxmlformats.org/officeDocument/2006/relationships/hyperlink" Target="https://drive.google.com/open?id=1iY-EPut7zmtLjlFvLE1EFWEIpAJtwX9e" TargetMode="External"/><Relationship Id="rId1143" Type="http://schemas.openxmlformats.org/officeDocument/2006/relationships/hyperlink" Target="https://drive.google.com/open?id=1sj4bNW1QSAnUYbxLZdZofJV-BonqlYne" TargetMode="External"/><Relationship Id="rId87" Type="http://schemas.openxmlformats.org/officeDocument/2006/relationships/hyperlink" Target="https://drive.google.com/file/d/1duWKV1kvFWgFCWKHuZDEt35jKOtxj-wr/view?usp=drivesdk" TargetMode="External"/><Relationship Id="rId513" Type="http://schemas.openxmlformats.org/officeDocument/2006/relationships/hyperlink" Target="https://drive.google.com/open?id=1dp725lqG2HD5XNfFAGLdJRf4M6zDAb1L" TargetMode="External"/><Relationship Id="rId720" Type="http://schemas.openxmlformats.org/officeDocument/2006/relationships/hyperlink" Target="https://drive.google.com/open?id=1Us9NmwNeMDot6NKD1jcBov-79KpCK0LS" TargetMode="External"/><Relationship Id="rId818" Type="http://schemas.openxmlformats.org/officeDocument/2006/relationships/hyperlink" Target="https://drive.google.com/open?id=1rXbllAHqEhRndz9pvsZJ2K9HVdmi2Nyz" TargetMode="External"/><Relationship Id="rId1350" Type="http://schemas.openxmlformats.org/officeDocument/2006/relationships/hyperlink" Target="https://drive.google.com/file/d/1-q2iNo7dffP3ehnR_sLh3sm-kY6aXeZO/view?usp=drivesdk" TargetMode="External"/><Relationship Id="rId1448" Type="http://schemas.openxmlformats.org/officeDocument/2006/relationships/hyperlink" Target="https://drive.google.com/file/d/1a5h_iXwTW0k0p5GWgXxc6Gt53e_KfVGB/view?usp=drivesdk" TargetMode="External"/><Relationship Id="rId1003" Type="http://schemas.openxmlformats.org/officeDocument/2006/relationships/hyperlink" Target="https://drive.google.com/file/d/1XzDoB77Ia27weSFTvH0oUUE1pG8Efyv3/view?usp=drivesdk" TargetMode="External"/><Relationship Id="rId1210" Type="http://schemas.openxmlformats.org/officeDocument/2006/relationships/hyperlink" Target="https://drive.google.com/open?id=1Ab7JvUxd93F66rUPbvQOemw5XrSvcuk8" TargetMode="External"/><Relationship Id="rId1308" Type="http://schemas.openxmlformats.org/officeDocument/2006/relationships/hyperlink" Target="https://drive.google.com/open?id=14HlGjZszb0tUF9W7hGovpWnWy7e9R0FA" TargetMode="External"/><Relationship Id="rId14" Type="http://schemas.openxmlformats.org/officeDocument/2006/relationships/hyperlink" Target="https://drive.google.com/open?id=1rW0U4BxDjbyOl2mhyPLhvdRdedM758eF" TargetMode="External"/><Relationship Id="rId163" Type="http://schemas.openxmlformats.org/officeDocument/2006/relationships/hyperlink" Target="https://drive.google.com/open?id=1iDGuMOJoCZzFnl9NZiwe4w058dODbVqN" TargetMode="External"/><Relationship Id="rId370" Type="http://schemas.openxmlformats.org/officeDocument/2006/relationships/hyperlink" Target="https://drive.google.com/file/d/1d_izbss7J62Lx0JFNQKxHfegmUQa2cyD/view?usp=drivesdk" TargetMode="External"/><Relationship Id="rId230" Type="http://schemas.openxmlformats.org/officeDocument/2006/relationships/hyperlink" Target="https://drive.google.com/open?id=1GwkDE1f73cPaXB1PxzaBKpnPtWLzslVJ" TargetMode="External"/><Relationship Id="rId468" Type="http://schemas.openxmlformats.org/officeDocument/2006/relationships/hyperlink" Target="https://drive.google.com/open?id=1kuLGYXpfP3yoIdCxrwnFe8SoMAlebxCY" TargetMode="External"/><Relationship Id="rId675" Type="http://schemas.openxmlformats.org/officeDocument/2006/relationships/hyperlink" Target="https://drive.google.com/file/d/1zeMhn21c6RbK8zH6gLhq3gpwe8B2omjT/view?usp=drivesdk" TargetMode="External"/><Relationship Id="rId882" Type="http://schemas.openxmlformats.org/officeDocument/2006/relationships/hyperlink" Target="https://drive.google.com/open?id=1lrSsJoHfw2WEqWk-rknSbXYsgrmvm_f8" TargetMode="External"/><Relationship Id="rId1098" Type="http://schemas.openxmlformats.org/officeDocument/2006/relationships/hyperlink" Target="https://drive.google.com/file/d/1W86GLojMIfdDz0KEZ2f4FxereiyI8eLs/view?usp=drivesdk" TargetMode="External"/><Relationship Id="rId328" Type="http://schemas.openxmlformats.org/officeDocument/2006/relationships/hyperlink" Target="https://drive.google.com/open?id=1gWIVFU1YCDJ53Al-OwhEhKoInuFD3ho-" TargetMode="External"/><Relationship Id="rId535" Type="http://schemas.openxmlformats.org/officeDocument/2006/relationships/hyperlink" Target="https://drive.google.com/open?id=1sdVoBqMnL7bN-8VFdYKP26hZE78NbrU9" TargetMode="External"/><Relationship Id="rId742" Type="http://schemas.openxmlformats.org/officeDocument/2006/relationships/hyperlink" Target="https://drive.google.com/open?id=1gKjQq4N0SGehfUdzHW5rlh6LHXlTQ0Jr" TargetMode="External"/><Relationship Id="rId1165" Type="http://schemas.openxmlformats.org/officeDocument/2006/relationships/hyperlink" Target="https://drive.google.com/file/d/1Hz1f3Ly0FKep2W_gDK6KCRE14feuF7-R/view?usp=drivesdk" TargetMode="External"/><Relationship Id="rId1372" Type="http://schemas.openxmlformats.org/officeDocument/2006/relationships/hyperlink" Target="https://drive.google.com/file/d/1hgcI4DKLl7f8TbKGjhfBbh6_U7JsPd6y/view?usp=drivesdk" TargetMode="External"/><Relationship Id="rId602" Type="http://schemas.openxmlformats.org/officeDocument/2006/relationships/hyperlink" Target="https://drive.google.com/file/d/1U6aexQfd3y4_dao8fMaHPOi55uTv-42M/view?usp=drivesdk" TargetMode="External"/><Relationship Id="rId1025" Type="http://schemas.openxmlformats.org/officeDocument/2006/relationships/hyperlink" Target="https://drive.google.com/file/d/1yW9GXoRs5P1A71xgTXgkTnV8Ce5dD7uL/view?usp=drivesdk" TargetMode="External"/><Relationship Id="rId1232" Type="http://schemas.openxmlformats.org/officeDocument/2006/relationships/hyperlink" Target="https://drive.google.com/file/d/1PG4Bzsrru0WSXkNuHu8y7ZcXRPZeDnFO/view?usp=drivesdk" TargetMode="External"/><Relationship Id="rId907" Type="http://schemas.openxmlformats.org/officeDocument/2006/relationships/hyperlink" Target="https://drive.google.com/file/d/1-hnLTUHxfUX34-LtkCdfiSxIu0VSzjs0/view?usp=drivesdk" TargetMode="External"/><Relationship Id="rId36" Type="http://schemas.openxmlformats.org/officeDocument/2006/relationships/hyperlink" Target="https://drive.google.com/open?id=1-1klgcJlXxYe8igSJUmKUGLPBJMEahg1" TargetMode="External"/><Relationship Id="rId185" Type="http://schemas.openxmlformats.org/officeDocument/2006/relationships/hyperlink" Target="https://drive.google.com/open?id=1DKyLqwwUWKlOOpL8LSxkwSwAEqYiX60F" TargetMode="External"/><Relationship Id="rId392" Type="http://schemas.openxmlformats.org/officeDocument/2006/relationships/hyperlink" Target="https://drive.google.com/open?id=1-v4DYZXmayNezOuDv2parTy_XzIvxd4p" TargetMode="External"/><Relationship Id="rId697" Type="http://schemas.openxmlformats.org/officeDocument/2006/relationships/hyperlink" Target="https://drive.google.com/file/d/11KKCOZC5zpOUUjVBDIOTTapoxVh7SC70/view?usp=drivesdk" TargetMode="External"/><Relationship Id="rId252" Type="http://schemas.openxmlformats.org/officeDocument/2006/relationships/hyperlink" Target="https://drive.google.com/file/d/1Mh_Rgew4my73qbLkgGSAfapBLqDdXw5W/view?usp=drivesdk" TargetMode="External"/><Relationship Id="rId1187" Type="http://schemas.openxmlformats.org/officeDocument/2006/relationships/hyperlink" Target="https://drive.google.com/file/d/10HWyrbh3XMjFdvOGuosDwutuFO134kxo/view?usp=drivesdk" TargetMode="External"/><Relationship Id="rId112" Type="http://schemas.openxmlformats.org/officeDocument/2006/relationships/hyperlink" Target="https://drive.google.com/open?id=1dyGM06YqSkXm9kVYE3yx83iJ5QNzesKx" TargetMode="External"/><Relationship Id="rId557" Type="http://schemas.openxmlformats.org/officeDocument/2006/relationships/hyperlink" Target="https://drive.google.com/open?id=1FMCv-OTNjtD4cu_4XJfLIvrcqilIeQyx" TargetMode="External"/><Relationship Id="rId764" Type="http://schemas.openxmlformats.org/officeDocument/2006/relationships/hyperlink" Target="https://drive.google.com/file/d/1Bnl1Imldaqdy3W8VGMo5BJNtPEUGDenT/view?usp=drivesdk" TargetMode="External"/><Relationship Id="rId971" Type="http://schemas.openxmlformats.org/officeDocument/2006/relationships/hyperlink" Target="https://drive.google.com/file/d/1e4WRfwOjbqHklYXnJOMfZ6flEkd5_hZs/view?usp=drivesdk" TargetMode="External"/><Relationship Id="rId1394" Type="http://schemas.openxmlformats.org/officeDocument/2006/relationships/hyperlink" Target="https://drive.google.com/file/d/1qgvxFiQzHsF4nhTP_WqIkw2blkKMIO2h/view?usp=drivesdk" TargetMode="External"/><Relationship Id="rId417" Type="http://schemas.openxmlformats.org/officeDocument/2006/relationships/hyperlink" Target="https://drive.google.com/open?id=1DJVq2Jmyu0aHFInLuL8zqCoyTr62JAUu" TargetMode="External"/><Relationship Id="rId624" Type="http://schemas.openxmlformats.org/officeDocument/2006/relationships/hyperlink" Target="https://drive.google.com/file/d/1fJsyLE7_gUGfnUWmTmnqvCKlyeZ1gwD-/view?usp=drivesdk" TargetMode="External"/><Relationship Id="rId831" Type="http://schemas.openxmlformats.org/officeDocument/2006/relationships/hyperlink" Target="https://drive.google.com/file/d/1HxFBUwtnJg0GI94K3m7pZ7d2MYt733dh/view?usp=drivesdk" TargetMode="External"/><Relationship Id="rId1047" Type="http://schemas.openxmlformats.org/officeDocument/2006/relationships/hyperlink" Target="https://drive.google.com/file/d/1EFn8T_T2564mVX5zSo6bS0y_7lJQIGnK/view?usp=drivesdk" TargetMode="External"/><Relationship Id="rId1254" Type="http://schemas.openxmlformats.org/officeDocument/2006/relationships/hyperlink" Target="https://drive.google.com/open?id=1I3L7VoazNeRc192lCKhPgstb4wu0pLbW" TargetMode="External"/><Relationship Id="rId1461" Type="http://schemas.openxmlformats.org/officeDocument/2006/relationships/hyperlink" Target="https://drive.google.com/open?id=1ktA62bYE_w88VbR7ZFBsle7Tb27-h2TJ" TargetMode="External"/><Relationship Id="rId929" Type="http://schemas.openxmlformats.org/officeDocument/2006/relationships/hyperlink" Target="https://drive.google.com/file/d/1zaRFwpXBwAgCOYJQTH3pIpiAT6jk-XY2/view?usp=drivesdk" TargetMode="External"/><Relationship Id="rId1114" Type="http://schemas.openxmlformats.org/officeDocument/2006/relationships/hyperlink" Target="https://drive.google.com/file/d/1zaWv5DrHONLG428i1c1jb1mcO1E5Rj2b/view?usp=drivesdk" TargetMode="External"/><Relationship Id="rId1321" Type="http://schemas.openxmlformats.org/officeDocument/2006/relationships/hyperlink" Target="https://drive.google.com/file/d/1M6BHFxBeZ5jN9EWEwK8XmblJzQCr1UT6/view?usp=drivesdk" TargetMode="External"/><Relationship Id="rId58" Type="http://schemas.openxmlformats.org/officeDocument/2006/relationships/hyperlink" Target="https://drive.google.com/open?id=1Tu4b8lvkyu7hGhMCpg7MCjrutLBpI3EX" TargetMode="External"/><Relationship Id="rId1419" Type="http://schemas.openxmlformats.org/officeDocument/2006/relationships/hyperlink" Target="https://drive.google.com/open?id=1thgrxJUTij28vNaRlfHpea-Z870cQuT0" TargetMode="External"/><Relationship Id="rId274" Type="http://schemas.openxmlformats.org/officeDocument/2006/relationships/hyperlink" Target="https://drive.google.com/open?id=1beiP7KMup0bFo_MyAzV3-Cw9wgF_ykMm" TargetMode="External"/><Relationship Id="rId481" Type="http://schemas.openxmlformats.org/officeDocument/2006/relationships/hyperlink" Target="https://drive.google.com/open?id=1ffyXG6N_WCAowAjons3z0vSUkpyrZzFk" TargetMode="External"/><Relationship Id="rId134" Type="http://schemas.openxmlformats.org/officeDocument/2006/relationships/hyperlink" Target="https://drive.google.com/open?id=1aI69pndUZux8CwDJQVcz5ZtFAQi4_bT-" TargetMode="External"/><Relationship Id="rId579" Type="http://schemas.openxmlformats.org/officeDocument/2006/relationships/hyperlink" Target="https://drive.google.com/file/d/1ypgHzgwn1bOQJP2Qp8NTxSrA9OG6YAOt/view?usp=drivesdk" TargetMode="External"/><Relationship Id="rId786" Type="http://schemas.openxmlformats.org/officeDocument/2006/relationships/hyperlink" Target="https://drive.google.com/open?id=1qGm-QRWyqDsIZkhML52S6NH-RwMvUYiy" TargetMode="External"/><Relationship Id="rId993" Type="http://schemas.openxmlformats.org/officeDocument/2006/relationships/hyperlink" Target="https://drive.google.com/file/d/1XoeIG5eZVxImVZ55ayTCoLZqj2eRke4u/view?usp=drivesdk" TargetMode="External"/><Relationship Id="rId341" Type="http://schemas.openxmlformats.org/officeDocument/2006/relationships/hyperlink" Target="https://drive.google.com/open?id=1U15qbKiG5sTqHxPTHywKhgWOvFi8xtZB" TargetMode="External"/><Relationship Id="rId439" Type="http://schemas.openxmlformats.org/officeDocument/2006/relationships/hyperlink" Target="https://drive.google.com/open?id=1skni7B0X8tRHdyHKcgmM7HI2Ax4-ZzqG" TargetMode="External"/><Relationship Id="rId646" Type="http://schemas.openxmlformats.org/officeDocument/2006/relationships/hyperlink" Target="https://drive.google.com/open?id=1B_HJH0PRRfvahGlTHIphlJs8ld5s2bGC" TargetMode="External"/><Relationship Id="rId1069" Type="http://schemas.openxmlformats.org/officeDocument/2006/relationships/hyperlink" Target="https://drive.google.com/file/d/1ZgwLfeJv9KQDEvLnafkY-7xTYeJrh7NB/view?usp=drivesdk" TargetMode="External"/><Relationship Id="rId1276" Type="http://schemas.openxmlformats.org/officeDocument/2006/relationships/hyperlink" Target="https://drive.google.com/open?id=1aP3mbJ2MK26ZRhKAm9kxpJq-_ctdHhSf" TargetMode="External"/><Relationship Id="rId201" Type="http://schemas.openxmlformats.org/officeDocument/2006/relationships/hyperlink" Target="https://drive.google.com/open?id=1oqDaHJlZc3VToA6Q-Y17OqwwUbRmPbCU" TargetMode="External"/><Relationship Id="rId506" Type="http://schemas.openxmlformats.org/officeDocument/2006/relationships/hyperlink" Target="https://drive.google.com/open?id=1urXGbSOnqcAUDF_2NZO_8Hw8woBQmnIn" TargetMode="External"/><Relationship Id="rId853" Type="http://schemas.openxmlformats.org/officeDocument/2006/relationships/hyperlink" Target="https://drive.google.com/file/d/1doROzOkTNdArWc0Xgj0b17mAPrvrEVNi/view?usp=drivesdk" TargetMode="External"/><Relationship Id="rId1136" Type="http://schemas.openxmlformats.org/officeDocument/2006/relationships/hyperlink" Target="https://drive.google.com/file/d/1sMaIdCR7aWUzJgh3n1aWeiUFuddTKcTC/view?usp=drivesdk" TargetMode="External"/><Relationship Id="rId713" Type="http://schemas.openxmlformats.org/officeDocument/2006/relationships/hyperlink" Target="https://drive.google.com/file/d/1mYYkvP32wTzTB5CQuivPPNiFh-ja4ER3/view?usp=drivesdk" TargetMode="External"/><Relationship Id="rId920" Type="http://schemas.openxmlformats.org/officeDocument/2006/relationships/hyperlink" Target="https://drive.google.com/open?id=1ChiCHbMqtWAO2bABGcFyYpyOsu7RSXOr" TargetMode="External"/><Relationship Id="rId1343" Type="http://schemas.openxmlformats.org/officeDocument/2006/relationships/hyperlink" Target="https://drive.google.com/open?id=1Myi4KERXFe3YuuqKnV62uINmYXtDZNpv" TargetMode="External"/><Relationship Id="rId1203" Type="http://schemas.openxmlformats.org/officeDocument/2006/relationships/hyperlink" Target="https://drive.google.com/file/d/1Um2HWtqPa1ydLA4iJhNPa1m-YnZYbo2G/view?usp=drivesdk" TargetMode="External"/><Relationship Id="rId1410" Type="http://schemas.openxmlformats.org/officeDocument/2006/relationships/hyperlink" Target="https://drive.google.com/file/d/1OiHFRFUKfbLbvc11AoJVX4DtxmYsFyj9/view?usp=drivesdk" TargetMode="External"/><Relationship Id="rId296" Type="http://schemas.openxmlformats.org/officeDocument/2006/relationships/hyperlink" Target="https://drive.google.com/file/d/1VeT_nri-I2zmh6YpkklywaUh6ylf-vYF/view?usp=drivesdk" TargetMode="External"/><Relationship Id="rId156" Type="http://schemas.openxmlformats.org/officeDocument/2006/relationships/hyperlink" Target="https://drive.google.com/file/d/1JeTSfIoT2Bu8fbTVducfIgtAfmr10xQ5/view?usp=drivesdk" TargetMode="External"/><Relationship Id="rId363" Type="http://schemas.openxmlformats.org/officeDocument/2006/relationships/hyperlink" Target="https://drive.google.com/open?id=1monk98yGQ8NHdndRq-SUO4auuemI7OP9" TargetMode="External"/><Relationship Id="rId570" Type="http://schemas.openxmlformats.org/officeDocument/2006/relationships/hyperlink" Target="https://drive.google.com/file/d/1jvMRsJs9Z3g9P1xZHyMn3YSurGSqroJ8/view?usp=drivesdk" TargetMode="External"/><Relationship Id="rId223" Type="http://schemas.openxmlformats.org/officeDocument/2006/relationships/hyperlink" Target="https://drive.google.com/open?id=1-NLujXjWJiioKGQu1ONTF_WtZE1cMUB6" TargetMode="External"/><Relationship Id="rId430" Type="http://schemas.openxmlformats.org/officeDocument/2006/relationships/hyperlink" Target="https://drive.google.com/open?id=1Ca2tWg9px9RFnQVUw7AhFWnmHPvir520" TargetMode="External"/><Relationship Id="rId668" Type="http://schemas.openxmlformats.org/officeDocument/2006/relationships/hyperlink" Target="https://drive.google.com/open?id=1AkUa0BS0NAaiUOwB3Xgw-QEgpxLnD-nD" TargetMode="External"/><Relationship Id="rId875" Type="http://schemas.openxmlformats.org/officeDocument/2006/relationships/hyperlink" Target="https://drive.google.com/file/d/1d3cXzMO61j9yA8Ryq34pURwKcCxmzwTQ/view?usp=drivesdk" TargetMode="External"/><Relationship Id="rId1060" Type="http://schemas.openxmlformats.org/officeDocument/2006/relationships/hyperlink" Target="https://drive.google.com/open?id=1RmcUnwK5FRQ68yRN30o-7JvX9PiUYTmW" TargetMode="External"/><Relationship Id="rId1298" Type="http://schemas.openxmlformats.org/officeDocument/2006/relationships/hyperlink" Target="https://drive.google.com/open?id=1AHp2aEP8q2OxVJoAQEVhUWz1aQwJuwb4" TargetMode="External"/><Relationship Id="rId528" Type="http://schemas.openxmlformats.org/officeDocument/2006/relationships/hyperlink" Target="https://drive.google.com/file/d/1-LQTyJcFwOizI6jyLght79IJg5a0wWmj/view?usp=drivesdk" TargetMode="External"/><Relationship Id="rId735" Type="http://schemas.openxmlformats.org/officeDocument/2006/relationships/hyperlink" Target="https://drive.google.com/file/d/1_buQGgR4lpCs2c0ok1ibd_6jTEPDBPma/view?usp=drivesdk" TargetMode="External"/><Relationship Id="rId942" Type="http://schemas.openxmlformats.org/officeDocument/2006/relationships/hyperlink" Target="https://drive.google.com/open?id=1Gjjfy9IKk9ZYBnxBghw-8ekzayts5zAa" TargetMode="External"/><Relationship Id="rId1158" Type="http://schemas.openxmlformats.org/officeDocument/2006/relationships/hyperlink" Target="https://drive.google.com/open?id=16GP34Y9DuZSUFUw_2Nrh5wqWmRAWGvZ5" TargetMode="External"/><Relationship Id="rId1365" Type="http://schemas.openxmlformats.org/officeDocument/2006/relationships/hyperlink" Target="https://drive.google.com/open?id=14I7arFM_m40_RbA0ZY-5JlBIsT2LgLvu" TargetMode="External"/><Relationship Id="rId1018" Type="http://schemas.openxmlformats.org/officeDocument/2006/relationships/hyperlink" Target="https://drive.google.com/open?id=10S7k2zVN1xlkIIQ6cfNDK8P1vQw9uekO" TargetMode="External"/><Relationship Id="rId1225" Type="http://schemas.openxmlformats.org/officeDocument/2006/relationships/hyperlink" Target="https://drive.google.com/open?id=1nQGy-IZMIAa7LvDWQoUX7pU2Un-B9wPt" TargetMode="External"/><Relationship Id="rId1432" Type="http://schemas.openxmlformats.org/officeDocument/2006/relationships/hyperlink" Target="https://drive.google.com/file/d/1LqSVs2yCEoNGW4hyybE__vSHbdIsqByQ/view?usp=drivesdk" TargetMode="External"/><Relationship Id="rId71" Type="http://schemas.openxmlformats.org/officeDocument/2006/relationships/hyperlink" Target="https://drive.google.com/file/d/1RG0r7j_f1DRlXA34orDGNeYRKGuwmreQ/view?usp=drivesdk" TargetMode="External"/><Relationship Id="rId802" Type="http://schemas.openxmlformats.org/officeDocument/2006/relationships/hyperlink" Target="https://drive.google.com/open?id=16lZX52qGvpphVUaJqaQFZlQzHDZ8QwsG" TargetMode="External"/><Relationship Id="rId29" Type="http://schemas.openxmlformats.org/officeDocument/2006/relationships/hyperlink" Target="https://drive.google.com/file/d/1dY4k05JvqvcBF8ClydSxowkheonBbuYU/view?usp=drivesdk" TargetMode="External"/><Relationship Id="rId178" Type="http://schemas.openxmlformats.org/officeDocument/2006/relationships/hyperlink" Target="https://drive.google.com/file/d/1DWZFOXTZAqDplh3IJnCE_0acd3Zg6KoV/view?usp=drivesdk" TargetMode="External"/><Relationship Id="rId385" Type="http://schemas.openxmlformats.org/officeDocument/2006/relationships/hyperlink" Target="https://drive.google.com/open?id=17lotDdPqDJzuJzOzODBmVC29HwMDHP-7" TargetMode="External"/><Relationship Id="rId592" Type="http://schemas.openxmlformats.org/officeDocument/2006/relationships/hyperlink" Target="https://drive.google.com/file/d/1l1zxoqtwVIHZfWW-6GM-mA25_WsWyEkU/view?usp=drivesdk" TargetMode="External"/><Relationship Id="rId245" Type="http://schemas.openxmlformats.org/officeDocument/2006/relationships/hyperlink" Target="https://drive.google.com/open?id=1m1VLto70ZUnCvPI5Lucug6xuO81QzxJH" TargetMode="External"/><Relationship Id="rId452" Type="http://schemas.openxmlformats.org/officeDocument/2006/relationships/hyperlink" Target="https://drive.google.com/file/d/121VfRlwUkNgh2B7IXkwJX5UMHDWpxk0v/view?usp=drivesdk" TargetMode="External"/><Relationship Id="rId897" Type="http://schemas.openxmlformats.org/officeDocument/2006/relationships/hyperlink" Target="https://drive.google.com/file/d/1VBVmgoUdA5_FDtJCAe-5eUYKOlxkuUpY/view?usp=drivesdk" TargetMode="External"/><Relationship Id="rId1082" Type="http://schemas.openxmlformats.org/officeDocument/2006/relationships/hyperlink" Target="https://drive.google.com/open?id=135cQhXzr29vO61BH3y9XHS49Rb-_lCU8" TargetMode="External"/><Relationship Id="rId105" Type="http://schemas.openxmlformats.org/officeDocument/2006/relationships/hyperlink" Target="https://drive.google.com/open?id=1pOsKMAA76XvfpEVBXDNLQ8i4PUMEGwjQ" TargetMode="External"/><Relationship Id="rId312" Type="http://schemas.openxmlformats.org/officeDocument/2006/relationships/hyperlink" Target="https://drive.google.com/open?id=1f3vhZa5xejSUfprv7TjQ4ioll8ynlKiB" TargetMode="External"/><Relationship Id="rId757" Type="http://schemas.openxmlformats.org/officeDocument/2006/relationships/hyperlink" Target="https://drive.google.com/file/d/101I8bbFR82UBggw7frnqS69f20XyBQoP/view?usp=drivesdk" TargetMode="External"/><Relationship Id="rId964" Type="http://schemas.openxmlformats.org/officeDocument/2006/relationships/hyperlink" Target="https://drive.google.com/open?id=1yz8QrTvVrEs6UwQZ9v3Io7LSG1kDbtNR" TargetMode="External"/><Relationship Id="rId1387" Type="http://schemas.openxmlformats.org/officeDocument/2006/relationships/hyperlink" Target="https://drive.google.com/open?id=17TTJ48hF6WT002_XXmrthUH7Qnu5NY-k" TargetMode="External"/><Relationship Id="rId93" Type="http://schemas.openxmlformats.org/officeDocument/2006/relationships/hyperlink" Target="https://drive.google.com/open?id=1GVSfUtAd-VG7N2w11azVOuPqlJ_pNFuw" TargetMode="External"/><Relationship Id="rId617" Type="http://schemas.openxmlformats.org/officeDocument/2006/relationships/hyperlink" Target="https://drive.google.com/open?id=18vn_P_zdAUY6xw7TO7HDwD-3BonY26NF" TargetMode="External"/><Relationship Id="rId824" Type="http://schemas.openxmlformats.org/officeDocument/2006/relationships/hyperlink" Target="https://drive.google.com/open?id=19lPkXH3QUt-0VCfqDIeqpuym35GpdRw0" TargetMode="External"/><Relationship Id="rId1247" Type="http://schemas.openxmlformats.org/officeDocument/2006/relationships/hyperlink" Target="https://drive.google.com/file/d/1ujs2Dvz0qRMBNhwM7DTG0NA0z3G9fWf1/view?usp=drivesdk" TargetMode="External"/><Relationship Id="rId1454" Type="http://schemas.openxmlformats.org/officeDocument/2006/relationships/hyperlink" Target="https://drive.google.com/file/d/1OH5wyV5bnyOcFiIRiR2U2Ztc5q1gV3a5/view?usp=drivesdk" TargetMode="External"/><Relationship Id="rId1107" Type="http://schemas.openxmlformats.org/officeDocument/2006/relationships/hyperlink" Target="https://drive.google.com/open?id=1ovJr0LkMhKNihpEiKXpd4oqMZTeZCiK_" TargetMode="External"/><Relationship Id="rId1314" Type="http://schemas.openxmlformats.org/officeDocument/2006/relationships/hyperlink" Target="https://drive.google.com/open?id=1rmeCf9iuiwVyRXADSqkUqOfEI07ItL0g" TargetMode="External"/><Relationship Id="rId20" Type="http://schemas.openxmlformats.org/officeDocument/2006/relationships/hyperlink" Target="https://drive.google.com/open?id=1kV7426-pZepQwruh-h4gakwsSJ1VIWc1" TargetMode="External"/><Relationship Id="rId267" Type="http://schemas.openxmlformats.org/officeDocument/2006/relationships/hyperlink" Target="https://drive.google.com/open?id=1DFWKlq5FAH56c_FhB8BVJRa8FTWttKNz" TargetMode="External"/><Relationship Id="rId474" Type="http://schemas.openxmlformats.org/officeDocument/2006/relationships/hyperlink" Target="https://drive.google.com/open?id=1_OYkOBXq3Gu5uFzLRptUyU3tqBmgPsOa" TargetMode="External"/><Relationship Id="rId127" Type="http://schemas.openxmlformats.org/officeDocument/2006/relationships/hyperlink" Target="https://drive.google.com/open?id=1kP52y2Rm7ZGrAQVe9fX6z0qCNskgdVEC" TargetMode="External"/><Relationship Id="rId681" Type="http://schemas.openxmlformats.org/officeDocument/2006/relationships/hyperlink" Target="https://drive.google.com/file/d/1eI1z8pcpeNBW8K1fB0ieF8FePqiLFyvC/view?usp=drivesdk" TargetMode="External"/><Relationship Id="rId779" Type="http://schemas.openxmlformats.org/officeDocument/2006/relationships/hyperlink" Target="https://drive.google.com/file/d/1HpOqoVtPRgYDHfz9rJnAmVzN_m404Yv2/view?usp=drivesdk" TargetMode="External"/><Relationship Id="rId986" Type="http://schemas.openxmlformats.org/officeDocument/2006/relationships/hyperlink" Target="https://drive.google.com/open?id=1YPBZMVfLAV8_9Dg1jw2eFngrxNxLSFh7" TargetMode="External"/><Relationship Id="rId334" Type="http://schemas.openxmlformats.org/officeDocument/2006/relationships/hyperlink" Target="https://drive.google.com/open?id=1ORvOngVtfUlG-9CyHLyc3bC7UIS6pAKp" TargetMode="External"/><Relationship Id="rId541" Type="http://schemas.openxmlformats.org/officeDocument/2006/relationships/hyperlink" Target="https://drive.google.com/open?id=1YpCQGMANhSLSjMsw1A0cVwOqeDu9wnsf" TargetMode="External"/><Relationship Id="rId639" Type="http://schemas.openxmlformats.org/officeDocument/2006/relationships/hyperlink" Target="https://drive.google.com/open?id=1dNSX7wG852rmvKA9s5SS8dZEtcxmRmaW" TargetMode="External"/><Relationship Id="rId1171" Type="http://schemas.openxmlformats.org/officeDocument/2006/relationships/hyperlink" Target="https://drive.google.com/file/d/1IEuSLxjx1Gkt8mIJ-lZGFNhEDZPJt2Yq/view?usp=drivesdk" TargetMode="External"/><Relationship Id="rId1269" Type="http://schemas.openxmlformats.org/officeDocument/2006/relationships/hyperlink" Target="https://drive.google.com/file/d/1ClYMMqFyFejXSwuucxpIxFUdWQ2bOh7_/view?usp=drivesdk" TargetMode="External"/><Relationship Id="rId401" Type="http://schemas.openxmlformats.org/officeDocument/2006/relationships/hyperlink" Target="https://drive.google.com/open?id=10sI4Qo06dxQQtAtCQUyzSp52whnhIFz5" TargetMode="External"/><Relationship Id="rId846" Type="http://schemas.openxmlformats.org/officeDocument/2006/relationships/hyperlink" Target="https://drive.google.com/open?id=1xUUAspFJhZzUgELIvNFxbNVELsqqsu4J" TargetMode="External"/><Relationship Id="rId1031" Type="http://schemas.openxmlformats.org/officeDocument/2006/relationships/hyperlink" Target="https://drive.google.com/file/d/1iJwfcgDrG_wZxf8409tNqkPZNcpyYVlS/view?usp=drivesdk" TargetMode="External"/><Relationship Id="rId1129" Type="http://schemas.openxmlformats.org/officeDocument/2006/relationships/hyperlink" Target="https://drive.google.com/open?id=1q4IZUNINt47SqxLQpXd__FTMvw2kaZGO" TargetMode="External"/><Relationship Id="rId706" Type="http://schemas.openxmlformats.org/officeDocument/2006/relationships/hyperlink" Target="https://drive.google.com/open?id=1GMtyusqJkZjBNItQPrvTSobxl9PJc--3" TargetMode="External"/><Relationship Id="rId913" Type="http://schemas.openxmlformats.org/officeDocument/2006/relationships/hyperlink" Target="https://drive.google.com/file/d/1hkSvMdiN79k4nMVama9Heocm4k7cL8XN/view?usp=drivesdk" TargetMode="External"/><Relationship Id="rId1336" Type="http://schemas.openxmlformats.org/officeDocument/2006/relationships/hyperlink" Target="https://drive.google.com/file/d/19PDgCsesJuY5MlUtWVfZj0FBRKQoiPQo/view?usp=drivesdk" TargetMode="External"/><Relationship Id="rId42" Type="http://schemas.openxmlformats.org/officeDocument/2006/relationships/hyperlink" Target="https://drive.google.com/open?id=1IcjIiVs_nkbDbfGNy7mcGkVSrvHSPOKD" TargetMode="External"/><Relationship Id="rId1403" Type="http://schemas.openxmlformats.org/officeDocument/2006/relationships/hyperlink" Target="https://drive.google.com/open?id=18qBrKBVxd4Davip_NinpRiC5swGk8GNs" TargetMode="External"/><Relationship Id="rId191" Type="http://schemas.openxmlformats.org/officeDocument/2006/relationships/hyperlink" Target="https://drive.google.com/open?id=1XmpuYd11stQ5C_wlAWa_xbpTyXXu7_-A" TargetMode="External"/><Relationship Id="rId289" Type="http://schemas.openxmlformats.org/officeDocument/2006/relationships/hyperlink" Target="https://drive.google.com/open?id=1bjZRhMayh79BoKiR5Mq4kPS7h24s3v4M" TargetMode="External"/><Relationship Id="rId496" Type="http://schemas.openxmlformats.org/officeDocument/2006/relationships/hyperlink" Target="https://drive.google.com/open?id=1jRf8wC0B0RHbg_niDOnQYUg2DRoXdazy" TargetMode="External"/><Relationship Id="rId149" Type="http://schemas.openxmlformats.org/officeDocument/2006/relationships/hyperlink" Target="https://drive.google.com/open?id=1zJxeD9iN9seXb_L27garPAey51BnnRwZ" TargetMode="External"/><Relationship Id="rId356" Type="http://schemas.openxmlformats.org/officeDocument/2006/relationships/hyperlink" Target="https://drive.google.com/open?id=1yy1-xSodyKoG1L2mee-gtFCVC9QGwDB-" TargetMode="External"/><Relationship Id="rId563" Type="http://schemas.openxmlformats.org/officeDocument/2006/relationships/hyperlink" Target="https://drive.google.com/open?id=1e9cixQcwKZsB2Xyl1fAwFmLlkkuBh9A1" TargetMode="External"/><Relationship Id="rId770" Type="http://schemas.openxmlformats.org/officeDocument/2006/relationships/hyperlink" Target="https://drive.google.com/open?id=17R178bEH6_2S7-9jSMjX57QObAXF9FYp" TargetMode="External"/><Relationship Id="rId1193" Type="http://schemas.openxmlformats.org/officeDocument/2006/relationships/hyperlink" Target="https://drive.google.com/file/d/1FdASXhCAGvQ7BQR4OqRcR3WpBClHP1At/view?usp=drivesdk" TargetMode="External"/><Relationship Id="rId216" Type="http://schemas.openxmlformats.org/officeDocument/2006/relationships/hyperlink" Target="https://drive.google.com/open?id=1Sr8nUMFBiAw6xopvWbLeb_RZtjiFSJDs" TargetMode="External"/><Relationship Id="rId423" Type="http://schemas.openxmlformats.org/officeDocument/2006/relationships/hyperlink" Target="https://drive.google.com/file/d/1VN8NPiPsKi9E1tP_a-ufkKJxQSo7EdwY/view?usp=drivesdk" TargetMode="External"/><Relationship Id="rId868" Type="http://schemas.openxmlformats.org/officeDocument/2006/relationships/hyperlink" Target="https://drive.google.com/open?id=1EgGzvqbDbnP8dnkw9c97l8Cn1U86cNLS" TargetMode="External"/><Relationship Id="rId1053" Type="http://schemas.openxmlformats.org/officeDocument/2006/relationships/hyperlink" Target="https://drive.google.com/file/d/11wuGTbXLx46-HMCudD80bCMNSE_HJJYS/view?usp=drivesdk" TargetMode="External"/><Relationship Id="rId1260" Type="http://schemas.openxmlformats.org/officeDocument/2006/relationships/hyperlink" Target="https://drive.google.com/open?id=1GKG-W-I7SqvNuny1O--MsIRM1ts83DYZ" TargetMode="External"/><Relationship Id="rId630" Type="http://schemas.openxmlformats.org/officeDocument/2006/relationships/hyperlink" Target="https://drive.google.com/file/d/1c2kj7u07NsxmQR6WHC_GhkdhR6xx2l8-/view?usp=drivesdk" TargetMode="External"/><Relationship Id="rId728" Type="http://schemas.openxmlformats.org/officeDocument/2006/relationships/hyperlink" Target="https://drive.google.com/open?id=16qP1EdfUF3hQWN1rIOzAlO7sHwuvaCnk" TargetMode="External"/><Relationship Id="rId935" Type="http://schemas.openxmlformats.org/officeDocument/2006/relationships/hyperlink" Target="https://drive.google.com/file/d/1VKlKRGekVVONT5dCTa9wW5DboQyuylkf/view?usp=drivesdk" TargetMode="External"/><Relationship Id="rId1358" Type="http://schemas.openxmlformats.org/officeDocument/2006/relationships/hyperlink" Target="https://drive.google.com/file/d/19evRIT9LunUdwwtNFJcJ-62ILxW2ZQZ7/view?usp=drivesdk" TargetMode="External"/><Relationship Id="rId64" Type="http://schemas.openxmlformats.org/officeDocument/2006/relationships/hyperlink" Target="https://drive.google.com/open?id=1aqjkZhGHrKUqN5F-HA9Sm6tyIra27jA1" TargetMode="External"/><Relationship Id="rId1120" Type="http://schemas.openxmlformats.org/officeDocument/2006/relationships/hyperlink" Target="https://drive.google.com/file/d/1XJnU30NmA9AaptlcqZWQg9pRrV80xU4F/view?usp=drivesdk" TargetMode="External"/><Relationship Id="rId1218" Type="http://schemas.openxmlformats.org/officeDocument/2006/relationships/hyperlink" Target="https://drive.google.com/file/d/1vNlsqgj5KCtaLnq5G2D8_3Pb_VSzAVqB/view?usp=drivesdk" TargetMode="External"/><Relationship Id="rId1425" Type="http://schemas.openxmlformats.org/officeDocument/2006/relationships/hyperlink" Target="https://drive.google.com/open?id=1t_zQkf-udG17Z1QPi6lskCH50Fq2H8k0" TargetMode="External"/><Relationship Id="rId280" Type="http://schemas.openxmlformats.org/officeDocument/2006/relationships/hyperlink" Target="https://drive.google.com/open?id=1SZNq3ylZ9TDwS_EXoI0YkJcYgGduZzjG" TargetMode="External"/><Relationship Id="rId140" Type="http://schemas.openxmlformats.org/officeDocument/2006/relationships/hyperlink" Target="https://drive.google.com/open?id=1p-87wUAweFz5djzE2NGcW9_WcQULwH6t" TargetMode="External"/><Relationship Id="rId378" Type="http://schemas.openxmlformats.org/officeDocument/2006/relationships/hyperlink" Target="https://drive.google.com/open?id=1PFmq1RtHXpOEK5VTTSuDNiOOTIPhn5Ug" TargetMode="External"/><Relationship Id="rId585" Type="http://schemas.openxmlformats.org/officeDocument/2006/relationships/hyperlink" Target="https://drive.google.com/open?id=1weVm7GBm0NAZzJ0_OTzx_H9OAo3Cq-FX" TargetMode="External"/><Relationship Id="rId792" Type="http://schemas.openxmlformats.org/officeDocument/2006/relationships/hyperlink" Target="https://drive.google.com/open?id=1nn756TM-dmwy_vlAElZroHFSu_vzEI64" TargetMode="External"/><Relationship Id="rId6" Type="http://schemas.openxmlformats.org/officeDocument/2006/relationships/hyperlink" Target="https://drive.google.com/open?id=1f5SwUGtvDG6QgH4U3gKJlQTxwe1MwDIH" TargetMode="External"/><Relationship Id="rId238" Type="http://schemas.openxmlformats.org/officeDocument/2006/relationships/hyperlink" Target="https://drive.google.com/file/d/1_In3p1BgpcLr1sJAQcF48bDuv0phNnci/view?usp=drivesdk" TargetMode="External"/><Relationship Id="rId445" Type="http://schemas.openxmlformats.org/officeDocument/2006/relationships/hyperlink" Target="https://drive.google.com/open?id=1kOIpkXL2ulXMgtwZo_paD2jgLViTSESS" TargetMode="External"/><Relationship Id="rId652" Type="http://schemas.openxmlformats.org/officeDocument/2006/relationships/hyperlink" Target="https://drive.google.com/open?id=1nYgtEnvBc-2oafr89_vMw6tvhgcnSXE8" TargetMode="External"/><Relationship Id="rId1075" Type="http://schemas.openxmlformats.org/officeDocument/2006/relationships/hyperlink" Target="https://drive.google.com/file/d/1otkS44pe00DhAwdQYinSazsjeJuVZb56/view?usp=drivesdk" TargetMode="External"/><Relationship Id="rId1282" Type="http://schemas.openxmlformats.org/officeDocument/2006/relationships/hyperlink" Target="https://drive.google.com/open?id=1l_rWZ5Yj6Y2VkF4f4oFFSFKl3JpUISfX" TargetMode="External"/><Relationship Id="rId305" Type="http://schemas.openxmlformats.org/officeDocument/2006/relationships/hyperlink" Target="https://drive.google.com/file/d/1k6IYdYTdDI7dCSqwIsbSdTJCwf5Xx9Rm/view?usp=drivesdk" TargetMode="External"/><Relationship Id="rId512" Type="http://schemas.openxmlformats.org/officeDocument/2006/relationships/hyperlink" Target="https://drive.google.com/open?id=1IugcpSZcfXRQ6-B_CZ-qhWN2AQIL-xft" TargetMode="External"/><Relationship Id="rId957" Type="http://schemas.openxmlformats.org/officeDocument/2006/relationships/hyperlink" Target="https://drive.google.com/file/d/1tSaHJ6tjvFC7IsnCDKIptaTa8va_xVeg/view?usp=drivesdk" TargetMode="External"/><Relationship Id="rId1142" Type="http://schemas.openxmlformats.org/officeDocument/2006/relationships/hyperlink" Target="https://drive.google.com/file/d/1SWkFQ7wL50Kkff2CrrJvOc9DwNukfsJ3/view?usp=drivesdk" TargetMode="External"/><Relationship Id="rId86" Type="http://schemas.openxmlformats.org/officeDocument/2006/relationships/hyperlink" Target="https://drive.google.com/open?id=1EursjyoKVsOOdaX7_nmRhOD_sLJ_Xqpf" TargetMode="External"/><Relationship Id="rId817" Type="http://schemas.openxmlformats.org/officeDocument/2006/relationships/hyperlink" Target="https://drive.google.com/file/d/1ZvcQSp7a6Az71JpwSnPaQLR_k1SfIojD/view?usp=drivesdk" TargetMode="External"/><Relationship Id="rId1002" Type="http://schemas.openxmlformats.org/officeDocument/2006/relationships/hyperlink" Target="https://drive.google.com/open?id=18WgcyDJMUFcCD6BKq_7g2VNVz7B_uO2m" TargetMode="External"/><Relationship Id="rId1447" Type="http://schemas.openxmlformats.org/officeDocument/2006/relationships/hyperlink" Target="https://drive.google.com/open?id=1-ElZzqGZE-nMRtP0xwXPDWx-PaDRiMLX" TargetMode="External"/><Relationship Id="rId1307" Type="http://schemas.openxmlformats.org/officeDocument/2006/relationships/hyperlink" Target="https://drive.google.com/file/d/1JPQPyvSXowP6ePLALdpb57HpbGvxk-Jx/view?usp=drivesdk" TargetMode="External"/><Relationship Id="rId13" Type="http://schemas.openxmlformats.org/officeDocument/2006/relationships/hyperlink" Target="https://drive.google.com/file/d/1sYSdtjmuBXfAU8eS9sDn2m_a-iJScwgf/view?usp=drivesdk" TargetMode="External"/><Relationship Id="rId162" Type="http://schemas.openxmlformats.org/officeDocument/2006/relationships/hyperlink" Target="https://drive.google.com/file/d/1i3dolt8FHQwFzMWIJsHijpnr_Ys1ZxfI/view?usp=drivesdk" TargetMode="External"/><Relationship Id="rId467" Type="http://schemas.openxmlformats.org/officeDocument/2006/relationships/hyperlink" Target="https://drive.google.com/open?id=1rth1SHCJamv8uuCtRVqj9QcQ8Gezf_em" TargetMode="External"/><Relationship Id="rId1097" Type="http://schemas.openxmlformats.org/officeDocument/2006/relationships/hyperlink" Target="https://drive.google.com/open?id=1EwPLNlwh6r9LcTqFm1IjeRYC250_QewX" TargetMode="External"/><Relationship Id="rId674" Type="http://schemas.openxmlformats.org/officeDocument/2006/relationships/hyperlink" Target="https://drive.google.com/open?id=1VaSRVgWb3miC8H--K-h_JwfM-7rgSRBQ" TargetMode="External"/><Relationship Id="rId881" Type="http://schemas.openxmlformats.org/officeDocument/2006/relationships/hyperlink" Target="https://drive.google.com/file/d/1IkgWDXSu9s2ESuQgnS6gxG7yu1cdRbGA/view?usp=drivesdk" TargetMode="External"/><Relationship Id="rId979" Type="http://schemas.openxmlformats.org/officeDocument/2006/relationships/hyperlink" Target="https://drive.google.com/file/d/1x6HW3_wkTAxdlQlf6H4ZikGqY4Im__9W/view?usp=drivesdk" TargetMode="External"/><Relationship Id="rId327" Type="http://schemas.openxmlformats.org/officeDocument/2006/relationships/hyperlink" Target="https://drive.google.com/file/d/1QK_EKUmpV0q2IFwILyV9-9SyJ4GttQmE/view?usp=drivesdk" TargetMode="External"/><Relationship Id="rId534" Type="http://schemas.openxmlformats.org/officeDocument/2006/relationships/hyperlink" Target="https://drive.google.com/file/d/1t2wo9aruVhczrzmtW0QLVHAAFStfPhMS/view?usp=drivesdk" TargetMode="External"/><Relationship Id="rId741" Type="http://schemas.openxmlformats.org/officeDocument/2006/relationships/hyperlink" Target="https://drive.google.com/file/d/1VNpGtzMeokLopOCljdpfLKgtTts5HCgC/view?usp=drivesdk" TargetMode="External"/><Relationship Id="rId839" Type="http://schemas.openxmlformats.org/officeDocument/2006/relationships/hyperlink" Target="https://drive.google.com/file/d/1XJo4RHdHy_J9L3RIg_u4NS12AVmrZj5b/view?usp=drivesdk" TargetMode="External"/><Relationship Id="rId1164" Type="http://schemas.openxmlformats.org/officeDocument/2006/relationships/hyperlink" Target="https://drive.google.com/open?id=1s2ZNxAVng4FCzOGCkOW5qVqwGy8vFfCB" TargetMode="External"/><Relationship Id="rId1371" Type="http://schemas.openxmlformats.org/officeDocument/2006/relationships/hyperlink" Target="https://drive.google.com/open?id=1sWlWmgKDVclzx7Qm7-1xPCzHpBbCrCHr" TargetMode="External"/><Relationship Id="rId601" Type="http://schemas.openxmlformats.org/officeDocument/2006/relationships/hyperlink" Target="https://drive.google.com/open?id=11O8wcCKGSTyFvpXMons1LrFNZagpGUW3" TargetMode="External"/><Relationship Id="rId1024" Type="http://schemas.openxmlformats.org/officeDocument/2006/relationships/hyperlink" Target="https://drive.google.com/open?id=1bsc5QBcXOnqIvA8BYJTwnergkD6ctpg4" TargetMode="External"/><Relationship Id="rId1231" Type="http://schemas.openxmlformats.org/officeDocument/2006/relationships/hyperlink" Target="https://drive.google.com/open?id=1CoM9YGxS9FbEMtXw7rkBGCm-UDrIi4xT" TargetMode="External"/><Relationship Id="rId906" Type="http://schemas.openxmlformats.org/officeDocument/2006/relationships/hyperlink" Target="https://drive.google.com/open?id=1M7NExzqLsOYp_EUh96yYMMZDEScrEN7P" TargetMode="External"/><Relationship Id="rId1329" Type="http://schemas.openxmlformats.org/officeDocument/2006/relationships/hyperlink" Target="https://drive.google.com/file/d/1yYZBwe1MnfkCefOhQPgyJXeLQT_MdSgH/view?usp=drivesdk" TargetMode="External"/><Relationship Id="rId35" Type="http://schemas.openxmlformats.org/officeDocument/2006/relationships/hyperlink" Target="https://drive.google.com/file/d/1JqkXfnzZ951QZZHAdPiUfB2ZNo53xQDz/view?usp=drivesdk" TargetMode="External"/><Relationship Id="rId184" Type="http://schemas.openxmlformats.org/officeDocument/2006/relationships/hyperlink" Target="https://drive.google.com/open?id=1MlnSIhIqnoxxdlSDZ-VDqpTu8S2Kjliw" TargetMode="External"/><Relationship Id="rId391" Type="http://schemas.openxmlformats.org/officeDocument/2006/relationships/hyperlink" Target="https://drive.google.com/open?id=1Uk9egxQzYCVGEgMoJs_WV71GvLt_NNcj" TargetMode="External"/><Relationship Id="rId251" Type="http://schemas.openxmlformats.org/officeDocument/2006/relationships/hyperlink" Target="https://drive.google.com/open?id=1W-cXwOG8OqdNQxHSrT752MHA7xtjA3FM" TargetMode="External"/><Relationship Id="rId489" Type="http://schemas.openxmlformats.org/officeDocument/2006/relationships/hyperlink" Target="https://drive.google.com/open?id=1BYSsLWcDgxLqm7upDuOqiOKO9a_X27lp" TargetMode="External"/><Relationship Id="rId696" Type="http://schemas.openxmlformats.org/officeDocument/2006/relationships/hyperlink" Target="https://drive.google.com/open?id=1xiPHUd-AYsmLkgJlurmJ6UkGhOcqwcl4" TargetMode="External"/><Relationship Id="rId349" Type="http://schemas.openxmlformats.org/officeDocument/2006/relationships/hyperlink" Target="https://drive.google.com/open?id=1D0xtIGib75JpcOeL7shhVxICaRjPgXTk" TargetMode="External"/><Relationship Id="rId556" Type="http://schemas.openxmlformats.org/officeDocument/2006/relationships/hyperlink" Target="https://drive.google.com/file/d/1At9EcQbg9jU54n54r5qAlWbIsdL27Pih/view?usp=drivesdk" TargetMode="External"/><Relationship Id="rId763" Type="http://schemas.openxmlformats.org/officeDocument/2006/relationships/hyperlink" Target="https://drive.google.com/open?id=1pFgjdgoxMfjk_REH_0YQSmdNpOZAJvXq" TargetMode="External"/><Relationship Id="rId1186" Type="http://schemas.openxmlformats.org/officeDocument/2006/relationships/hyperlink" Target="https://drive.google.com/open?id=1wwBqKcW01pl0IHF0Igecocb1zTQblicZ" TargetMode="External"/><Relationship Id="rId1393" Type="http://schemas.openxmlformats.org/officeDocument/2006/relationships/hyperlink" Target="https://drive.google.com/open?id=1ajvh1VcnnirL1144E7p5r0pS6keEXYP5" TargetMode="External"/><Relationship Id="rId111" Type="http://schemas.openxmlformats.org/officeDocument/2006/relationships/hyperlink" Target="https://drive.google.com/open?id=1AlDt9UVWXT0HsGIrAGBrLDKIExqgKZX0" TargetMode="External"/><Relationship Id="rId209" Type="http://schemas.openxmlformats.org/officeDocument/2006/relationships/hyperlink" Target="https://drive.google.com/file/d/1T4HhspTzQg2byJsP1XqKiH9eTZ4lh2gs/view?usp=drivesdk" TargetMode="External"/><Relationship Id="rId416" Type="http://schemas.openxmlformats.org/officeDocument/2006/relationships/hyperlink" Target="https://drive.google.com/file/d/1_cAlzYXAFK1AxG2cBg8g3vv6pyI0jQZ3/view?usp=drivesdk" TargetMode="External"/><Relationship Id="rId970" Type="http://schemas.openxmlformats.org/officeDocument/2006/relationships/hyperlink" Target="https://drive.google.com/open?id=1RsHUHobI7du8qadT3CuI46w0XF9OXFo7" TargetMode="External"/><Relationship Id="rId1046" Type="http://schemas.openxmlformats.org/officeDocument/2006/relationships/hyperlink" Target="https://drive.google.com/open?id=1Y67g1hoQguvjjkPYL4OAA70GCXx1WAL1" TargetMode="External"/><Relationship Id="rId1253" Type="http://schemas.openxmlformats.org/officeDocument/2006/relationships/hyperlink" Target="https://drive.google.com/file/d/1WB2HIp8RTKyemsXJIZeIv1ZrlIpsU7lS/view?usp=drivesdk" TargetMode="External"/><Relationship Id="rId623" Type="http://schemas.openxmlformats.org/officeDocument/2006/relationships/hyperlink" Target="https://drive.google.com/open?id=1WA6TavhVWEYgnmj9N0J01Or5UW5QfLll" TargetMode="External"/><Relationship Id="rId830" Type="http://schemas.openxmlformats.org/officeDocument/2006/relationships/hyperlink" Target="https://drive.google.com/open?id=1cgNdBmBCEA7eOdT1KKI_-0qlGXelvq2a" TargetMode="External"/><Relationship Id="rId928" Type="http://schemas.openxmlformats.org/officeDocument/2006/relationships/hyperlink" Target="https://drive.google.com/open?id=1vs127iF0lFDqp0qre4IAjrUhdb9e-kNK" TargetMode="External"/><Relationship Id="rId1460" Type="http://schemas.openxmlformats.org/officeDocument/2006/relationships/hyperlink" Target="https://drive.google.com/file/d/1pF9CEBYV_oJ6cE7Tiq58g5woz-pDtlds/view?usp=drivesdk" TargetMode="External"/><Relationship Id="rId57" Type="http://schemas.openxmlformats.org/officeDocument/2006/relationships/hyperlink" Target="https://drive.google.com/file/d/1rtNIUlhFUOTgp0t5NPNnKGM2NBJuQB-U/view?usp=drivesdk" TargetMode="External"/><Relationship Id="rId1113" Type="http://schemas.openxmlformats.org/officeDocument/2006/relationships/hyperlink" Target="https://drive.google.com/open?id=1-KD3YtnbrEw10s3kH_22EsgbOGOxyMSL" TargetMode="External"/><Relationship Id="rId1320" Type="http://schemas.openxmlformats.org/officeDocument/2006/relationships/hyperlink" Target="https://drive.google.com/open?id=1i3bqju5SDUNfukNL4_ZeTMP1ywauNeye" TargetMode="External"/><Relationship Id="rId1418" Type="http://schemas.openxmlformats.org/officeDocument/2006/relationships/hyperlink" Target="https://drive.google.com/file/d/1tDByq6-zBlRVefc50ZKkbJ23-q0s2bKF/view?usp=drivesdk" TargetMode="External"/><Relationship Id="rId273" Type="http://schemas.openxmlformats.org/officeDocument/2006/relationships/hyperlink" Target="https://drive.google.com/open?id=15KPKdG4wq3Wh6E19DLdwydqER8W_jniE" TargetMode="External"/><Relationship Id="rId480" Type="http://schemas.openxmlformats.org/officeDocument/2006/relationships/hyperlink" Target="https://drive.google.com/open?id=1kKmYTDDn61MhOUXcIXuWC4-WqxFbzU3r" TargetMode="External"/><Relationship Id="rId133" Type="http://schemas.openxmlformats.org/officeDocument/2006/relationships/hyperlink" Target="https://drive.google.com/open?id=14pqDV13WIuvBrYa7A0CbccGzFQL2Mp1R" TargetMode="External"/><Relationship Id="rId340" Type="http://schemas.openxmlformats.org/officeDocument/2006/relationships/hyperlink" Target="https://drive.google.com/file/d/1phIm0J3RqqWePREkK0HGvWDSBvyA7kOc/view?usp=drivesdk" TargetMode="External"/><Relationship Id="rId578" Type="http://schemas.openxmlformats.org/officeDocument/2006/relationships/hyperlink" Target="https://drive.google.com/open?id=1oD5RMKBf-q8gzacX9aouecnOWQ9zenSX" TargetMode="External"/><Relationship Id="rId785" Type="http://schemas.openxmlformats.org/officeDocument/2006/relationships/hyperlink" Target="https://drive.google.com/file/d/1IGvhQBwoOJ68Foh7GTkPKEJaSji_J8Bc/view?usp=drivesdk" TargetMode="External"/><Relationship Id="rId992" Type="http://schemas.openxmlformats.org/officeDocument/2006/relationships/hyperlink" Target="https://drive.google.com/open?id=1hKO-k_5f4mifGO_nnlj6peokVqzVUnKq" TargetMode="External"/><Relationship Id="rId200" Type="http://schemas.openxmlformats.org/officeDocument/2006/relationships/hyperlink" Target="https://drive.google.com/file/d/12caEkVjYU8s6bOYfREMOk5MnAGkqKkjK/view?usp=drivesdk" TargetMode="External"/><Relationship Id="rId438" Type="http://schemas.openxmlformats.org/officeDocument/2006/relationships/hyperlink" Target="https://drive.google.com/file/d/12I6nINnR1TUIN8braGQJywCe9f7YBc3l/view?usp=drivesdk" TargetMode="External"/><Relationship Id="rId645" Type="http://schemas.openxmlformats.org/officeDocument/2006/relationships/hyperlink" Target="https://drive.google.com/file/d/1O-DgJaRKCCsDwlj1i_IRj347P4LEPcc-/view?usp=drivesdk" TargetMode="External"/><Relationship Id="rId852" Type="http://schemas.openxmlformats.org/officeDocument/2006/relationships/hyperlink" Target="https://drive.google.com/open?id=1EW1ayBQ6ynGuCUeVGB3y6UktaYISgkel" TargetMode="External"/><Relationship Id="rId1068" Type="http://schemas.openxmlformats.org/officeDocument/2006/relationships/hyperlink" Target="https://drive.google.com/open?id=17VV6cDZ5b9YZY28X-S6rv5fHQB2CMVwP" TargetMode="External"/><Relationship Id="rId1275" Type="http://schemas.openxmlformats.org/officeDocument/2006/relationships/hyperlink" Target="https://drive.google.com/file/d/1yzGbVyMcPdR79yrl-ufuP2Fv77pVl5-H/view?usp=drivesdk" TargetMode="External"/><Relationship Id="rId505" Type="http://schemas.openxmlformats.org/officeDocument/2006/relationships/hyperlink" Target="https://drive.google.com/file/d/1Xy22Lfw_pdHxT75ZqFYwGEpiZK9BY2oz/view?usp=drivesdk" TargetMode="External"/><Relationship Id="rId712" Type="http://schemas.openxmlformats.org/officeDocument/2006/relationships/hyperlink" Target="https://drive.google.com/open?id=190xC0WIqWzmJZwg1TkvfD4K9ymXWFXiw" TargetMode="External"/><Relationship Id="rId1135" Type="http://schemas.openxmlformats.org/officeDocument/2006/relationships/hyperlink" Target="https://drive.google.com/open?id=1XQhTESXfKCIRojjGXImCh8Ecqc4HPh1i" TargetMode="External"/><Relationship Id="rId1342" Type="http://schemas.openxmlformats.org/officeDocument/2006/relationships/hyperlink" Target="https://drive.google.com/file/d/1-TAD5Wu12EGJniewjoulQEAiTr_sWIIE/view?usp=drivesdk" TargetMode="External"/><Relationship Id="rId79" Type="http://schemas.openxmlformats.org/officeDocument/2006/relationships/hyperlink" Target="https://drive.google.com/open?id=1J6hgh25lrq6QxILNjyQ0YHMzEyONzlLz" TargetMode="External"/><Relationship Id="rId1202" Type="http://schemas.openxmlformats.org/officeDocument/2006/relationships/hyperlink" Target="https://drive.google.com/open?id=1qe0sHVv95AU1sRQI9lGq2F4_7xEAE8Jl" TargetMode="External"/><Relationship Id="rId295" Type="http://schemas.openxmlformats.org/officeDocument/2006/relationships/hyperlink" Target="https://drive.google.com/open?id=1P1Afwbbzzxn2TS1v11nxu3tE1BP0L9Wg" TargetMode="External"/><Relationship Id="rId155" Type="http://schemas.openxmlformats.org/officeDocument/2006/relationships/hyperlink" Target="https://drive.google.com/open?id=1S9itZYo6XSJP8cAl3eLy7ahkuJw1QHqN" TargetMode="External"/><Relationship Id="rId362" Type="http://schemas.openxmlformats.org/officeDocument/2006/relationships/hyperlink" Target="https://drive.google.com/open?id=12n3ov0CAYFSq04FJB28OYl7qV4cUhr-m" TargetMode="External"/><Relationship Id="rId1297" Type="http://schemas.openxmlformats.org/officeDocument/2006/relationships/hyperlink" Target="https://drive.google.com/file/d/1gto6v8ePA1IqnEWJFVIcn99W6k6E-a-7/view?usp=drivesdk" TargetMode="External"/><Relationship Id="rId222" Type="http://schemas.openxmlformats.org/officeDocument/2006/relationships/hyperlink" Target="https://drive.google.com/open?id=100He4QTc7DOJHz-wdWkwQrJ95Bgb5X6F" TargetMode="External"/><Relationship Id="rId667" Type="http://schemas.openxmlformats.org/officeDocument/2006/relationships/hyperlink" Target="https://drive.google.com/file/d/1GogZmVaxY1Vy6oh8uF1Sqoo99jU1oNS5/view?usp=drivesdk" TargetMode="External"/><Relationship Id="rId874" Type="http://schemas.openxmlformats.org/officeDocument/2006/relationships/hyperlink" Target="https://drive.google.com/open?id=1gm_j2ILzNzCwr3Wj2Hw9GCyDgSKmJ06I" TargetMode="External"/><Relationship Id="rId527" Type="http://schemas.openxmlformats.org/officeDocument/2006/relationships/hyperlink" Target="https://drive.google.com/open?id=1Hb2OwP-RnB7aRdFN4PsoNrSjsVGYluRI" TargetMode="External"/><Relationship Id="rId734" Type="http://schemas.openxmlformats.org/officeDocument/2006/relationships/hyperlink" Target="https://drive.google.com/open?id=1au1cQBQKh_a-niAevp2l-HwqFUeVMdZP" TargetMode="External"/><Relationship Id="rId941" Type="http://schemas.openxmlformats.org/officeDocument/2006/relationships/hyperlink" Target="https://drive.google.com/file/d/1Qsh9mng7uXqvLHjIUom6MqnRVHlr2tfA/view?usp=drivesdk" TargetMode="External"/><Relationship Id="rId1157" Type="http://schemas.openxmlformats.org/officeDocument/2006/relationships/hyperlink" Target="https://drive.google.com/file/d/1_JwO0VxbzZzEC-keNuGs1N_THUP2NNc2/view?usp=drivesdk" TargetMode="External"/><Relationship Id="rId1364" Type="http://schemas.openxmlformats.org/officeDocument/2006/relationships/hyperlink" Target="https://drive.google.com/file/d/1LSDAK40I9dU_LVPEYH3UhpznEd5CxUlc/view?usp=drivesdk" TargetMode="External"/><Relationship Id="rId70" Type="http://schemas.openxmlformats.org/officeDocument/2006/relationships/hyperlink" Target="https://drive.google.com/open?id=1IuqZK1MDvBF-QJCHXfghgBFiYEvoAWbP" TargetMode="External"/><Relationship Id="rId801" Type="http://schemas.openxmlformats.org/officeDocument/2006/relationships/hyperlink" Target="https://drive.google.com/file/d/1EodzJei76fU5aXiXVZeJ7YBoESIyEiU0/view?usp=drivesdk" TargetMode="External"/><Relationship Id="rId1017" Type="http://schemas.openxmlformats.org/officeDocument/2006/relationships/hyperlink" Target="https://drive.google.com/file/d/1tmgN8ouaeqY1Hyo40g_r6CW1cbA6eycP/view?usp=drivesdk" TargetMode="External"/><Relationship Id="rId1224" Type="http://schemas.openxmlformats.org/officeDocument/2006/relationships/hyperlink" Target="https://drive.google.com/file/d/1xlWf4_x7lApFSJUpCdeLWjcK4rLZKv1h/view?usp=drivesdk" TargetMode="External"/><Relationship Id="rId1431" Type="http://schemas.openxmlformats.org/officeDocument/2006/relationships/hyperlink" Target="https://drive.google.com/open?id=1OZ_yNYXKo71mTR4aKhMmM4tAz0ZI-Bqc" TargetMode="External"/><Relationship Id="rId28" Type="http://schemas.openxmlformats.org/officeDocument/2006/relationships/hyperlink" Target="https://drive.google.com/open?id=131vEc_tb2CaI6NiXAmQlVeHz3MaJJZ8c" TargetMode="External"/><Relationship Id="rId177" Type="http://schemas.openxmlformats.org/officeDocument/2006/relationships/hyperlink" Target="https://drive.google.com/open?id=1UVzijFz4lEmIvBtcNJe6OIS5gcMBpGHv" TargetMode="External"/><Relationship Id="rId384" Type="http://schemas.openxmlformats.org/officeDocument/2006/relationships/hyperlink" Target="https://drive.google.com/open?id=1eGgqh2DHwwpKmf7RJkf4ynfd8uWwfkjm" TargetMode="External"/><Relationship Id="rId591" Type="http://schemas.openxmlformats.org/officeDocument/2006/relationships/hyperlink" Target="https://drive.google.com/open?id=19OZbmGH-7xLvyIcVnsIxM1Ci-RmxVHxD" TargetMode="External"/><Relationship Id="rId244" Type="http://schemas.openxmlformats.org/officeDocument/2006/relationships/hyperlink" Target="https://drive.google.com/file/d/1BLm7kfOxQCOjESwlxACpjHB2BHJwMeOb/view?usp=drivesdk" TargetMode="External"/><Relationship Id="rId689" Type="http://schemas.openxmlformats.org/officeDocument/2006/relationships/hyperlink" Target="https://drive.google.com/file/d/19UBwkQ3EMPTry0QgmAcdq9D0VXtL--us/view?usp=drivesdk" TargetMode="External"/><Relationship Id="rId896" Type="http://schemas.openxmlformats.org/officeDocument/2006/relationships/hyperlink" Target="https://drive.google.com/open?id=1pumwoyVPlgmmdUXT7w6DiALsQxlsBaC2" TargetMode="External"/><Relationship Id="rId1081" Type="http://schemas.openxmlformats.org/officeDocument/2006/relationships/hyperlink" Target="https://drive.google.com/file/d/11S92ZO90nhvL7debqAZPGHHOdGblxK-o/view?usp=drivesdk" TargetMode="External"/><Relationship Id="rId1302" Type="http://schemas.openxmlformats.org/officeDocument/2006/relationships/hyperlink" Target="https://drive.google.com/open?id=1rOY8Z1m4M-6DvqXOhYzEthbCsSZ4s_S3" TargetMode="External"/><Relationship Id="rId39" Type="http://schemas.openxmlformats.org/officeDocument/2006/relationships/hyperlink" Target="https://drive.google.com/file/d/1SVAkq0Xp0jfLcj6pszMlKZ2xy32aT36N/view?usp=drivesdk" TargetMode="External"/><Relationship Id="rId451" Type="http://schemas.openxmlformats.org/officeDocument/2006/relationships/hyperlink" Target="https://drive.google.com/open?id=1awg5Q4Rs41mKxnrkPwvO7j8RNEdNu57d" TargetMode="External"/><Relationship Id="rId549" Type="http://schemas.openxmlformats.org/officeDocument/2006/relationships/hyperlink" Target="https://drive.google.com/open?id=1HOKGkLmGgmCqw5f1mPhQQH98KZJbikrg" TargetMode="External"/><Relationship Id="rId756" Type="http://schemas.openxmlformats.org/officeDocument/2006/relationships/hyperlink" Target="https://drive.google.com/open?id=1AoCJLhewAol6sezv9cRMmYs2yAysKd3A" TargetMode="External"/><Relationship Id="rId1179" Type="http://schemas.openxmlformats.org/officeDocument/2006/relationships/hyperlink" Target="https://drive.google.com/file/d/1Yt5zsb4Nnc7V2hPdp04z8FsGdMW7begI/view?usp=drivesdk" TargetMode="External"/><Relationship Id="rId1386" Type="http://schemas.openxmlformats.org/officeDocument/2006/relationships/hyperlink" Target="https://drive.google.com/file/d/1dQNx1wOc00JfJ3drjlbne_VU1F2ENAZx/view?usp=drivesdk" TargetMode="External"/><Relationship Id="rId104" Type="http://schemas.openxmlformats.org/officeDocument/2006/relationships/hyperlink" Target="https://drive.google.com/file/d/14jQTZGNIoxylLqXsorOx9I5LHpoFAl3e/view?usp=drivesdk" TargetMode="External"/><Relationship Id="rId188" Type="http://schemas.openxmlformats.org/officeDocument/2006/relationships/hyperlink" Target="https://drive.google.com/file/d/1HcEyh94zKpsfCz-umNAOEo9q1yzpG4KE/view?usp=drivesdk" TargetMode="External"/><Relationship Id="rId311" Type="http://schemas.openxmlformats.org/officeDocument/2006/relationships/hyperlink" Target="https://drive.google.com/file/d/1uj1SHcU5zJ4wZbQ20VgKQlBQHjoMyoyo/view?usp=drivesdk" TargetMode="External"/><Relationship Id="rId395" Type="http://schemas.openxmlformats.org/officeDocument/2006/relationships/hyperlink" Target="https://drive.google.com/open?id=13fUAYJdt--jm7lkanOAbLCMv9FhK4D08" TargetMode="External"/><Relationship Id="rId409" Type="http://schemas.openxmlformats.org/officeDocument/2006/relationships/hyperlink" Target="https://drive.google.com/file/d/1z_meZ4x6T8HbdlhzipjfKAvUbA-6yykm/view?usp=drivesdk" TargetMode="External"/><Relationship Id="rId963" Type="http://schemas.openxmlformats.org/officeDocument/2006/relationships/hyperlink" Target="https://drive.google.com/file/d/1paYUod5MiC42_BYHGLd_NkHq2y3hfEz7/view?usp=drivesdk" TargetMode="External"/><Relationship Id="rId1039" Type="http://schemas.openxmlformats.org/officeDocument/2006/relationships/hyperlink" Target="https://drive.google.com/file/d/1x3AENv_SMjqh3pL_muq1NkGpzxcS4xhm/view?usp=drivesdk" TargetMode="External"/><Relationship Id="rId1246" Type="http://schemas.openxmlformats.org/officeDocument/2006/relationships/hyperlink" Target="https://drive.google.com/open?id=13FbLGvBPV2IO93hLBMkSNBkuEaUwNM3_" TargetMode="External"/><Relationship Id="rId92" Type="http://schemas.openxmlformats.org/officeDocument/2006/relationships/hyperlink" Target="https://drive.google.com/file/d/1PO8E7oS2ehB8cYadjZVFLTgXGjGQI0Rk/view?usp=drivesdk" TargetMode="External"/><Relationship Id="rId616" Type="http://schemas.openxmlformats.org/officeDocument/2006/relationships/hyperlink" Target="https://drive.google.com/file/d/1-9sdDMY34Tg1qhqFRzSka0ayWmf0f4Vw/view?usp=drivesdk" TargetMode="External"/><Relationship Id="rId823" Type="http://schemas.openxmlformats.org/officeDocument/2006/relationships/hyperlink" Target="https://drive.google.com/file/d/1pxrquQihKLfZHeFqbJoSppFzvGzPwT0p/view?usp=drivesdk" TargetMode="External"/><Relationship Id="rId1453" Type="http://schemas.openxmlformats.org/officeDocument/2006/relationships/hyperlink" Target="https://drive.google.com/open?id=1FmMiRSjS4HzurUJzpdhAbLJ99TLc9eBS" TargetMode="External"/><Relationship Id="rId255" Type="http://schemas.openxmlformats.org/officeDocument/2006/relationships/hyperlink" Target="https://drive.google.com/open?id=1oRoMTuJa_7WoQIdgTJXbBcifqlIuqGJu" TargetMode="External"/><Relationship Id="rId462" Type="http://schemas.openxmlformats.org/officeDocument/2006/relationships/hyperlink" Target="https://drive.google.com/file/d/1_XRTarNZTaZnK-5mAmzrt6yt-8fqV4KQ/view?usp=drivesdk" TargetMode="External"/><Relationship Id="rId1092" Type="http://schemas.openxmlformats.org/officeDocument/2006/relationships/hyperlink" Target="https://drive.google.com/open?id=1yLeMKPtSOItPk_GS_tBduRsrTFGbkimI" TargetMode="External"/><Relationship Id="rId1106" Type="http://schemas.openxmlformats.org/officeDocument/2006/relationships/hyperlink" Target="https://drive.google.com/file/d/1wHJlOD5ld_-5m0X46fsrvPd9zc6iyg45/view?usp=drivesdk" TargetMode="External"/><Relationship Id="rId1313" Type="http://schemas.openxmlformats.org/officeDocument/2006/relationships/hyperlink" Target="https://drive.google.com/file/d/12uPjFwNguXuk1OhP-W0Wy25S0-uMhlBg/view?usp=drivesdk" TargetMode="External"/><Relationship Id="rId1397" Type="http://schemas.openxmlformats.org/officeDocument/2006/relationships/hyperlink" Target="https://drive.google.com/open?id=1zcARZQldrDHaLIs8cmxtYoAWEFS7Ysly" TargetMode="External"/><Relationship Id="rId115" Type="http://schemas.openxmlformats.org/officeDocument/2006/relationships/hyperlink" Target="https://drive.google.com/open?id=1b-EkNdMS0my60PkWXyCtM8EB8nRmb2ux" TargetMode="External"/><Relationship Id="rId322" Type="http://schemas.openxmlformats.org/officeDocument/2006/relationships/hyperlink" Target="https://drive.google.com/open?id=1HMNapIA9MdAtlgclld8U5yRKJsM_RxHo" TargetMode="External"/><Relationship Id="rId767" Type="http://schemas.openxmlformats.org/officeDocument/2006/relationships/hyperlink" Target="https://drive.google.com/open?id=1Ro9nvaVnMZNxKLxEtNagz46U5yQeUeWa" TargetMode="External"/><Relationship Id="rId974" Type="http://schemas.openxmlformats.org/officeDocument/2006/relationships/hyperlink" Target="https://drive.google.com/open?id=1Idks_1IsiNMfBYnKQVboTsq6GEfGcE83" TargetMode="External"/><Relationship Id="rId199" Type="http://schemas.openxmlformats.org/officeDocument/2006/relationships/hyperlink" Target="https://drive.google.com/open?id=1UQEsF6lhuqU9urCJ-ssDP54oU3blBW1z" TargetMode="External"/><Relationship Id="rId627" Type="http://schemas.openxmlformats.org/officeDocument/2006/relationships/hyperlink" Target="https://drive.google.com/open?id=1pvXPtOnEAwCBwi01-KFmIaxOsIQfROM8" TargetMode="External"/><Relationship Id="rId834" Type="http://schemas.openxmlformats.org/officeDocument/2006/relationships/hyperlink" Target="https://drive.google.com/open?id=1nqCJzR0ey2Jc1VW02TkhyxihCSJlaysU" TargetMode="External"/><Relationship Id="rId1257" Type="http://schemas.openxmlformats.org/officeDocument/2006/relationships/hyperlink" Target="https://drive.google.com/file/d/1LzqtsvKQaqjTeeUsffXMK0QHSQEEuwje/view?usp=drivesdk" TargetMode="External"/><Relationship Id="rId1464" Type="http://schemas.openxmlformats.org/officeDocument/2006/relationships/hyperlink" Target="https://drive.google.com/file/d/1jb1wZZ-iiY-XH_dGnSL4n_35rWS6bm63/view?usp=drivesdk" TargetMode="External"/><Relationship Id="rId266" Type="http://schemas.openxmlformats.org/officeDocument/2006/relationships/hyperlink" Target="https://drive.google.com/open?id=1_FuZ6TTcrbkipetCBPYcL-0B5D1rx6rW" TargetMode="External"/><Relationship Id="rId473" Type="http://schemas.openxmlformats.org/officeDocument/2006/relationships/hyperlink" Target="https://drive.google.com/open?id=1SVX1_SScFpNhhfcDT7_TMPFti_qex5il" TargetMode="External"/><Relationship Id="rId680" Type="http://schemas.openxmlformats.org/officeDocument/2006/relationships/hyperlink" Target="https://drive.google.com/open?id=1NZZ2C8X3giFgUCE8E2ulCsyV9HT7d124" TargetMode="External"/><Relationship Id="rId901" Type="http://schemas.openxmlformats.org/officeDocument/2006/relationships/hyperlink" Target="https://drive.google.com/file/d/1HS0tkPj0dLFRSM67GBJwZ4hgAo0eho75/view?usp=drivesdk" TargetMode="External"/><Relationship Id="rId1117" Type="http://schemas.openxmlformats.org/officeDocument/2006/relationships/hyperlink" Target="https://drive.google.com/open?id=10RmOGwi2vTX17veOdn4Mmf36FCP92t3x" TargetMode="External"/><Relationship Id="rId1324" Type="http://schemas.openxmlformats.org/officeDocument/2006/relationships/hyperlink" Target="https://drive.google.com/open?id=1WB5k_eO0kZo4lpCNgrb_mFH_70GNTUeZ" TargetMode="External"/><Relationship Id="rId30" Type="http://schemas.openxmlformats.org/officeDocument/2006/relationships/hyperlink" Target="https://drive.google.com/open?id=1mffKwhPgMn00z0NCbZVvkfQisa6l1xnB" TargetMode="External"/><Relationship Id="rId126" Type="http://schemas.openxmlformats.org/officeDocument/2006/relationships/hyperlink" Target="https://drive.google.com/file/d/1Q7S0_V5biKLuwb1gcwjgfACk3ZJm-nuE/view?usp=drivesdk" TargetMode="External"/><Relationship Id="rId333" Type="http://schemas.openxmlformats.org/officeDocument/2006/relationships/hyperlink" Target="https://drive.google.com/open?id=1rsZs2C51Q-gaY6LItyqBK7AzKezP-9Hl" TargetMode="External"/><Relationship Id="rId540" Type="http://schemas.openxmlformats.org/officeDocument/2006/relationships/hyperlink" Target="https://drive.google.com/file/d/1QFqX6O1t62dsGKVlH8X-8Umz7fX-k7he/view?usp=drivesdk" TargetMode="External"/><Relationship Id="rId778" Type="http://schemas.openxmlformats.org/officeDocument/2006/relationships/hyperlink" Target="https://drive.google.com/open?id=1SuWjRqIfc1qZRW9Yf3GB0-lr5u8jcoPC" TargetMode="External"/><Relationship Id="rId985" Type="http://schemas.openxmlformats.org/officeDocument/2006/relationships/hyperlink" Target="https://drive.google.com/file/d/1BAGm5TS5HGM8fi0TLyvAgDwKTwMvw5Lk/view?usp=drivesdk" TargetMode="External"/><Relationship Id="rId1170" Type="http://schemas.openxmlformats.org/officeDocument/2006/relationships/hyperlink" Target="https://drive.google.com/open?id=1JZZJdrVnh1ByY8HapjE5AqUYVp21Asg2" TargetMode="External"/><Relationship Id="rId638" Type="http://schemas.openxmlformats.org/officeDocument/2006/relationships/hyperlink" Target="https://drive.google.com/file/d/14fqoOLUK5poJzqy2f8on0oeXQy9XjakX/view?usp=drivesdk" TargetMode="External"/><Relationship Id="rId845" Type="http://schemas.openxmlformats.org/officeDocument/2006/relationships/hyperlink" Target="https://drive.google.com/file/d/1Sp6cdRoThjIPjhE86p2jLPaRTvzwYSJC/view?usp=drivesdk" TargetMode="External"/><Relationship Id="rId1030" Type="http://schemas.openxmlformats.org/officeDocument/2006/relationships/hyperlink" Target="https://drive.google.com/open?id=1qV44wpt0XDxEdTnuCf4d9F5zdA8zDrpj" TargetMode="External"/><Relationship Id="rId1268" Type="http://schemas.openxmlformats.org/officeDocument/2006/relationships/hyperlink" Target="https://drive.google.com/open?id=1t7Bo8cfwlgxyTvx_baxDmEhu5apCX0cF" TargetMode="External"/><Relationship Id="rId277" Type="http://schemas.openxmlformats.org/officeDocument/2006/relationships/hyperlink" Target="https://drive.google.com/file/d/1Edo6jt2F-1BCqLKHEyxzOormB8cs_Q5V/view?usp=drivesdk" TargetMode="External"/><Relationship Id="rId400" Type="http://schemas.openxmlformats.org/officeDocument/2006/relationships/hyperlink" Target="https://drive.google.com/open?id=1IOY6ekAGFWJdI8WquJy2UGIkaHvsP0st" TargetMode="External"/><Relationship Id="rId484" Type="http://schemas.openxmlformats.org/officeDocument/2006/relationships/hyperlink" Target="https://drive.google.com/file/d/1GxCb77GSB-bV8mzVkBMWcbsJy_CcDkla/view?usp=drivesdk" TargetMode="External"/><Relationship Id="rId705" Type="http://schemas.openxmlformats.org/officeDocument/2006/relationships/hyperlink" Target="https://drive.google.com/file/d/1XLqS-qxRGn3ITe-SMnlvv2igpXOWpXck/view?usp=drivesdk" TargetMode="External"/><Relationship Id="rId1128" Type="http://schemas.openxmlformats.org/officeDocument/2006/relationships/hyperlink" Target="https://drive.google.com/file/d/1SyZsMOyrOmLYCkL5v5KIGIdKd3z67biW/view?usp=drivesdk" TargetMode="External"/><Relationship Id="rId1335" Type="http://schemas.openxmlformats.org/officeDocument/2006/relationships/hyperlink" Target="https://drive.google.com/open?id=1hhfk3kpfQ_bF-FOty8LREtp8wuaGzmsX" TargetMode="External"/><Relationship Id="rId137" Type="http://schemas.openxmlformats.org/officeDocument/2006/relationships/hyperlink" Target="https://drive.google.com/open?id=1WsQuosg1RaN-iN512pZRH5a7A3cRrauc" TargetMode="External"/><Relationship Id="rId344" Type="http://schemas.openxmlformats.org/officeDocument/2006/relationships/hyperlink" Target="https://drive.google.com/file/d/1jJvT8cruurvC-WHiESdjXT18_HTQmgpJ/view?usp=drivesdk" TargetMode="External"/><Relationship Id="rId691" Type="http://schemas.openxmlformats.org/officeDocument/2006/relationships/hyperlink" Target="https://drive.google.com/file/d/1AOq3_i6jevT58N2p3rhb4ClpsXoDxGwq/view?usp=drivesdk" TargetMode="External"/><Relationship Id="rId789" Type="http://schemas.openxmlformats.org/officeDocument/2006/relationships/hyperlink" Target="https://drive.google.com/file/d/1XR-rQsBm3kcgFKBLatpq69wl3kqAvljo/view?usp=drivesdk" TargetMode="External"/><Relationship Id="rId912" Type="http://schemas.openxmlformats.org/officeDocument/2006/relationships/hyperlink" Target="https://drive.google.com/open?id=1w8PIBEBcwa2v6fFptPxbLg9-9qq6KAX5" TargetMode="External"/><Relationship Id="rId996" Type="http://schemas.openxmlformats.org/officeDocument/2006/relationships/hyperlink" Target="https://drive.google.com/open?id=1jLIPRskTM93VJJaoo4cCbesMQhCkmCRe" TargetMode="External"/><Relationship Id="rId41" Type="http://schemas.openxmlformats.org/officeDocument/2006/relationships/hyperlink" Target="https://drive.google.com/file/d/1fHUlNEFCM7LfXIB1ee_rFSHq6U1QjMcn/view?usp=drivesdk" TargetMode="External"/><Relationship Id="rId551" Type="http://schemas.openxmlformats.org/officeDocument/2006/relationships/hyperlink" Target="https://drive.google.com/open?id=1zSmJe3HzMDNLdQTVLtW72K7A2qNqW78n" TargetMode="External"/><Relationship Id="rId649" Type="http://schemas.openxmlformats.org/officeDocument/2006/relationships/hyperlink" Target="https://drive.google.com/file/d/1ohcpJlLC-bPq4O4XKR3TZMUiUqErGT6L/view?usp=drivesdk" TargetMode="External"/><Relationship Id="rId856" Type="http://schemas.openxmlformats.org/officeDocument/2006/relationships/hyperlink" Target="https://drive.google.com/open?id=1jBnxh3Zg8OkFOSaXMN2w2t1eDTqav6KQ" TargetMode="External"/><Relationship Id="rId1181" Type="http://schemas.openxmlformats.org/officeDocument/2006/relationships/hyperlink" Target="https://drive.google.com/file/d/1dpG2YFrUJCyiSIDWupDHfoVEPL_Ds7N3/view?usp=drivesdk" TargetMode="External"/><Relationship Id="rId1279" Type="http://schemas.openxmlformats.org/officeDocument/2006/relationships/hyperlink" Target="https://drive.google.com/file/d/1OwXiGu-TkxsoXcrmr6cv7NZYfKbGC23B/view?usp=drivesdk" TargetMode="External"/><Relationship Id="rId1402" Type="http://schemas.openxmlformats.org/officeDocument/2006/relationships/hyperlink" Target="https://drive.google.com/file/d/19Q1EtFQNHiDUVU82NOrun89XJ5QCDosR/view?usp=drivesdk" TargetMode="External"/><Relationship Id="rId190" Type="http://schemas.openxmlformats.org/officeDocument/2006/relationships/hyperlink" Target="https://drive.google.com/file/d/1omsxK5rza8yumj28u0mzNAMZGjsEiyT6/view?usp=drivesdk" TargetMode="External"/><Relationship Id="rId204" Type="http://schemas.openxmlformats.org/officeDocument/2006/relationships/hyperlink" Target="https://drive.google.com/file/d/137qR4d-X_zIltXXJA11DYHPLmKiSR1k-/view?usp=drivesdk" TargetMode="External"/><Relationship Id="rId288" Type="http://schemas.openxmlformats.org/officeDocument/2006/relationships/hyperlink" Target="https://drive.google.com/file/d/1QjkQlodkc7o0jtVv-c6J9bErTpri_rBI/view?usp=drivesdk" TargetMode="External"/><Relationship Id="rId411" Type="http://schemas.openxmlformats.org/officeDocument/2006/relationships/hyperlink" Target="https://drive.google.com/file/d/1-Ysgi2ciM2V0iON2jYxl4mvvjEtav6tH/view?usp=drivesdk" TargetMode="External"/><Relationship Id="rId509" Type="http://schemas.openxmlformats.org/officeDocument/2006/relationships/hyperlink" Target="https://drive.google.com/file/d/13XIdiA3ZkzdsphwtK4dMdS282WHtqlFG/view?usp=drivesdk" TargetMode="External"/><Relationship Id="rId1041" Type="http://schemas.openxmlformats.org/officeDocument/2006/relationships/hyperlink" Target="https://drive.google.com/file/d/1peT9pHPkjk5WiyVRmKBfVYMwo9cBWQB5/view?usp=drivesdk" TargetMode="External"/><Relationship Id="rId1139" Type="http://schemas.openxmlformats.org/officeDocument/2006/relationships/hyperlink" Target="https://drive.google.com/open?id=1EsB17EZevL7d1lVjgP3bPg_IhIIAH2Bo" TargetMode="External"/><Relationship Id="rId1346" Type="http://schemas.openxmlformats.org/officeDocument/2006/relationships/hyperlink" Target="https://drive.google.com/file/d/1GQ1FfxuCiRdf18HGYzLMPV_cwILYCfFe/view?usp=drivesdk" TargetMode="External"/><Relationship Id="rId495" Type="http://schemas.openxmlformats.org/officeDocument/2006/relationships/hyperlink" Target="https://drive.google.com/file/d/1cuudD7Q8u-nWyivQJxG15A6Fq1iUMnrg/view?usp=drivesdk" TargetMode="External"/><Relationship Id="rId716" Type="http://schemas.openxmlformats.org/officeDocument/2006/relationships/hyperlink" Target="https://drive.google.com/open?id=1LQ3SXlZFH3Kriut1xpptlTEswZCHq4A0" TargetMode="External"/><Relationship Id="rId923" Type="http://schemas.openxmlformats.org/officeDocument/2006/relationships/hyperlink" Target="https://drive.google.com/file/d/1pD54C3XJkQgzyWLp3vrSjHl2WCKX-Nkn/view?usp=drivesdk" TargetMode="External"/><Relationship Id="rId52" Type="http://schemas.openxmlformats.org/officeDocument/2006/relationships/hyperlink" Target="https://drive.google.com/open?id=1pwccknEVS32XQVbBan7a8RCs43KKe4SL" TargetMode="External"/><Relationship Id="rId148" Type="http://schemas.openxmlformats.org/officeDocument/2006/relationships/hyperlink" Target="https://drive.google.com/file/d/1NoYtufkoNRXvUGCMVqEGiw0omjIz6GEb/view?usp=drivesdk" TargetMode="External"/><Relationship Id="rId355" Type="http://schemas.openxmlformats.org/officeDocument/2006/relationships/hyperlink" Target="https://drive.google.com/file/d/1BqZ8JiJ-qyY9xIvcQnOlvHicDCZL-Iuu/view?usp=drivesdk" TargetMode="External"/><Relationship Id="rId562" Type="http://schemas.openxmlformats.org/officeDocument/2006/relationships/hyperlink" Target="https://drive.google.com/file/d/1YNXnwzv-lbrovlU5CdbLgWcbJXtB8TtD/view?usp=drivesdk" TargetMode="External"/><Relationship Id="rId1192" Type="http://schemas.openxmlformats.org/officeDocument/2006/relationships/hyperlink" Target="https://drive.google.com/open?id=1KEO9exIuRtOxFr6zIBCdz4yA7oP-wHB2" TargetMode="External"/><Relationship Id="rId1206" Type="http://schemas.openxmlformats.org/officeDocument/2006/relationships/hyperlink" Target="https://drive.google.com/open?id=1PWgKJclE7z0nl-frb1izcg84mEOPS-I2" TargetMode="External"/><Relationship Id="rId1413" Type="http://schemas.openxmlformats.org/officeDocument/2006/relationships/hyperlink" Target="https://drive.google.com/open?id=1qYwx5poG9wVK0hTAwLa0pAsplgnImVtK" TargetMode="External"/><Relationship Id="rId215" Type="http://schemas.openxmlformats.org/officeDocument/2006/relationships/hyperlink" Target="https://drive.google.com/file/d/1lSuzYmu1y6hPoa8AeDqJ1h0gAfAqieDQ/view?usp=drivesdk" TargetMode="External"/><Relationship Id="rId422" Type="http://schemas.openxmlformats.org/officeDocument/2006/relationships/hyperlink" Target="https://drive.google.com/open?id=1kRUWl1R8YywkvxG2zUpjy5_zEHsUUard" TargetMode="External"/><Relationship Id="rId867" Type="http://schemas.openxmlformats.org/officeDocument/2006/relationships/hyperlink" Target="https://drive.google.com/file/d/1-vnAT8pEXeuKNjBgN_wNawlBk7sBMDUA/view?usp=drivesdk" TargetMode="External"/><Relationship Id="rId1052" Type="http://schemas.openxmlformats.org/officeDocument/2006/relationships/hyperlink" Target="https://drive.google.com/open?id=1GC_eHvCM2b6KZWReDDsEoSzHVtc2e5ND" TargetMode="External"/><Relationship Id="rId299" Type="http://schemas.openxmlformats.org/officeDocument/2006/relationships/hyperlink" Target="https://drive.google.com/file/d/1BsTihhjLHNs1UGk6KX2UgG82JMZDPGlh/view?usp=drivesdk" TargetMode="External"/><Relationship Id="rId727" Type="http://schemas.openxmlformats.org/officeDocument/2006/relationships/hyperlink" Target="https://drive.google.com/file/d/1pyxPcMEsmkmC-PWY3tuoRbAT_zDFXA29/view?usp=drivesdk" TargetMode="External"/><Relationship Id="rId934" Type="http://schemas.openxmlformats.org/officeDocument/2006/relationships/hyperlink" Target="https://drive.google.com/open?id=1J8ewCzSnzhfp9uAGthfF-NJj3lJL1Ngm" TargetMode="External"/><Relationship Id="rId1357" Type="http://schemas.openxmlformats.org/officeDocument/2006/relationships/hyperlink" Target="https://drive.google.com/open?id=1OKFutdEeEbI-oLuT-4OFaqpaFVeTvyp_" TargetMode="External"/><Relationship Id="rId63" Type="http://schemas.openxmlformats.org/officeDocument/2006/relationships/hyperlink" Target="https://drive.google.com/file/d/1ET2-muK3eJ-46EEHm9DAx5JqkL0a1Apv/view?usp=drivesdk" TargetMode="External"/><Relationship Id="rId159" Type="http://schemas.openxmlformats.org/officeDocument/2006/relationships/hyperlink" Target="https://drive.google.com/open?id=1KQuO5b8LJslak9xPO8NLAwAtFV3OIQfx" TargetMode="External"/><Relationship Id="rId366" Type="http://schemas.openxmlformats.org/officeDocument/2006/relationships/hyperlink" Target="https://drive.google.com/open?id=1u1PzpWAcf0evR5ZaPxhQDNPtadNNkRKY" TargetMode="External"/><Relationship Id="rId573" Type="http://schemas.openxmlformats.org/officeDocument/2006/relationships/hyperlink" Target="https://drive.google.com/open?id=1UT88Nr9gAjurJoltSo9keEuHIaBBX0h4" TargetMode="External"/><Relationship Id="rId780" Type="http://schemas.openxmlformats.org/officeDocument/2006/relationships/hyperlink" Target="https://drive.google.com/open?id=12c4t_m0zza-it1xv_urKVMYoyt7MNKWn" TargetMode="External"/><Relationship Id="rId1217" Type="http://schemas.openxmlformats.org/officeDocument/2006/relationships/hyperlink" Target="https://drive.google.com/open?id=13dy11eAobuvj6S_Y3K4bieK2F7RQkHds" TargetMode="External"/><Relationship Id="rId1424" Type="http://schemas.openxmlformats.org/officeDocument/2006/relationships/hyperlink" Target="https://drive.google.com/file/d/1uiC0yatyo4UrzdlaFrnVQc_CZZLIM8RA/view?usp=drivesdk" TargetMode="External"/><Relationship Id="rId226" Type="http://schemas.openxmlformats.org/officeDocument/2006/relationships/hyperlink" Target="https://drive.google.com/open?id=1L3WshmBGPE7_6Ska8EkXv7Dk6yofWrNZ" TargetMode="External"/><Relationship Id="rId433" Type="http://schemas.openxmlformats.org/officeDocument/2006/relationships/hyperlink" Target="https://drive.google.com/open?id=1GE6IWI5lnSqGI4PhbSe1vx9D8syO0T-1" TargetMode="External"/><Relationship Id="rId878" Type="http://schemas.openxmlformats.org/officeDocument/2006/relationships/hyperlink" Target="https://drive.google.com/open?id=1DCNU3NFKabGS7d1q9szqZq6uF8oRDpbu" TargetMode="External"/><Relationship Id="rId1063" Type="http://schemas.openxmlformats.org/officeDocument/2006/relationships/hyperlink" Target="https://drive.google.com/file/d/1NhgmiwKaAHL2d10KuhNTAVXaPzdnnw2_/view?usp=drivesdk" TargetMode="External"/><Relationship Id="rId1270" Type="http://schemas.openxmlformats.org/officeDocument/2006/relationships/hyperlink" Target="https://drive.google.com/open?id=1XhYIC2sLjvZEFB2Zm5MgGH_0iorCpTVM" TargetMode="External"/><Relationship Id="rId640" Type="http://schemas.openxmlformats.org/officeDocument/2006/relationships/hyperlink" Target="https://drive.google.com/file/d/1R08SfpJkGOeLP7gmXEZeMNvroyEkkhJU/view?usp=drivesdk" TargetMode="External"/><Relationship Id="rId738" Type="http://schemas.openxmlformats.org/officeDocument/2006/relationships/hyperlink" Target="https://drive.google.com/open?id=1OSwr--wZbaOeJ4mFlei6nEBW6QBxfB4d" TargetMode="External"/><Relationship Id="rId945" Type="http://schemas.openxmlformats.org/officeDocument/2006/relationships/hyperlink" Target="https://drive.google.com/file/d/1v2A5Pt9VojnFNMS3VwdyyW5UN8TGfh40/view?usp=drivesdk" TargetMode="External"/><Relationship Id="rId1368" Type="http://schemas.openxmlformats.org/officeDocument/2006/relationships/hyperlink" Target="https://drive.google.com/file/d/1PYmTtWBvzRBBhjlmFELW-0OWRSYtNY-X/view?usp=drivesdk" TargetMode="External"/><Relationship Id="rId74" Type="http://schemas.openxmlformats.org/officeDocument/2006/relationships/hyperlink" Target="https://drive.google.com/file/d/1YZXmYgHoUXIlrQmAIm56xGbOsPn0RHZ8/view?usp=drivesdk" TargetMode="External"/><Relationship Id="rId377" Type="http://schemas.openxmlformats.org/officeDocument/2006/relationships/hyperlink" Target="https://drive.google.com/file/d/1Cqs9d0VyIDejE3rx80GKmIQo2hcFUyzw/view?usp=drivesdk" TargetMode="External"/><Relationship Id="rId500" Type="http://schemas.openxmlformats.org/officeDocument/2006/relationships/hyperlink" Target="https://drive.google.com/open?id=1L1bJUsrftz_qee2-5uGwvup_ov332w13" TargetMode="External"/><Relationship Id="rId584" Type="http://schemas.openxmlformats.org/officeDocument/2006/relationships/hyperlink" Target="https://drive.google.com/file/d/12TsS8-bZxuHCH8rxLDcZHSSgTzoDvYdr/view?usp=drivesdk" TargetMode="External"/><Relationship Id="rId805" Type="http://schemas.openxmlformats.org/officeDocument/2006/relationships/hyperlink" Target="https://drive.google.com/file/d/10mqqePIo8EImIRWnmI5kHuwhe6rQZLij/view?usp=drivesdk" TargetMode="External"/><Relationship Id="rId1130" Type="http://schemas.openxmlformats.org/officeDocument/2006/relationships/hyperlink" Target="https://drive.google.com/file/d/1GwPqSsaHi5Xy_7CmIZP5n3hOakiYlj2g/view?usp=drivesdk" TargetMode="External"/><Relationship Id="rId1228" Type="http://schemas.openxmlformats.org/officeDocument/2006/relationships/hyperlink" Target="https://drive.google.com/file/d/1RmuuycygRHOA7xWQ_IH3-WsJLPV2zXGK/view?usp=drivesdk" TargetMode="External"/><Relationship Id="rId1435" Type="http://schemas.openxmlformats.org/officeDocument/2006/relationships/hyperlink" Target="https://drive.google.com/open?id=1j6ZHn_EM5TxL7Y4bHngoXbpB6VR6ZO8u" TargetMode="External"/><Relationship Id="rId5" Type="http://schemas.openxmlformats.org/officeDocument/2006/relationships/hyperlink" Target="https://drive.google.com/file/d/17FDEWneIX3pFjiXjVZWejPQ5zwFH3zq7/view?usp=drivesdk" TargetMode="External"/><Relationship Id="rId237" Type="http://schemas.openxmlformats.org/officeDocument/2006/relationships/hyperlink" Target="https://drive.google.com/open?id=1u8XFJ_tgVD9qwbNyNI5em7YtaKUhjQh7" TargetMode="External"/><Relationship Id="rId791" Type="http://schemas.openxmlformats.org/officeDocument/2006/relationships/hyperlink" Target="https://drive.google.com/file/d/16Xdm7j2okEehFxxXyxV9GukW39aSiEwJ/view?usp=drivesdk" TargetMode="External"/><Relationship Id="rId889" Type="http://schemas.openxmlformats.org/officeDocument/2006/relationships/hyperlink" Target="https://drive.google.com/file/d/1y3BfAXRZEqtJAAVs-KP1sI_V7D-WUZ7a/view?usp=drivesdk" TargetMode="External"/><Relationship Id="rId1074" Type="http://schemas.openxmlformats.org/officeDocument/2006/relationships/hyperlink" Target="https://drive.google.com/open?id=19tK7hClfob-cibVI19u1bjZXxPJniT6k" TargetMode="External"/><Relationship Id="rId444" Type="http://schemas.openxmlformats.org/officeDocument/2006/relationships/hyperlink" Target="https://drive.google.com/open?id=1gj9zs7do8UXzut3Ok8t7iB5u3qKntN9Z" TargetMode="External"/><Relationship Id="rId651" Type="http://schemas.openxmlformats.org/officeDocument/2006/relationships/hyperlink" Target="https://drive.google.com/file/d/1sYmmRWmLoKzekkidkkFpdPIU1WGlGZEX/view?usp=drivesdk" TargetMode="External"/><Relationship Id="rId749" Type="http://schemas.openxmlformats.org/officeDocument/2006/relationships/hyperlink" Target="https://drive.google.com/file/d/1skeix2YqZrp9ZHzm80SIk29DTLzLvMbr/view?usp=drivesdk" TargetMode="External"/><Relationship Id="rId1281" Type="http://schemas.openxmlformats.org/officeDocument/2006/relationships/hyperlink" Target="https://drive.google.com/file/d/1voeU682siy89vRvKKvPsdTgnz_3_dJY-/view?usp=drivesdk" TargetMode="External"/><Relationship Id="rId1379" Type="http://schemas.openxmlformats.org/officeDocument/2006/relationships/hyperlink" Target="https://drive.google.com/open?id=1gZ6IYiQ_K6L5aVM5IeWSR3Ux2YBZZ859" TargetMode="External"/><Relationship Id="rId290" Type="http://schemas.openxmlformats.org/officeDocument/2006/relationships/hyperlink" Target="https://drive.google.com/file/d/19x_zQXrjnZk25fRkYSVANO2aeg34BHgU/view?usp=drivesdk" TargetMode="External"/><Relationship Id="rId304" Type="http://schemas.openxmlformats.org/officeDocument/2006/relationships/hyperlink" Target="https://drive.google.com/open?id=1HEx10enPo6frq_AJPHc6-IeeM418wL9I" TargetMode="External"/><Relationship Id="rId388" Type="http://schemas.openxmlformats.org/officeDocument/2006/relationships/hyperlink" Target="https://drive.google.com/open?id=1bdUOW5ScMg8ioSXF0QowkLzkV1tZ4rnZ" TargetMode="External"/><Relationship Id="rId511" Type="http://schemas.openxmlformats.org/officeDocument/2006/relationships/hyperlink" Target="https://drive.google.com/open?id=1-zYzU9JyF_-gWgANjzrNY9HqlGtQNaQo" TargetMode="External"/><Relationship Id="rId609" Type="http://schemas.openxmlformats.org/officeDocument/2006/relationships/hyperlink" Target="https://drive.google.com/open?id=1k6CPck_egtgsFgyIKgKMHj0BsQbLRMNu" TargetMode="External"/><Relationship Id="rId956" Type="http://schemas.openxmlformats.org/officeDocument/2006/relationships/hyperlink" Target="https://drive.google.com/open?id=1uLeXeVJ2w9Ia4H6YTYerQZCnKOAO9d0j" TargetMode="External"/><Relationship Id="rId1141" Type="http://schemas.openxmlformats.org/officeDocument/2006/relationships/hyperlink" Target="https://drive.google.com/open?id=1jCkx5BunRoeb8tLOAQwxiklI9tP1ztAj" TargetMode="External"/><Relationship Id="rId1239" Type="http://schemas.openxmlformats.org/officeDocument/2006/relationships/hyperlink" Target="https://drive.google.com/open?id=1rMo2z30NwE0MTtEdB8UVs5G_iR3tzc-g" TargetMode="External"/><Relationship Id="rId85" Type="http://schemas.openxmlformats.org/officeDocument/2006/relationships/hyperlink" Target="https://drive.google.com/open?id=1eZ7LPhPCfn0H3eIXC19-y6wrBpmN9vqK" TargetMode="External"/><Relationship Id="rId150" Type="http://schemas.openxmlformats.org/officeDocument/2006/relationships/hyperlink" Target="https://drive.google.com/file/d/1OuRHfr08yQqGmPH4BV7mUAZ_47xJZGxO/view?usp=drivesdk" TargetMode="External"/><Relationship Id="rId595" Type="http://schemas.openxmlformats.org/officeDocument/2006/relationships/hyperlink" Target="https://drive.google.com/open?id=1eKQb--k7XUYz34bRM6aSan9SC7CiJnhu" TargetMode="External"/><Relationship Id="rId816" Type="http://schemas.openxmlformats.org/officeDocument/2006/relationships/hyperlink" Target="https://drive.google.com/open?id=1CEboIna4mquNWV26OxxIWVKV_ROjrMxC" TargetMode="External"/><Relationship Id="rId1001" Type="http://schemas.openxmlformats.org/officeDocument/2006/relationships/hyperlink" Target="https://drive.google.com/file/d/1FYFHggm4mhbXKQCMIKhNIApi7F7InmmY/view?usp=drivesdk" TargetMode="External"/><Relationship Id="rId1446" Type="http://schemas.openxmlformats.org/officeDocument/2006/relationships/hyperlink" Target="https://drive.google.com/file/d/1aDAYTBlb3vWnMXGxqNNYRRAWvUnB8Tdb/view?usp=drivesdk" TargetMode="External"/><Relationship Id="rId248" Type="http://schemas.openxmlformats.org/officeDocument/2006/relationships/hyperlink" Target="https://drive.google.com/file/d/1jUDzXnQVdzPqo51YONdEqEDHg5y7BDkA/view?usp=drivesdk" TargetMode="External"/><Relationship Id="rId455" Type="http://schemas.openxmlformats.org/officeDocument/2006/relationships/hyperlink" Target="https://drive.google.com/open?id=1fflhU_tgOyx1h1tVrNbv5Gj5Iy0wVPM_" TargetMode="External"/><Relationship Id="rId662" Type="http://schemas.openxmlformats.org/officeDocument/2006/relationships/hyperlink" Target="https://drive.google.com/open?id=1SDaqqz8FjmLECG_PwZoqNVbdvUH_ztDm" TargetMode="External"/><Relationship Id="rId1085" Type="http://schemas.openxmlformats.org/officeDocument/2006/relationships/hyperlink" Target="https://drive.google.com/file/d/12QeGhw_9f2ijvUheShj6TzC-YHl2-IoJ/view?usp=drivesdk" TargetMode="External"/><Relationship Id="rId1292" Type="http://schemas.openxmlformats.org/officeDocument/2006/relationships/hyperlink" Target="https://drive.google.com/open?id=1iFBEZDftU9Agqq-G4m1u8c9KvLZbApym" TargetMode="External"/><Relationship Id="rId1306" Type="http://schemas.openxmlformats.org/officeDocument/2006/relationships/hyperlink" Target="https://drive.google.com/open?id=1GRRkqUB6KxrQL9XP1EVAJyIVF4q5XB2T" TargetMode="External"/><Relationship Id="rId12" Type="http://schemas.openxmlformats.org/officeDocument/2006/relationships/hyperlink" Target="https://drive.google.com/open?id=11JLbasjtEy0YNiuuHAGDR05kzL8r2mTs" TargetMode="External"/><Relationship Id="rId108" Type="http://schemas.openxmlformats.org/officeDocument/2006/relationships/hyperlink" Target="https://drive.google.com/open?id=1FhWJy2sxBunzCyAWQEWREA6v6ALf73JP" TargetMode="External"/><Relationship Id="rId315" Type="http://schemas.openxmlformats.org/officeDocument/2006/relationships/hyperlink" Target="https://drive.google.com/file/d/1GgZ2ljhoUNlCk_pbYLpfXAPhQiBNha1C/view?usp=drivesdk" TargetMode="External"/><Relationship Id="rId522" Type="http://schemas.openxmlformats.org/officeDocument/2006/relationships/hyperlink" Target="https://drive.google.com/file/d/1U7AIDoL7H6pSACJMZrUPOaiLyHAkIctC/view?usp=drivesdk" TargetMode="External"/><Relationship Id="rId967" Type="http://schemas.openxmlformats.org/officeDocument/2006/relationships/hyperlink" Target="https://drive.google.com/file/d/1Pn8hZp-oYXXwNgSxz4VwBMOb1wb3_nJg/view?usp=drivesdk" TargetMode="External"/><Relationship Id="rId1152" Type="http://schemas.openxmlformats.org/officeDocument/2006/relationships/hyperlink" Target="https://drive.google.com/open?id=1Ls_Lk1nfo-f8E2fterpKyV5sjAZCH-4n" TargetMode="External"/><Relationship Id="rId96" Type="http://schemas.openxmlformats.org/officeDocument/2006/relationships/hyperlink" Target="https://drive.google.com/file/d/16q53V4Laz3VSZSD_KyTHH57gFohSyxWP/view?usp=drivesdk" TargetMode="External"/><Relationship Id="rId161" Type="http://schemas.openxmlformats.org/officeDocument/2006/relationships/hyperlink" Target="https://drive.google.com/open?id=1UTslcn3OyPqC4-G7Ke2WjORM43S3M58-" TargetMode="External"/><Relationship Id="rId399" Type="http://schemas.openxmlformats.org/officeDocument/2006/relationships/hyperlink" Target="https://drive.google.com/file/d/1rn_IFgN7IsT9uhuz8zX_1osWYVkyhxRd/view?usp=drivesdk" TargetMode="External"/><Relationship Id="rId827" Type="http://schemas.openxmlformats.org/officeDocument/2006/relationships/hyperlink" Target="https://drive.google.com/file/d/118d8pybXGvjL2X4xAPE82ct9aBFyHUVv/view?usp=drivesdk" TargetMode="External"/><Relationship Id="rId1012" Type="http://schemas.openxmlformats.org/officeDocument/2006/relationships/hyperlink" Target="https://drive.google.com/open?id=1NizjICQtP7cOfLykBOq33Jy9vKvVnlQs" TargetMode="External"/><Relationship Id="rId1457" Type="http://schemas.openxmlformats.org/officeDocument/2006/relationships/hyperlink" Target="https://drive.google.com/open?id=13KC-MpQHrBB80YAhELp0zrQ3wzwlyveO" TargetMode="External"/><Relationship Id="rId259" Type="http://schemas.openxmlformats.org/officeDocument/2006/relationships/hyperlink" Target="https://drive.google.com/open?id=1lgLhF1xR0UF8WCyY91C4lmIvYwz_QRP4" TargetMode="External"/><Relationship Id="rId466" Type="http://schemas.openxmlformats.org/officeDocument/2006/relationships/hyperlink" Target="https://drive.google.com/file/d/1bHFJ0sVNlBLeOX1JdVQGKEhssATJ-ZVz/view?usp=drivesdk" TargetMode="External"/><Relationship Id="rId673" Type="http://schemas.openxmlformats.org/officeDocument/2006/relationships/hyperlink" Target="https://drive.google.com/file/d/1YoqmdvxOtMZ9NyoU5S-fmJHZiIabmgTM/view?usp=drivesdk" TargetMode="External"/><Relationship Id="rId880" Type="http://schemas.openxmlformats.org/officeDocument/2006/relationships/hyperlink" Target="https://drive.google.com/open?id=12u_IzoBPhwrkiMkz6Zps3EGnrnItfZ_O" TargetMode="External"/><Relationship Id="rId1096" Type="http://schemas.openxmlformats.org/officeDocument/2006/relationships/hyperlink" Target="https://drive.google.com/file/d/10gpTGrEdkOHszrpGGj0YuWiTPaWR7lDZ/view?usp=drivesdk" TargetMode="External"/><Relationship Id="rId1317" Type="http://schemas.openxmlformats.org/officeDocument/2006/relationships/hyperlink" Target="https://drive.google.com/file/d/1ZiI2upXrQ5gN6jK_nTq_m0RPozwjIM01/view?usp=drivesdk" TargetMode="External"/><Relationship Id="rId23" Type="http://schemas.openxmlformats.org/officeDocument/2006/relationships/hyperlink" Target="https://drive.google.com/file/d/1Z8VAly-FHrt4-JIjrjnOWfb91tQRMS3H/view?usp=drivesdk" TargetMode="External"/><Relationship Id="rId119" Type="http://schemas.openxmlformats.org/officeDocument/2006/relationships/hyperlink" Target="https://drive.google.com/open?id=194j5bxf8hHvd58MQybD5WjOwGInexIEl" TargetMode="External"/><Relationship Id="rId326" Type="http://schemas.openxmlformats.org/officeDocument/2006/relationships/hyperlink" Target="https://drive.google.com/open?id=19NZ1rz8cBzk5zPi05Nh1yyix6FImK0cf" TargetMode="External"/><Relationship Id="rId533" Type="http://schemas.openxmlformats.org/officeDocument/2006/relationships/hyperlink" Target="https://drive.google.com/open?id=1yefzqLQFpzpNv6RhFf9fm5kZStIAO1S4" TargetMode="External"/><Relationship Id="rId978" Type="http://schemas.openxmlformats.org/officeDocument/2006/relationships/hyperlink" Target="https://drive.google.com/open?id=1PIWMremD9IgOqGhWFdIUSvXw2KHQzYNy" TargetMode="External"/><Relationship Id="rId1163" Type="http://schemas.openxmlformats.org/officeDocument/2006/relationships/hyperlink" Target="https://drive.google.com/file/d/1cI9hKvYVi7BksSuAXWDE2midFJF0pCVO/view?usp=drivesdk" TargetMode="External"/><Relationship Id="rId1370" Type="http://schemas.openxmlformats.org/officeDocument/2006/relationships/hyperlink" Target="https://drive.google.com/file/d/1Nb3WacEnR8s1oEMoZgM90Zx7H_-kQLMU/view?usp=drivesdk" TargetMode="External"/><Relationship Id="rId740" Type="http://schemas.openxmlformats.org/officeDocument/2006/relationships/hyperlink" Target="https://drive.google.com/open?id=1nIOqqLxxWzUSHEXVkHTKMu8UqppUllkU" TargetMode="External"/><Relationship Id="rId838" Type="http://schemas.openxmlformats.org/officeDocument/2006/relationships/hyperlink" Target="https://drive.google.com/open?id=17kqmwot_fRTDImo7N815eGZI63e-Uz9Y" TargetMode="External"/><Relationship Id="rId1023" Type="http://schemas.openxmlformats.org/officeDocument/2006/relationships/hyperlink" Target="https://drive.google.com/file/d/1TMSWxs8wATuZGHKTpDCaAL_8DGFVIART/view?usp=drivesdk" TargetMode="External"/><Relationship Id="rId172" Type="http://schemas.openxmlformats.org/officeDocument/2006/relationships/hyperlink" Target="https://drive.google.com/open?id=1nmSTzMOPJ44ihLrZxIRF_IZH92i4-LBk" TargetMode="External"/><Relationship Id="rId477" Type="http://schemas.openxmlformats.org/officeDocument/2006/relationships/hyperlink" Target="https://drive.google.com/file/d/1IWKb9q6lkwA56Ekr6y93wqwMdFEVq1L2/view?usp=drivesdk" TargetMode="External"/><Relationship Id="rId600" Type="http://schemas.openxmlformats.org/officeDocument/2006/relationships/hyperlink" Target="https://drive.google.com/file/d/1KFP3bc9t-_dbVHAb5ujfjihEVKbC0CAC/view?usp=drivesdk" TargetMode="External"/><Relationship Id="rId684" Type="http://schemas.openxmlformats.org/officeDocument/2006/relationships/hyperlink" Target="https://drive.google.com/open?id=1YZ9e9PPnxhhRTdxq8SbsoqfdkKubDF4l" TargetMode="External"/><Relationship Id="rId1230" Type="http://schemas.openxmlformats.org/officeDocument/2006/relationships/hyperlink" Target="https://drive.google.com/file/d/1uqI-3Ag7-rHj85IrFAZphmPktgX2vcvK/view?usp=drivesdk" TargetMode="External"/><Relationship Id="rId1328" Type="http://schemas.openxmlformats.org/officeDocument/2006/relationships/hyperlink" Target="https://drive.google.com/open?id=1v44ppysfF0hi6bPYowhZ8g4XDYAPtk3g" TargetMode="External"/><Relationship Id="rId337" Type="http://schemas.openxmlformats.org/officeDocument/2006/relationships/hyperlink" Target="https://drive.google.com/open?id=13qnGaVPoUt2U5qU_cuxssBrfE4M4CJ9M" TargetMode="External"/><Relationship Id="rId891" Type="http://schemas.openxmlformats.org/officeDocument/2006/relationships/hyperlink" Target="https://drive.google.com/file/d/1sPyY7qAOdalBIV_oJobrHKCYrRVNN-eP/view?usp=drivesdk" TargetMode="External"/><Relationship Id="rId905" Type="http://schemas.openxmlformats.org/officeDocument/2006/relationships/hyperlink" Target="https://drive.google.com/file/d/1KSQPOInZ3UlPP3fQfp0utsTOzkEFKf8k/view?usp=drivesdk" TargetMode="External"/><Relationship Id="rId989" Type="http://schemas.openxmlformats.org/officeDocument/2006/relationships/hyperlink" Target="https://drive.google.com/file/d/1gsEG2RqoLnP7Hm1sU8xKCGWXnj5iEa7_/view?usp=drivesdk" TargetMode="External"/><Relationship Id="rId34" Type="http://schemas.openxmlformats.org/officeDocument/2006/relationships/hyperlink" Target="https://drive.google.com/open?id=1E4csb5W-STQOw9FRg38eiP_P5pJUcJB4" TargetMode="External"/><Relationship Id="rId544" Type="http://schemas.openxmlformats.org/officeDocument/2006/relationships/hyperlink" Target="https://drive.google.com/file/d/1Rql8Lz6Ia3H8q4_Tp0itA4WllkQTyny_/view?usp=drivesdk" TargetMode="External"/><Relationship Id="rId751" Type="http://schemas.openxmlformats.org/officeDocument/2006/relationships/hyperlink" Target="https://drive.google.com/file/d/1eBdFMC2B2BHDwOR-228jvhmpsygi-EOk/view?usp=drivesdk" TargetMode="External"/><Relationship Id="rId849" Type="http://schemas.openxmlformats.org/officeDocument/2006/relationships/hyperlink" Target="https://drive.google.com/file/d/1EbriQ4B2IrZefHs8KIdnGte7ZYBWDdfG/view?usp=drivesdk" TargetMode="External"/><Relationship Id="rId1174" Type="http://schemas.openxmlformats.org/officeDocument/2006/relationships/hyperlink" Target="https://drive.google.com/open?id=15Geq0bfW0VlNsbwjbbuGqoIGN4n6rSPb" TargetMode="External"/><Relationship Id="rId1381" Type="http://schemas.openxmlformats.org/officeDocument/2006/relationships/hyperlink" Target="https://drive.google.com/open?id=1yF53gt_xFr7lMkazbYBlkUtGH5TZKqtE" TargetMode="External"/><Relationship Id="rId183" Type="http://schemas.openxmlformats.org/officeDocument/2006/relationships/hyperlink" Target="https://drive.google.com/file/d/18z_AfrrI-iNwrYNgVLaSe4p7I4VdjRa4/view?usp=drivesdk" TargetMode="External"/><Relationship Id="rId390" Type="http://schemas.openxmlformats.org/officeDocument/2006/relationships/hyperlink" Target="https://drive.google.com/open?id=1B3-6WtPzNYojRDyXxUferphqoMfWDvWJ" TargetMode="External"/><Relationship Id="rId404" Type="http://schemas.openxmlformats.org/officeDocument/2006/relationships/hyperlink" Target="https://drive.google.com/open?id=148l4GZJT0CpuZgYJijkSFp3y-ljoEFzl" TargetMode="External"/><Relationship Id="rId611" Type="http://schemas.openxmlformats.org/officeDocument/2006/relationships/hyperlink" Target="https://drive.google.com/open?id=1yYTRdIV125RZJY4BplagxgL82RBMdfzW" TargetMode="External"/><Relationship Id="rId1034" Type="http://schemas.openxmlformats.org/officeDocument/2006/relationships/hyperlink" Target="https://drive.google.com/open?id=1IXILp-rUmoW6RnhdemIBj7Zo6T1325Tg" TargetMode="External"/><Relationship Id="rId1241" Type="http://schemas.openxmlformats.org/officeDocument/2006/relationships/hyperlink" Target="https://drive.google.com/file/d/1Qh4sBqHZQj0_2ryV6JFffMbji6G08AOY/view?usp=drivesdk" TargetMode="External"/><Relationship Id="rId1339" Type="http://schemas.openxmlformats.org/officeDocument/2006/relationships/hyperlink" Target="https://drive.google.com/open?id=1UsRii6QsewuEQG_9RqXH-nekmnAnnmTN" TargetMode="External"/><Relationship Id="rId250" Type="http://schemas.openxmlformats.org/officeDocument/2006/relationships/hyperlink" Target="https://drive.google.com/file/d/1NGNBthihSUaJ2LFhlNPTO12fbtapFURO/view?usp=drivesdk" TargetMode="External"/><Relationship Id="rId488" Type="http://schemas.openxmlformats.org/officeDocument/2006/relationships/hyperlink" Target="https://drive.google.com/file/d/15jOFQibLrzBZO_HbjvRgJKsByIVun8ze/view?usp=drivesdk" TargetMode="External"/><Relationship Id="rId695" Type="http://schemas.openxmlformats.org/officeDocument/2006/relationships/hyperlink" Target="https://drive.google.com/file/d/1AcKw0cfTPcdoM7EUz1iQ66_5IThYDzCv/view?usp=drivesdk" TargetMode="External"/><Relationship Id="rId709" Type="http://schemas.openxmlformats.org/officeDocument/2006/relationships/hyperlink" Target="https://drive.google.com/file/d/1fMvsu3v0peBMxDkyzu509DS69ZbMNC18/view?usp=drivesdk" TargetMode="External"/><Relationship Id="rId916" Type="http://schemas.openxmlformats.org/officeDocument/2006/relationships/hyperlink" Target="https://drive.google.com/open?id=1H_HoA8fd5vmNy8-hugKlML36fgdG6dDf" TargetMode="External"/><Relationship Id="rId1101" Type="http://schemas.openxmlformats.org/officeDocument/2006/relationships/hyperlink" Target="https://drive.google.com/open?id=1zj_mBFEK2JCE50g_vl1mGjF7zlZubhU2" TargetMode="External"/><Relationship Id="rId45" Type="http://schemas.openxmlformats.org/officeDocument/2006/relationships/hyperlink" Target="https://drive.google.com/file/d/1GnF5Jq5SgHl1wbOSotYT7yuCup9iQd5t/view?usp=drivesdk" TargetMode="External"/><Relationship Id="rId110" Type="http://schemas.openxmlformats.org/officeDocument/2006/relationships/hyperlink" Target="https://drive.google.com/open?id=16ATLLsdFV7EGPJqNlMV2ejRLfBkT65_D" TargetMode="External"/><Relationship Id="rId348" Type="http://schemas.openxmlformats.org/officeDocument/2006/relationships/hyperlink" Target="https://drive.google.com/open?id=1b6U5P3xkP9RJEtKRfOPxqeUDNchC2oTK" TargetMode="External"/><Relationship Id="rId555" Type="http://schemas.openxmlformats.org/officeDocument/2006/relationships/hyperlink" Target="https://drive.google.com/open?id=1G7LLiMpgialJ4vzWFcAIUnxUcDR3JcAy" TargetMode="External"/><Relationship Id="rId762" Type="http://schemas.openxmlformats.org/officeDocument/2006/relationships/hyperlink" Target="https://drive.google.com/file/d/1m-O6-5kcKBDoqwsDf8IQX6qmFfCUozhC/view?usp=drivesdk" TargetMode="External"/><Relationship Id="rId1185" Type="http://schemas.openxmlformats.org/officeDocument/2006/relationships/hyperlink" Target="https://drive.google.com/file/d/19pXNh9X0wKXcx7m9K_IhxhsJbuOGHQDc/view?usp=drivesdk" TargetMode="External"/><Relationship Id="rId1392" Type="http://schemas.openxmlformats.org/officeDocument/2006/relationships/hyperlink" Target="https://drive.google.com/file/d/1tBQaQP76DdsteedHA2TQxRcukxjyr2Z7/view?usp=drivesdk" TargetMode="External"/><Relationship Id="rId1406" Type="http://schemas.openxmlformats.org/officeDocument/2006/relationships/hyperlink" Target="https://drive.google.com/file/d/1qPqU9-wjkvKaJ2byU8mLD_0PxA9SYdia/view?usp=drivesdk" TargetMode="External"/><Relationship Id="rId194" Type="http://schemas.openxmlformats.org/officeDocument/2006/relationships/hyperlink" Target="https://drive.google.com/file/d/1dAwqXUclQLlI1T8jyA5r6B0ASSlr5YON/view?usp=drivesdk" TargetMode="External"/><Relationship Id="rId208" Type="http://schemas.openxmlformats.org/officeDocument/2006/relationships/hyperlink" Target="https://drive.google.com/open?id=11nEfu10yfIuIviluH4OzlFUgCGZHMsOL" TargetMode="External"/><Relationship Id="rId415" Type="http://schemas.openxmlformats.org/officeDocument/2006/relationships/hyperlink" Target="https://drive.google.com/open?id=1evWGcubq1mcotQC4YSPGYIhrhmSCV5rT" TargetMode="External"/><Relationship Id="rId622" Type="http://schemas.openxmlformats.org/officeDocument/2006/relationships/hyperlink" Target="https://drive.google.com/file/d/1wxDXPwXZMSIj-AdZZJGQz6_Dy66eeSpp/view?usp=drivesdk" TargetMode="External"/><Relationship Id="rId1045" Type="http://schemas.openxmlformats.org/officeDocument/2006/relationships/hyperlink" Target="https://drive.google.com/file/d/1ey_sq9IvqZFnBr8DxboQCTBMdztY4tt5/view?usp=drivesdk" TargetMode="External"/><Relationship Id="rId1252" Type="http://schemas.openxmlformats.org/officeDocument/2006/relationships/hyperlink" Target="https://drive.google.com/open?id=1276mJNvEPL2IQYUigdHUd3bhCtSRykbR" TargetMode="External"/><Relationship Id="rId261" Type="http://schemas.openxmlformats.org/officeDocument/2006/relationships/hyperlink" Target="https://drive.google.com/file/d/1CeAhQTfNQmjC5b0R_sjETkUtmwTiTUW_/view?usp=drivesdk" TargetMode="External"/><Relationship Id="rId499" Type="http://schemas.openxmlformats.org/officeDocument/2006/relationships/hyperlink" Target="https://drive.google.com/open?id=1HNbSVz0QdE0ypkrLN5tnA-VkjsrIcsyf" TargetMode="External"/><Relationship Id="rId927" Type="http://schemas.openxmlformats.org/officeDocument/2006/relationships/hyperlink" Target="https://drive.google.com/file/d/1YerUCQ1SvkS9zaQ6vv7SvMGwJoo3myvS/view?usp=drivesdk" TargetMode="External"/><Relationship Id="rId1112" Type="http://schemas.openxmlformats.org/officeDocument/2006/relationships/hyperlink" Target="https://drive.google.com/file/d/1ngp5hqkBkp00INL9qArBqJkd4v_anYhw/view?usp=drivesdk" TargetMode="External"/><Relationship Id="rId56" Type="http://schemas.openxmlformats.org/officeDocument/2006/relationships/hyperlink" Target="https://drive.google.com/open?id=1QEkp6U6e4u90Z3X-3aINY58kKwgjuygn" TargetMode="External"/><Relationship Id="rId359" Type="http://schemas.openxmlformats.org/officeDocument/2006/relationships/hyperlink" Target="https://drive.google.com/file/d/1KVJXyVB8D5Q5YINHbL92hcDbcZCItrwL/view?usp=drivesdk" TargetMode="External"/><Relationship Id="rId566" Type="http://schemas.openxmlformats.org/officeDocument/2006/relationships/hyperlink" Target="https://drive.google.com/file/d/1oQ5RmXLrko0XgwzBO5xhtv1APECGmQRI/view?usp=drivesdk" TargetMode="External"/><Relationship Id="rId773" Type="http://schemas.openxmlformats.org/officeDocument/2006/relationships/hyperlink" Target="https://drive.google.com/file/d/1g59-xYPD4M9jXt-0yqUI_-3uexGOs9I9/view?usp=drivesdk" TargetMode="External"/><Relationship Id="rId1196" Type="http://schemas.openxmlformats.org/officeDocument/2006/relationships/hyperlink" Target="https://drive.google.com/open?id=1c4jHSQO4ZV0ykA_LsvKBVPvU7EeT7Qb4" TargetMode="External"/><Relationship Id="rId1417" Type="http://schemas.openxmlformats.org/officeDocument/2006/relationships/hyperlink" Target="https://drive.google.com/open?id=1dtnvppE0HiBsPVlcKwwsEhpcgduHVoMk" TargetMode="External"/><Relationship Id="rId121" Type="http://schemas.openxmlformats.org/officeDocument/2006/relationships/hyperlink" Target="https://drive.google.com/open?id=1ZlGNkOiVxAQSBR6l42nD-P2b9zftDtG2" TargetMode="External"/><Relationship Id="rId219" Type="http://schemas.openxmlformats.org/officeDocument/2006/relationships/hyperlink" Target="https://drive.google.com/file/d/1HP0l_egnqc4UswCHQdxGq-r7iQJQjX7N/view?usp=drivesdk" TargetMode="External"/><Relationship Id="rId426" Type="http://schemas.openxmlformats.org/officeDocument/2006/relationships/hyperlink" Target="https://drive.google.com/open?id=1zsmkmA1GltvtKLHGK-zfi-hyTpjX8WYB" TargetMode="External"/><Relationship Id="rId633" Type="http://schemas.openxmlformats.org/officeDocument/2006/relationships/hyperlink" Target="https://drive.google.com/open?id=1sVPaoIzv_WwImY1oN05cJ9EDB_iv6lY1" TargetMode="External"/><Relationship Id="rId980" Type="http://schemas.openxmlformats.org/officeDocument/2006/relationships/hyperlink" Target="https://drive.google.com/open?id=1su7U_tjpZUqTbBAXE5y0GDb_j3Jjkmzj" TargetMode="External"/><Relationship Id="rId1056" Type="http://schemas.openxmlformats.org/officeDocument/2006/relationships/hyperlink" Target="https://drive.google.com/open?id=1mJDhK3J3HmezCgYzG4x6mq8uVouq87MM" TargetMode="External"/><Relationship Id="rId1263" Type="http://schemas.openxmlformats.org/officeDocument/2006/relationships/hyperlink" Target="https://drive.google.com/file/d/1Y7XDiTyxtDHptQNsWQUvxK6gLRGyGD7t/view?usp=drivesdk" TargetMode="External"/><Relationship Id="rId840" Type="http://schemas.openxmlformats.org/officeDocument/2006/relationships/hyperlink" Target="https://drive.google.com/open?id=1hVBEjmVDwK479bZamWNw81u-yKfxww6E" TargetMode="External"/><Relationship Id="rId938" Type="http://schemas.openxmlformats.org/officeDocument/2006/relationships/hyperlink" Target="https://drive.google.com/open?id=1rZO_IojWByuDfKb-PeU59ml9rlSG-BW9" TargetMode="External"/><Relationship Id="rId67" Type="http://schemas.openxmlformats.org/officeDocument/2006/relationships/hyperlink" Target="https://drive.google.com/file/d/1U_QujdmXAUYZRz5C_KkUXTzwAeG5Fztp/view?usp=drivesdk" TargetMode="External"/><Relationship Id="rId272" Type="http://schemas.openxmlformats.org/officeDocument/2006/relationships/hyperlink" Target="https://drive.google.com/file/d/1jfODzgWBhHvqfquvBWdBTT9WcQQxkOWk/view?usp=drivesdk" TargetMode="External"/><Relationship Id="rId577" Type="http://schemas.openxmlformats.org/officeDocument/2006/relationships/hyperlink" Target="https://drive.google.com/file/d/1TxIx5NFyqScidj3aPDqKubVhsKMaeREP/view?usp=drivesdk" TargetMode="External"/><Relationship Id="rId700" Type="http://schemas.openxmlformats.org/officeDocument/2006/relationships/hyperlink" Target="https://drive.google.com/file/d/1tpeDR6XoTipGNbYDWG5zw2tAiRzaV4lB/view?usp=drivesdk" TargetMode="External"/><Relationship Id="rId1123" Type="http://schemas.openxmlformats.org/officeDocument/2006/relationships/hyperlink" Target="https://drive.google.com/open?id=1H25V9__Dq6y5fD093DUhEp_f7o_oec7S" TargetMode="External"/><Relationship Id="rId1330" Type="http://schemas.openxmlformats.org/officeDocument/2006/relationships/hyperlink" Target="https://drive.google.com/open?id=1qbPyYrpJs4nVfL8kCI42egtG780eChg_" TargetMode="External"/><Relationship Id="rId1428" Type="http://schemas.openxmlformats.org/officeDocument/2006/relationships/hyperlink" Target="https://drive.google.com/file/d/1U8l6OXMgEe4xWBztvUg33s7YvLjdfPyB/view?usp=drivesdk" TargetMode="External"/><Relationship Id="rId132" Type="http://schemas.openxmlformats.org/officeDocument/2006/relationships/hyperlink" Target="https://drive.google.com/open?id=1DuN6bIsbuOiOuR1ATblM_dNgkdF3_jLy" TargetMode="External"/><Relationship Id="rId784" Type="http://schemas.openxmlformats.org/officeDocument/2006/relationships/hyperlink" Target="https://drive.google.com/open?id=1_j6DB0qigK7AJj42gAozVSyhEnB1eZva" TargetMode="External"/><Relationship Id="rId991" Type="http://schemas.openxmlformats.org/officeDocument/2006/relationships/hyperlink" Target="https://drive.google.com/file/d/1NQoPR81oEskb9RyT-AEwtMZjJHl3addY/view?usp=drivesdk" TargetMode="External"/><Relationship Id="rId1067" Type="http://schemas.openxmlformats.org/officeDocument/2006/relationships/hyperlink" Target="https://drive.google.com/file/d/1Tq51w9WnF2Z8vZKKrzyH_EzojiOK0p1c/view?usp=drivesdk" TargetMode="External"/><Relationship Id="rId437" Type="http://schemas.openxmlformats.org/officeDocument/2006/relationships/hyperlink" Target="https://drive.google.com/open?id=18Vk3aDpt3h0-9itKl1-HO2GA7Ni7f4nO" TargetMode="External"/><Relationship Id="rId644" Type="http://schemas.openxmlformats.org/officeDocument/2006/relationships/hyperlink" Target="https://drive.google.com/open?id=1Jx620ujq3Ugn4RFLzGQiEeOhi_82ckrx" TargetMode="External"/><Relationship Id="rId851" Type="http://schemas.openxmlformats.org/officeDocument/2006/relationships/hyperlink" Target="https://drive.google.com/file/d/15j5KqsZKAZ8gVPGsK1_Dqtt1RbIT_Vv_/view?usp=drivesdk" TargetMode="External"/><Relationship Id="rId1274" Type="http://schemas.openxmlformats.org/officeDocument/2006/relationships/hyperlink" Target="https://drive.google.com/open?id=1yYv5581gW-F0k6RvfcE8gzI6xPtTL-8f" TargetMode="External"/><Relationship Id="rId283" Type="http://schemas.openxmlformats.org/officeDocument/2006/relationships/hyperlink" Target="https://drive.google.com/open?id=1uZQ6ntngk9SPDYe9TxTh_ij7lLABP9UZ" TargetMode="External"/><Relationship Id="rId490" Type="http://schemas.openxmlformats.org/officeDocument/2006/relationships/hyperlink" Target="https://drive.google.com/open?id=178RWWghzlb0FnZDGKxNz9Tap6MIp9HdJ" TargetMode="External"/><Relationship Id="rId504" Type="http://schemas.openxmlformats.org/officeDocument/2006/relationships/hyperlink" Target="https://drive.google.com/open?id=1Owhoin3K3DnyrBCOLiwuxWDHRivygNUz" TargetMode="External"/><Relationship Id="rId711" Type="http://schemas.openxmlformats.org/officeDocument/2006/relationships/hyperlink" Target="https://drive.google.com/file/d/1nGhJibZ-gDxZZkwNLq-B2JGvVBWvOPR9/view?usp=drivesdk" TargetMode="External"/><Relationship Id="rId949" Type="http://schemas.openxmlformats.org/officeDocument/2006/relationships/hyperlink" Target="https://drive.google.com/file/d/1nST0z4xzebpzVNXc2jCGPLNHK9aGH-c0/view?usp=drivesdk" TargetMode="External"/><Relationship Id="rId1134" Type="http://schemas.openxmlformats.org/officeDocument/2006/relationships/hyperlink" Target="https://drive.google.com/file/d/1O_wIqO41leR9VOmKPyS8jezqXw432Kqk/view?usp=drivesdk" TargetMode="External"/><Relationship Id="rId1341" Type="http://schemas.openxmlformats.org/officeDocument/2006/relationships/hyperlink" Target="https://drive.google.com/open?id=1qD21fVNz_HvGI5lRhMhFh10CYLzxIzpt" TargetMode="External"/><Relationship Id="rId78" Type="http://schemas.openxmlformats.org/officeDocument/2006/relationships/hyperlink" Target="https://drive.google.com/open?id=1b7iLYDeTO2_GAwCfNxeuWQ4j5H8DrQ6f" TargetMode="External"/><Relationship Id="rId143" Type="http://schemas.openxmlformats.org/officeDocument/2006/relationships/hyperlink" Target="https://drive.google.com/file/d/1xuj1HhYsAZrJ2PolUk50qChSzoagT21m/view?usp=drivesdk" TargetMode="External"/><Relationship Id="rId350" Type="http://schemas.openxmlformats.org/officeDocument/2006/relationships/hyperlink" Target="https://drive.google.com/open?id=15GxfuE8yt78v2Ku6o4KmSJGqXjzYrO6c" TargetMode="External"/><Relationship Id="rId588" Type="http://schemas.openxmlformats.org/officeDocument/2006/relationships/hyperlink" Target="https://drive.google.com/file/d/10IRNt2NtvbJyUDAj40DqyoLnG5XT2Bc3/view?usp=drivesdk" TargetMode="External"/><Relationship Id="rId795" Type="http://schemas.openxmlformats.org/officeDocument/2006/relationships/hyperlink" Target="https://drive.google.com/file/d/1TxhObEI3PcOCPunU0XgpCQFg5-Y63BLH/view?usp=drivesdk" TargetMode="External"/><Relationship Id="rId809" Type="http://schemas.openxmlformats.org/officeDocument/2006/relationships/hyperlink" Target="https://drive.google.com/file/d/13jIBKgvTjO7QShB0iKBJN0PkjnqF0P2a/view?usp=drivesdk" TargetMode="External"/><Relationship Id="rId1201" Type="http://schemas.openxmlformats.org/officeDocument/2006/relationships/hyperlink" Target="https://drive.google.com/file/d/1X6QYyspHbWeWTl6WrEWVO3olZE1SBGaD/view?usp=drivesdk" TargetMode="External"/><Relationship Id="rId1439" Type="http://schemas.openxmlformats.org/officeDocument/2006/relationships/hyperlink" Target="https://drive.google.com/open?id=1hO68OE4bVS_QhUkPEF1_a_Q8Ke7Uyz9K" TargetMode="External"/><Relationship Id="rId9" Type="http://schemas.openxmlformats.org/officeDocument/2006/relationships/hyperlink" Target="https://drive.google.com/file/d/1EvjlRBAVrIAOWUp1uoIG7LEz7ATejl9R/view?usp=drivesdk" TargetMode="External"/><Relationship Id="rId210" Type="http://schemas.openxmlformats.org/officeDocument/2006/relationships/hyperlink" Target="https://drive.google.com/open?id=1tnaOxZIXH5-IOreFXinQx6csJ4z-K9X4" TargetMode="External"/><Relationship Id="rId448" Type="http://schemas.openxmlformats.org/officeDocument/2006/relationships/hyperlink" Target="https://drive.google.com/file/d/1Ity3z9w9_tk4G8NDj445aAeEU0yYVXDu/view?usp=drivesdk" TargetMode="External"/><Relationship Id="rId655" Type="http://schemas.openxmlformats.org/officeDocument/2006/relationships/hyperlink" Target="https://drive.google.com/file/d/1qi-vv_6z7GqG663FLwk0avfQMoAO2zer/view?usp=drivesdk" TargetMode="External"/><Relationship Id="rId862" Type="http://schemas.openxmlformats.org/officeDocument/2006/relationships/hyperlink" Target="https://drive.google.com/open?id=1gPIn2HmV3eQPJJYIUmaPtldv5CslvuWn" TargetMode="External"/><Relationship Id="rId1078" Type="http://schemas.openxmlformats.org/officeDocument/2006/relationships/hyperlink" Target="https://drive.google.com/open?id=1YueCLycdhqLNG9JcNBLwaC9mfDsYry0r" TargetMode="External"/><Relationship Id="rId1285" Type="http://schemas.openxmlformats.org/officeDocument/2006/relationships/hyperlink" Target="https://drive.google.com/file/d/1kKn8GgxlT4uDkBcPZ6PVNm8RXfpRpMTq/view?usp=drivesdk" TargetMode="External"/><Relationship Id="rId294" Type="http://schemas.openxmlformats.org/officeDocument/2006/relationships/hyperlink" Target="https://drive.google.com/file/d/1k0gSSYDudJmjSWeAJq95XoQW9LBEMFle/view?usp=drivesdk" TargetMode="External"/><Relationship Id="rId308" Type="http://schemas.openxmlformats.org/officeDocument/2006/relationships/hyperlink" Target="https://drive.google.com/file/d/1lMWrx9-L3t7GFshX_LhJfnVwlCggsaOO/view?usp=drivesdk" TargetMode="External"/><Relationship Id="rId515" Type="http://schemas.openxmlformats.org/officeDocument/2006/relationships/hyperlink" Target="https://drive.google.com/open?id=1_W-bSUPpxs6ZFjvlblFGTxIJeDVmQ1bB" TargetMode="External"/><Relationship Id="rId722" Type="http://schemas.openxmlformats.org/officeDocument/2006/relationships/hyperlink" Target="https://drive.google.com/open?id=1W8hDgK5sI05j5MzPA1OqlLedyPVaqiKk" TargetMode="External"/><Relationship Id="rId1145" Type="http://schemas.openxmlformats.org/officeDocument/2006/relationships/hyperlink" Target="https://drive.google.com/open?id=1nv3vATl8jEFhfQKmzuTw0oFznFPVQnYG" TargetMode="External"/><Relationship Id="rId1352" Type="http://schemas.openxmlformats.org/officeDocument/2006/relationships/hyperlink" Target="https://drive.google.com/file/d/1NTDFQKL7K1o_blgfIY0EuPUrqNCCwTUG/view?usp=drivesdk" TargetMode="External"/><Relationship Id="rId89" Type="http://schemas.openxmlformats.org/officeDocument/2006/relationships/hyperlink" Target="https://drive.google.com/open?id=1Z73nzZVBDsXoeelvZ2Obqnt6XdhGo7pk" TargetMode="External"/><Relationship Id="rId154" Type="http://schemas.openxmlformats.org/officeDocument/2006/relationships/hyperlink" Target="https://drive.google.com/open?id=1-GtHLQMJpr-K1oJW_SXclPMmbXXYi-jK" TargetMode="External"/><Relationship Id="rId361" Type="http://schemas.openxmlformats.org/officeDocument/2006/relationships/hyperlink" Target="https://drive.google.com/open?id=1kpER2N3kGTEa9xyRy4TZIvbahJyCUCaP" TargetMode="External"/><Relationship Id="rId599" Type="http://schemas.openxmlformats.org/officeDocument/2006/relationships/hyperlink" Target="https://drive.google.com/open?id=17n5HLf7lHtXEvhLZv458DjnRMSJCWPrB" TargetMode="External"/><Relationship Id="rId1005" Type="http://schemas.openxmlformats.org/officeDocument/2006/relationships/hyperlink" Target="https://drive.google.com/file/d/1Vnur17M-WaFdNyD8mP8L3buF78vRV58P/view?usp=drivesdk" TargetMode="External"/><Relationship Id="rId1212" Type="http://schemas.openxmlformats.org/officeDocument/2006/relationships/hyperlink" Target="https://drive.google.com/open?id=1MuKkAs3PNRBRJ7xUQDm2QSUK4-NSH4ul" TargetMode="External"/><Relationship Id="rId459" Type="http://schemas.openxmlformats.org/officeDocument/2006/relationships/hyperlink" Target="https://drive.google.com/open?id=1rVvxTI7p72ndf6u_QUS5CzuLoSefv9yk" TargetMode="External"/><Relationship Id="rId666" Type="http://schemas.openxmlformats.org/officeDocument/2006/relationships/hyperlink" Target="https://drive.google.com/open?id=1sG_U6mFeBOROe3tdr8Ys2ThfZxPdBq44" TargetMode="External"/><Relationship Id="rId873" Type="http://schemas.openxmlformats.org/officeDocument/2006/relationships/hyperlink" Target="https://drive.google.com/file/d/1Sn5oCXyUmytpt7IPEAtCVGpT7sAeVWRc/view?usp=drivesdk" TargetMode="External"/><Relationship Id="rId1089" Type="http://schemas.openxmlformats.org/officeDocument/2006/relationships/hyperlink" Target="https://drive.google.com/file/d/1wfoE_m2vyBXV7AtrtKRpmqNLgIB7tvQ7/view?usp=drivesdk" TargetMode="External"/><Relationship Id="rId1296" Type="http://schemas.openxmlformats.org/officeDocument/2006/relationships/hyperlink" Target="https://drive.google.com/open?id=1MIPi3I0e1TxLHo7yNYDl_CIYOCJzC291" TargetMode="External"/><Relationship Id="rId16" Type="http://schemas.openxmlformats.org/officeDocument/2006/relationships/hyperlink" Target="https://drive.google.com/open?id=1JNVvb5MHz_uR3Se5WpFia029sUNc5CvC" TargetMode="External"/><Relationship Id="rId221" Type="http://schemas.openxmlformats.org/officeDocument/2006/relationships/hyperlink" Target="https://drive.google.com/open?id=1lXl8mcbKrrf6D8qCxW53exOrMsD3-msY" TargetMode="External"/><Relationship Id="rId319" Type="http://schemas.openxmlformats.org/officeDocument/2006/relationships/hyperlink" Target="https://drive.google.com/file/d/1KyVe3dDw8jnaOt4v9gRW5LEc6wwmFXmC/view?usp=drivesdk" TargetMode="External"/><Relationship Id="rId526" Type="http://schemas.openxmlformats.org/officeDocument/2006/relationships/hyperlink" Target="https://drive.google.com/file/d/10N9HSptURbE8NgN9WkbLtPgWznObA4wz/view?usp=drivesdk" TargetMode="External"/><Relationship Id="rId1156" Type="http://schemas.openxmlformats.org/officeDocument/2006/relationships/hyperlink" Target="https://drive.google.com/open?id=12jQiYTOPkgyQ-vsiIsESsukLy3eUrrvd" TargetMode="External"/><Relationship Id="rId1363" Type="http://schemas.openxmlformats.org/officeDocument/2006/relationships/hyperlink" Target="https://drive.google.com/open?id=1fdHozauGrh880cszkv9eAtF99iHve5Pn" TargetMode="External"/><Relationship Id="rId733" Type="http://schemas.openxmlformats.org/officeDocument/2006/relationships/hyperlink" Target="https://drive.google.com/file/d/1RGwhZBsQj0jML7a9Z3btQW29ccA8TPm4/view?usp=drivesdk" TargetMode="External"/><Relationship Id="rId940" Type="http://schemas.openxmlformats.org/officeDocument/2006/relationships/hyperlink" Target="https://drive.google.com/open?id=1uAJfL0axkQuqJc29IZ_3lfoJx6NjtE1P" TargetMode="External"/><Relationship Id="rId1016" Type="http://schemas.openxmlformats.org/officeDocument/2006/relationships/hyperlink" Target="https://drive.google.com/open?id=1pkrncBpZQGcWwkF5Ayjgsel1BbzPDMLF" TargetMode="External"/><Relationship Id="rId165" Type="http://schemas.openxmlformats.org/officeDocument/2006/relationships/hyperlink" Target="https://drive.google.com/open?id=1XJd3VVyk8QxGnJMeU9hqWR1103vycfpc" TargetMode="External"/><Relationship Id="rId372" Type="http://schemas.openxmlformats.org/officeDocument/2006/relationships/hyperlink" Target="https://drive.google.com/open?id=1ssOviEC2rHbzIwmvvb0kdxv6Rj_LckTk" TargetMode="External"/><Relationship Id="rId677" Type="http://schemas.openxmlformats.org/officeDocument/2006/relationships/hyperlink" Target="https://drive.google.com/file/d/1Upms6dZKOHKupBegkfV4ThueOEvlC5Yr/view?usp=drivesdk" TargetMode="External"/><Relationship Id="rId800" Type="http://schemas.openxmlformats.org/officeDocument/2006/relationships/hyperlink" Target="https://drive.google.com/open?id=1M02m6t6b-BbCHjJXH1SaUi6tsDjUR9Md" TargetMode="External"/><Relationship Id="rId1223" Type="http://schemas.openxmlformats.org/officeDocument/2006/relationships/hyperlink" Target="https://drive.google.com/open?id=1v83FBKny1GBBSitaMS7viYyjn0xLp2LP" TargetMode="External"/><Relationship Id="rId1430" Type="http://schemas.openxmlformats.org/officeDocument/2006/relationships/hyperlink" Target="https://drive.google.com/file/d/1NfcNLlwDtr1m0YTnn4NbKLl4Z3KzNQ3j/view?usp=drivesdk" TargetMode="External"/><Relationship Id="rId232" Type="http://schemas.openxmlformats.org/officeDocument/2006/relationships/hyperlink" Target="https://drive.google.com/open?id=1HfC19LdDd8dOFq6VALCq6kjBPVzshWwJ" TargetMode="External"/><Relationship Id="rId884" Type="http://schemas.openxmlformats.org/officeDocument/2006/relationships/hyperlink" Target="https://drive.google.com/open?id=160DqZ4OJxniq6jRPReW4Huz13RD01B4z" TargetMode="External"/><Relationship Id="rId27" Type="http://schemas.openxmlformats.org/officeDocument/2006/relationships/hyperlink" Target="https://drive.google.com/file/d/1rbCJ9fGlKrMK_wX_lh4yjxkZXgs290vw/view?usp=drivesdk" TargetMode="External"/><Relationship Id="rId537" Type="http://schemas.openxmlformats.org/officeDocument/2006/relationships/hyperlink" Target="https://drive.google.com/open?id=1Me8dVHsDyPxsdG-wXNb46kVnrH8-06uY" TargetMode="External"/><Relationship Id="rId744" Type="http://schemas.openxmlformats.org/officeDocument/2006/relationships/hyperlink" Target="https://drive.google.com/open?id=1UO2QMZyQIsuc0KmLlmhAA5JV9kSceoZj" TargetMode="External"/><Relationship Id="rId951" Type="http://schemas.openxmlformats.org/officeDocument/2006/relationships/hyperlink" Target="https://drive.google.com/file/d/1nqxQyNaRpNFEb4xwYQjWBBZlQreA7e0L/view?usp=drivesdk" TargetMode="External"/><Relationship Id="rId1167" Type="http://schemas.openxmlformats.org/officeDocument/2006/relationships/hyperlink" Target="https://drive.google.com/file/d/1CkLLctcAjdnnYtJFkvDNWB_ruoFOdfL6/view?usp=drivesdk" TargetMode="External"/><Relationship Id="rId1374" Type="http://schemas.openxmlformats.org/officeDocument/2006/relationships/hyperlink" Target="https://drive.google.com/file/d/1rhmKgEI7_j-w0rdWdI5k5msKlzzkaMuh/view?usp=drivesdk" TargetMode="External"/><Relationship Id="rId80" Type="http://schemas.openxmlformats.org/officeDocument/2006/relationships/hyperlink" Target="https://drive.google.com/open?id=1f7BauV_HURJdeOaOy528B_BsEqCXVuVk" TargetMode="External"/><Relationship Id="rId176" Type="http://schemas.openxmlformats.org/officeDocument/2006/relationships/hyperlink" Target="https://drive.google.com/file/d/1lm7G6G0V-aMxLKnGbSeW2X4A_jqH-iOM/view?usp=drivesdk" TargetMode="External"/><Relationship Id="rId383" Type="http://schemas.openxmlformats.org/officeDocument/2006/relationships/hyperlink" Target="https://drive.google.com/file/d/1TsNAotglyDgb9qvIrMP7sSu5d4kB7lbv/view?usp=drivesdk" TargetMode="External"/><Relationship Id="rId590" Type="http://schemas.openxmlformats.org/officeDocument/2006/relationships/hyperlink" Target="https://drive.google.com/file/d/1rtlfWWn2xs0Tx-oUFXhdpn-c5dkACWqa/view?usp=drivesdk" TargetMode="External"/><Relationship Id="rId604" Type="http://schemas.openxmlformats.org/officeDocument/2006/relationships/hyperlink" Target="https://drive.google.com/file/d/1hiw6WxDPMtUiGVUvBi4T3MDwghQkpmeq/view?usp=drivesdk" TargetMode="External"/><Relationship Id="rId811" Type="http://schemas.openxmlformats.org/officeDocument/2006/relationships/hyperlink" Target="https://drive.google.com/file/d/1qw4uCj9D8iS8VcKejrK40GjDAuM-Ee7t/view?usp=drivesdk" TargetMode="External"/><Relationship Id="rId1027" Type="http://schemas.openxmlformats.org/officeDocument/2006/relationships/hyperlink" Target="https://drive.google.com/file/d/1oQmfNwb2GY6C6FfIwdygt9IycthsCXw8/view?usp=drivesdk" TargetMode="External"/><Relationship Id="rId1234" Type="http://schemas.openxmlformats.org/officeDocument/2006/relationships/hyperlink" Target="https://drive.google.com/file/d/1323_pVJWkpPdKo5yx74qXN6OZF2qsUU2/view?usp=drivesdk" TargetMode="External"/><Relationship Id="rId1441" Type="http://schemas.openxmlformats.org/officeDocument/2006/relationships/hyperlink" Target="https://drive.google.com/open?id=1R2sBeS-7jgVwHsMl0iY8VJVPw4dFs1r4" TargetMode="External"/><Relationship Id="rId243" Type="http://schemas.openxmlformats.org/officeDocument/2006/relationships/hyperlink" Target="https://drive.google.com/open?id=12k9bHA_DRXTNDzOqxM4jgu_VciwB8nxF" TargetMode="External"/><Relationship Id="rId450" Type="http://schemas.openxmlformats.org/officeDocument/2006/relationships/hyperlink" Target="https://drive.google.com/file/d/16nVVy5hh84wUtxqgQbGdfU3Sh_-2Qj6K/view?usp=drivesdk" TargetMode="External"/><Relationship Id="rId688" Type="http://schemas.openxmlformats.org/officeDocument/2006/relationships/hyperlink" Target="https://drive.google.com/open?id=1zydE7SvMfDEOZmT6HIWXthmyDF5c80Zd" TargetMode="External"/><Relationship Id="rId895" Type="http://schemas.openxmlformats.org/officeDocument/2006/relationships/hyperlink" Target="https://drive.google.com/file/d/1lJDHDWTC4b4N5AY_5eUzUqELUSdIGASQ/view?usp=drivesdk" TargetMode="External"/><Relationship Id="rId909" Type="http://schemas.openxmlformats.org/officeDocument/2006/relationships/hyperlink" Target="https://drive.google.com/file/d/1kNKfXsCOegfStTxhRt3SKeeG3f_sDS2K/view?usp=drivesdk" TargetMode="External"/><Relationship Id="rId1080" Type="http://schemas.openxmlformats.org/officeDocument/2006/relationships/hyperlink" Target="https://drive.google.com/open?id=1nqVG0QxjBuqAKC-rN65tpOlOpYJ_UF1k" TargetMode="External"/><Relationship Id="rId1301" Type="http://schemas.openxmlformats.org/officeDocument/2006/relationships/hyperlink" Target="https://drive.google.com/file/d/1wEdFI6NYmUsM_0ttlZqEQPjPUpqcNVhz/view?usp=drivesdk" TargetMode="External"/><Relationship Id="rId38" Type="http://schemas.openxmlformats.org/officeDocument/2006/relationships/hyperlink" Target="https://drive.google.com/open?id=1layLAjEW5waE-PElONo6q_d02rozq-Fj" TargetMode="External"/><Relationship Id="rId103" Type="http://schemas.openxmlformats.org/officeDocument/2006/relationships/hyperlink" Target="https://drive.google.com/open?id=1sK6HeLqWPPg_hDzXX8TStXEgzC_J0OtB" TargetMode="External"/><Relationship Id="rId310" Type="http://schemas.openxmlformats.org/officeDocument/2006/relationships/hyperlink" Target="https://drive.google.com/open?id=1SqEdAp4mLI3TGWzxn_881Sn1EKvIRWdE" TargetMode="External"/><Relationship Id="rId548" Type="http://schemas.openxmlformats.org/officeDocument/2006/relationships/hyperlink" Target="https://drive.google.com/file/d/1aQSJCdp_T5YsEa3fsVFkzGKfQWOcjoIw/view?usp=drivesdk" TargetMode="External"/><Relationship Id="rId755" Type="http://schemas.openxmlformats.org/officeDocument/2006/relationships/hyperlink" Target="https://drive.google.com/file/d/18J9nNY5L8BGqFGsntDvQ6Ruhvdo-U0Xs/view?usp=drivesdk" TargetMode="External"/><Relationship Id="rId962" Type="http://schemas.openxmlformats.org/officeDocument/2006/relationships/hyperlink" Target="https://drive.google.com/open?id=1RHJM-eXHIb33kqNkSethHJpm1sq7ca02" TargetMode="External"/><Relationship Id="rId1178" Type="http://schemas.openxmlformats.org/officeDocument/2006/relationships/hyperlink" Target="https://drive.google.com/open?id=1RYmX3PP_cTGitNzkgTyGDhu7IvMct2qf" TargetMode="External"/><Relationship Id="rId1385" Type="http://schemas.openxmlformats.org/officeDocument/2006/relationships/hyperlink" Target="https://drive.google.com/open?id=1xkhhRuFeVHjyb-FuY43pHfS-VSF2Wwxx" TargetMode="External"/><Relationship Id="rId91" Type="http://schemas.openxmlformats.org/officeDocument/2006/relationships/hyperlink" Target="https://drive.google.com/open?id=1RmOfQW2PGka_V6WNPufdkcdoh--62LC-" TargetMode="External"/><Relationship Id="rId187" Type="http://schemas.openxmlformats.org/officeDocument/2006/relationships/hyperlink" Target="https://drive.google.com/open?id=1L8m_8cl_sFHRLFbZwZzkm7-namnXLEIX" TargetMode="External"/><Relationship Id="rId394" Type="http://schemas.openxmlformats.org/officeDocument/2006/relationships/hyperlink" Target="https://drive.google.com/open?id=1lgdTeLYu4GKAZTieHMdp98vhLTCwn72t" TargetMode="External"/><Relationship Id="rId408" Type="http://schemas.openxmlformats.org/officeDocument/2006/relationships/hyperlink" Target="https://drive.google.com/open?id=1hAfHwzP_fB-FZ6KakenKOS8iwjZhQA2V" TargetMode="External"/><Relationship Id="rId615" Type="http://schemas.openxmlformats.org/officeDocument/2006/relationships/hyperlink" Target="https://drive.google.com/open?id=1qORfn9hv47dL44H77i3kFw4uX5gvm1W0" TargetMode="External"/><Relationship Id="rId822" Type="http://schemas.openxmlformats.org/officeDocument/2006/relationships/hyperlink" Target="https://drive.google.com/open?id=1CKwa6m6MWkD8ZhKVe6pJ4doGMuLYXXHO" TargetMode="External"/><Relationship Id="rId1038" Type="http://schemas.openxmlformats.org/officeDocument/2006/relationships/hyperlink" Target="https://drive.google.com/open?id=1MlLH0gRPe6rInuyIzEsDf_W83-3Bil4l" TargetMode="External"/><Relationship Id="rId1245" Type="http://schemas.openxmlformats.org/officeDocument/2006/relationships/hyperlink" Target="https://drive.google.com/file/d/1xbds6YNQ46SsOgkd4w5qexJPv2PIWEdI/view?usp=drivesdk" TargetMode="External"/><Relationship Id="rId1452" Type="http://schemas.openxmlformats.org/officeDocument/2006/relationships/hyperlink" Target="https://drive.google.com/file/d/13ViJJz43zGKN93TLJ-p2yMBCePMkvs_g/view?usp=drivesdk" TargetMode="External"/><Relationship Id="rId254" Type="http://schemas.openxmlformats.org/officeDocument/2006/relationships/hyperlink" Target="https://drive.google.com/file/d/13rZqOsiZOxqbxy9zarqPCCb0ToKglWNz/view?usp=drivesdk" TargetMode="External"/><Relationship Id="rId699" Type="http://schemas.openxmlformats.org/officeDocument/2006/relationships/hyperlink" Target="https://drive.google.com/open?id=1cZpxA5P2RE8_b3_XQbvPIWvKwors5WZ9" TargetMode="External"/><Relationship Id="rId1091" Type="http://schemas.openxmlformats.org/officeDocument/2006/relationships/hyperlink" Target="https://drive.google.com/file/d/107HO3X8vtE8GrNDjeFMTTh39qJA746Y5/view?usp=drivesdk" TargetMode="External"/><Relationship Id="rId1105" Type="http://schemas.openxmlformats.org/officeDocument/2006/relationships/hyperlink" Target="https://drive.google.com/open?id=1gu7ZYtq1c2_UxhYPLutDPCxdAGtp1X_h" TargetMode="External"/><Relationship Id="rId1312" Type="http://schemas.openxmlformats.org/officeDocument/2006/relationships/hyperlink" Target="https://drive.google.com/open?id=1LT_CiyM4vAIJbtUkf6Kr9y4X1y0RgWQj" TargetMode="External"/><Relationship Id="rId49" Type="http://schemas.openxmlformats.org/officeDocument/2006/relationships/hyperlink" Target="https://drive.google.com/file/d/14gP-SNC_bdljk1sN3rMS-CeoNsr9HoU1/view?usp=drivesdk" TargetMode="External"/><Relationship Id="rId114" Type="http://schemas.openxmlformats.org/officeDocument/2006/relationships/hyperlink" Target="https://drive.google.com/open?id=1fjNxsrf9W7fYUvRpAigsHGf_U1kBjS3X" TargetMode="External"/><Relationship Id="rId461" Type="http://schemas.openxmlformats.org/officeDocument/2006/relationships/hyperlink" Target="https://drive.google.com/open?id=1ppJ7QM1vKk6nfbghKfz0Rm4-ZuVGPbjA" TargetMode="External"/><Relationship Id="rId559" Type="http://schemas.openxmlformats.org/officeDocument/2006/relationships/hyperlink" Target="https://drive.google.com/open?id=1VnTLp2RssADWEGe-TRFaZFimwy_pyA55" TargetMode="External"/><Relationship Id="rId766" Type="http://schemas.openxmlformats.org/officeDocument/2006/relationships/hyperlink" Target="https://drive.google.com/open?id=1Q6fmkvSdCQHmaKQiQE804IKcb8rXjSjD" TargetMode="External"/><Relationship Id="rId1189" Type="http://schemas.openxmlformats.org/officeDocument/2006/relationships/hyperlink" Target="https://drive.google.com/file/d/1ZtPVaiANyy-vXziwg2f_Cr9JMaP-y9dy/view?usp=drivesdk" TargetMode="External"/><Relationship Id="rId1396" Type="http://schemas.openxmlformats.org/officeDocument/2006/relationships/hyperlink" Target="https://drive.google.com/file/d/13PpbquMEKWeSRkQLVPmg7WKWmre33Z29/view?usp=drivesdk" TargetMode="External"/><Relationship Id="rId198" Type="http://schemas.openxmlformats.org/officeDocument/2006/relationships/hyperlink" Target="https://drive.google.com/file/d/1C0ppqcVAE73l1qoHaWlVQpzM4wbVRANl/view?usp=drivesdk" TargetMode="External"/><Relationship Id="rId321" Type="http://schemas.openxmlformats.org/officeDocument/2006/relationships/hyperlink" Target="https://drive.google.com/file/d/1OKBEjvL1ALaRGaJrD67AFpjuSAGzBQM_/view?usp=drivesdk" TargetMode="External"/><Relationship Id="rId419" Type="http://schemas.openxmlformats.org/officeDocument/2006/relationships/hyperlink" Target="https://drive.google.com/open?id=18Hnz_M50p9mFjB8Ka7MFGAWKKC_X2Q16" TargetMode="External"/><Relationship Id="rId626" Type="http://schemas.openxmlformats.org/officeDocument/2006/relationships/hyperlink" Target="https://drive.google.com/file/d/1S-b8hegOSSfjLIdKNCyXyXpHTAY3fKm8/view?usp=drivesdk" TargetMode="External"/><Relationship Id="rId973" Type="http://schemas.openxmlformats.org/officeDocument/2006/relationships/hyperlink" Target="https://drive.google.com/file/d/1xV8gQn1VAFpHzUTyceag1u7yyYXc7Jqe/view?usp=drivesdk" TargetMode="External"/><Relationship Id="rId1049" Type="http://schemas.openxmlformats.org/officeDocument/2006/relationships/hyperlink" Target="https://drive.google.com/file/d/15JHpWacK7jnxWfBnxDotxCJTaPcDWY0T/view?usp=drivesdk" TargetMode="External"/><Relationship Id="rId1256" Type="http://schemas.openxmlformats.org/officeDocument/2006/relationships/hyperlink" Target="https://drive.google.com/open?id=1p9Bj0y7AFUgPLf9Ogmp988ZR17N2Gf1g" TargetMode="External"/><Relationship Id="rId833" Type="http://schemas.openxmlformats.org/officeDocument/2006/relationships/hyperlink" Target="https://drive.google.com/file/d/1ZDYM0kjpN13FzI1Xj7forpu5z9JleoM7/view?usp=drivesdk" TargetMode="External"/><Relationship Id="rId1116" Type="http://schemas.openxmlformats.org/officeDocument/2006/relationships/hyperlink" Target="https://drive.google.com/file/d/1nug1A9Ta55O-bfX-wvT2uZLJ8LEBAlrj/view?usp=drivesdk" TargetMode="External"/><Relationship Id="rId1463" Type="http://schemas.openxmlformats.org/officeDocument/2006/relationships/hyperlink" Target="https://drive.google.com/open?id=1oaiJr-PMpKGXSajEEub2KPlgD3HUTHlS" TargetMode="External"/><Relationship Id="rId265" Type="http://schemas.openxmlformats.org/officeDocument/2006/relationships/hyperlink" Target="https://drive.google.com/file/d/1PiW4wgkQUxH-stP1a3E-gSE2P4VckBx5/view?usp=drivesdk" TargetMode="External"/><Relationship Id="rId472" Type="http://schemas.openxmlformats.org/officeDocument/2006/relationships/hyperlink" Target="https://drive.google.com/open?id=1Csv2I1THOik7fTjMdDb5gAkw5Znrapqs" TargetMode="External"/><Relationship Id="rId900" Type="http://schemas.openxmlformats.org/officeDocument/2006/relationships/hyperlink" Target="https://drive.google.com/open?id=1zU90AhAXUlbwMzTc-ufszPOKwIQ7ypKH" TargetMode="External"/><Relationship Id="rId1323" Type="http://schemas.openxmlformats.org/officeDocument/2006/relationships/hyperlink" Target="https://drive.google.com/file/d/1Fheeu5VqDzme8b5BnAnmJkw_vgz1agoH/view?usp=drivesdk" TargetMode="External"/><Relationship Id="rId125" Type="http://schemas.openxmlformats.org/officeDocument/2006/relationships/hyperlink" Target="https://drive.google.com/open?id=1s3LFdyMeqFalnRmaui5QMwT40phv-BJm" TargetMode="External"/><Relationship Id="rId332" Type="http://schemas.openxmlformats.org/officeDocument/2006/relationships/hyperlink" Target="https://drive.google.com/open?id=1aVbrSwm3boJBKSU3ogAX4aVnnvwZoCu3" TargetMode="External"/><Relationship Id="rId777" Type="http://schemas.openxmlformats.org/officeDocument/2006/relationships/hyperlink" Target="https://drive.google.com/file/d/1yTaQgJbLzS3zwuqT2_r8p9ntZNwGkDlv/view?usp=drivesdk" TargetMode="External"/><Relationship Id="rId984" Type="http://schemas.openxmlformats.org/officeDocument/2006/relationships/hyperlink" Target="https://drive.google.com/open?id=1eOqIp1V-ugnrqYD5LYHkcchcrufJESAQ" TargetMode="External"/><Relationship Id="rId637" Type="http://schemas.openxmlformats.org/officeDocument/2006/relationships/hyperlink" Target="https://drive.google.com/open?id=1Zn_3k2SjDwwOMG108RGkytC2YJMMqXk7" TargetMode="External"/><Relationship Id="rId844" Type="http://schemas.openxmlformats.org/officeDocument/2006/relationships/hyperlink" Target="https://drive.google.com/open?id=1Hg9bcDp18NpZSoBl5KScL2DyiMYmjCwm" TargetMode="External"/><Relationship Id="rId1267" Type="http://schemas.openxmlformats.org/officeDocument/2006/relationships/hyperlink" Target="https://drive.google.com/file/d/157LSqP5QRwYemidnsEiKcFJTUYXKbGtE/view?usp=drivesdk" TargetMode="External"/><Relationship Id="rId276" Type="http://schemas.openxmlformats.org/officeDocument/2006/relationships/hyperlink" Target="https://drive.google.com/open?id=1rVSWerSSds2sIBwXetzZDjbcuztf1x9s" TargetMode="External"/><Relationship Id="rId483" Type="http://schemas.openxmlformats.org/officeDocument/2006/relationships/hyperlink" Target="https://drive.google.com/open?id=14Nw0w4Dx_o1Nq63H-dmu3WFWYHURnRUG" TargetMode="External"/><Relationship Id="rId690" Type="http://schemas.openxmlformats.org/officeDocument/2006/relationships/hyperlink" Target="https://drive.google.com/open?id=19mJjqDXUjmBh1y045GmmuY0k9O1wG_8x" TargetMode="External"/><Relationship Id="rId704" Type="http://schemas.openxmlformats.org/officeDocument/2006/relationships/hyperlink" Target="https://drive.google.com/open?id=1P9GETMCZuDRzZgKdSxk5zWGFoSP12QmI" TargetMode="External"/><Relationship Id="rId911" Type="http://schemas.openxmlformats.org/officeDocument/2006/relationships/hyperlink" Target="https://drive.google.com/file/d/15T5WlDn38pyUwh2pti0lFT8V19xoeMvl/view?usp=drivesdk" TargetMode="External"/><Relationship Id="rId1127" Type="http://schemas.openxmlformats.org/officeDocument/2006/relationships/hyperlink" Target="https://drive.google.com/open?id=1vrQEjquL7k7jrX06CF6k3jjekstXgik7" TargetMode="External"/><Relationship Id="rId1334" Type="http://schemas.openxmlformats.org/officeDocument/2006/relationships/hyperlink" Target="https://drive.google.com/file/d/1cHd3F6_F6C5BO5g21njvRkbMCjHJujR0/view?usp=drivesdk" TargetMode="External"/><Relationship Id="rId40" Type="http://schemas.openxmlformats.org/officeDocument/2006/relationships/hyperlink" Target="https://drive.google.com/open?id=1VFbJnLngCWLAnS2WIsiPL5ZOy0hUYxra" TargetMode="External"/><Relationship Id="rId136" Type="http://schemas.openxmlformats.org/officeDocument/2006/relationships/hyperlink" Target="https://drive.google.com/open?id=1J29laIM0JiLBc8SqJgIInKanMKUsWC-U" TargetMode="External"/><Relationship Id="rId343" Type="http://schemas.openxmlformats.org/officeDocument/2006/relationships/hyperlink" Target="https://drive.google.com/open?id=1qxlekTV6tWTxtBl4bqCMQvYr_Pzx9NHe" TargetMode="External"/><Relationship Id="rId550" Type="http://schemas.openxmlformats.org/officeDocument/2006/relationships/hyperlink" Target="https://drive.google.com/file/d/1-wAfm0Gd8Wg47NhB1HdDqxj226rwNx7o/view?usp=drivesdk" TargetMode="External"/><Relationship Id="rId788" Type="http://schemas.openxmlformats.org/officeDocument/2006/relationships/hyperlink" Target="https://drive.google.com/open?id=1v2q-4kh4YqQW12ZM3u-DtKWZeXttuLQY" TargetMode="External"/><Relationship Id="rId995" Type="http://schemas.openxmlformats.org/officeDocument/2006/relationships/hyperlink" Target="https://drive.google.com/file/d/1QJflHK9gUEMbudKwmZbzmUtR5XS4wxeW/view?usp=drivesdk" TargetMode="External"/><Relationship Id="rId1180" Type="http://schemas.openxmlformats.org/officeDocument/2006/relationships/hyperlink" Target="https://drive.google.com/open?id=1JEmirqhlHGnDdazFWTdtoRMcmXWaHv_7" TargetMode="External"/><Relationship Id="rId1401" Type="http://schemas.openxmlformats.org/officeDocument/2006/relationships/hyperlink" Target="https://drive.google.com/open?id=1GYoEtejtQIj2iF_VhxKXzqAA0LSr1no8" TargetMode="External"/><Relationship Id="rId203" Type="http://schemas.openxmlformats.org/officeDocument/2006/relationships/hyperlink" Target="https://drive.google.com/open?id=1n1k3SqTPXXdb95exagphXtp8hoPs_bRe" TargetMode="External"/><Relationship Id="rId648" Type="http://schemas.openxmlformats.org/officeDocument/2006/relationships/hyperlink" Target="https://drive.google.com/open?id=1koccTZvq0-DWYxDEU4pijkrtdAMdaxTK" TargetMode="External"/><Relationship Id="rId855" Type="http://schemas.openxmlformats.org/officeDocument/2006/relationships/hyperlink" Target="https://drive.google.com/file/d/1K_KOuL6nmsLW7JKoF3Oh4LJgDFWbiCQ9/view?usp=drivesdk" TargetMode="External"/><Relationship Id="rId1040" Type="http://schemas.openxmlformats.org/officeDocument/2006/relationships/hyperlink" Target="https://drive.google.com/open?id=1HTAjVAQgj_8OSj3zb9ldUm8P76GVwH0r" TargetMode="External"/><Relationship Id="rId1278" Type="http://schemas.openxmlformats.org/officeDocument/2006/relationships/hyperlink" Target="https://drive.google.com/open?id=1gC88TxgesZRhtmpij54ZGfOqQCXejJL1" TargetMode="External"/><Relationship Id="rId287" Type="http://schemas.openxmlformats.org/officeDocument/2006/relationships/hyperlink" Target="https://drive.google.com/open?id=17HDw2X4bPAcV6aZ_58w_UQXdf1SPztG-" TargetMode="External"/><Relationship Id="rId410" Type="http://schemas.openxmlformats.org/officeDocument/2006/relationships/hyperlink" Target="https://drive.google.com/open?id=1n1bjRQS5DuAlmzN5yOSi2HalNKZ8ykQX" TargetMode="External"/><Relationship Id="rId494" Type="http://schemas.openxmlformats.org/officeDocument/2006/relationships/hyperlink" Target="https://drive.google.com/open?id=1-DdCbENZ896NU6TMcN-luCbTS4eVcul_" TargetMode="External"/><Relationship Id="rId508" Type="http://schemas.openxmlformats.org/officeDocument/2006/relationships/hyperlink" Target="https://drive.google.com/open?id=1DyILU09kvA1eiqedbfSlVDCp5rm9loHP" TargetMode="External"/><Relationship Id="rId715" Type="http://schemas.openxmlformats.org/officeDocument/2006/relationships/hyperlink" Target="https://drive.google.com/file/d/1BzpDKwXRp0rDo1By5ypTg9IzF4hR9_B9/view?usp=drivesdk" TargetMode="External"/><Relationship Id="rId922" Type="http://schemas.openxmlformats.org/officeDocument/2006/relationships/hyperlink" Target="https://drive.google.com/open?id=1qny-eRJWYtDMp16kDUlrZgHEKA0CMQ1H" TargetMode="External"/><Relationship Id="rId1138" Type="http://schemas.openxmlformats.org/officeDocument/2006/relationships/hyperlink" Target="https://drive.google.com/file/d/1n9gNSSMOAxxAsU4hK9wcHuQZZ_XAUXGI/view?usp=drivesdk" TargetMode="External"/><Relationship Id="rId1345" Type="http://schemas.openxmlformats.org/officeDocument/2006/relationships/hyperlink" Target="https://drive.google.com/open?id=153gUCuMEKo2w7v0DEC1TdUmCIvZJe-dc" TargetMode="External"/><Relationship Id="rId147" Type="http://schemas.openxmlformats.org/officeDocument/2006/relationships/hyperlink" Target="https://drive.google.com/open?id=188LySejn2nonP8yXnS7kCg4ra4DoxsYv" TargetMode="External"/><Relationship Id="rId354" Type="http://schemas.openxmlformats.org/officeDocument/2006/relationships/hyperlink" Target="https://drive.google.com/open?id=1-Ph51Jh-5i3msUlTZ0TZQaW0hBbCjU6B" TargetMode="External"/><Relationship Id="rId799" Type="http://schemas.openxmlformats.org/officeDocument/2006/relationships/hyperlink" Target="https://drive.google.com/file/d/1lUnVNWaT1JkVwkQYtKLAwZQlYcE21BYX/view?usp=drivesdk" TargetMode="External"/><Relationship Id="rId1191" Type="http://schemas.openxmlformats.org/officeDocument/2006/relationships/hyperlink" Target="https://drive.google.com/file/d/1qe5by5Nc2z4XWthZwJFGtMphwumafAz7/view?usp=drivesdk" TargetMode="External"/><Relationship Id="rId1205" Type="http://schemas.openxmlformats.org/officeDocument/2006/relationships/hyperlink" Target="https://drive.google.com/file/d/1zXW4NVKCL2cxjuVvRTRhcJmGWO1J7_ds/view?usp=drivesdk" TargetMode="External"/><Relationship Id="rId51" Type="http://schemas.openxmlformats.org/officeDocument/2006/relationships/hyperlink" Target="https://drive.google.com/file/d/1Tmk_OEOPy4g1cxTddw5k7pd1DTl4IJ_W/view?usp=drivesdk" TargetMode="External"/><Relationship Id="rId561" Type="http://schemas.openxmlformats.org/officeDocument/2006/relationships/hyperlink" Target="https://drive.google.com/open?id=19bPE9ePboSHsz_byAoz0CN4WeHJHzHWe" TargetMode="External"/><Relationship Id="rId659" Type="http://schemas.openxmlformats.org/officeDocument/2006/relationships/hyperlink" Target="https://drive.google.com/file/d/1QMltR8fXxv3Mb-vfjO56WoVG25rNwxwy/view?usp=drivesdk" TargetMode="External"/><Relationship Id="rId866" Type="http://schemas.openxmlformats.org/officeDocument/2006/relationships/hyperlink" Target="https://drive.google.com/open?id=1ILxxsUEwtJCUli0QlYVcpUCr_-AthHff" TargetMode="External"/><Relationship Id="rId1289" Type="http://schemas.openxmlformats.org/officeDocument/2006/relationships/hyperlink" Target="https://drive.google.com/file/d/1P_j9SXl3p5-a6zDF8ELpG6mvRk3lnF1h/view?usp=drivesdk" TargetMode="External"/><Relationship Id="rId1412" Type="http://schemas.openxmlformats.org/officeDocument/2006/relationships/hyperlink" Target="https://drive.google.com/file/d/1yI85D0qfO3k_q2YWnOQlbI1TJeoCXrI-/view?usp=drivesdk" TargetMode="External"/><Relationship Id="rId214" Type="http://schemas.openxmlformats.org/officeDocument/2006/relationships/hyperlink" Target="https://drive.google.com/open?id=13BgRupaXjFWMGvBMOeHShfiUjNb4_Iz7" TargetMode="External"/><Relationship Id="rId298" Type="http://schemas.openxmlformats.org/officeDocument/2006/relationships/hyperlink" Target="https://drive.google.com/open?id=1bJY29P4Hyr6NOH3T8DfQ_hK_CpWR1CXd" TargetMode="External"/><Relationship Id="rId421" Type="http://schemas.openxmlformats.org/officeDocument/2006/relationships/hyperlink" Target="https://drive.google.com/open?id=1X1aT8TXvkoCxliWzU20eIqfuKa4g4V1x" TargetMode="External"/><Relationship Id="rId519" Type="http://schemas.openxmlformats.org/officeDocument/2006/relationships/hyperlink" Target="https://drive.google.com/open?id=1zskTzHs47dnrHFEEzXU9Z7Irot3Ajczm" TargetMode="External"/><Relationship Id="rId1051" Type="http://schemas.openxmlformats.org/officeDocument/2006/relationships/hyperlink" Target="https://drive.google.com/file/d/1kKwBRn0UfewJ2eJXRDw8D0r4TQ88kJyJ/view?usp=drivesdk" TargetMode="External"/><Relationship Id="rId1149" Type="http://schemas.openxmlformats.org/officeDocument/2006/relationships/hyperlink" Target="https://drive.google.com/file/d/1MS_g9uzZojfNZChvaaR1T5_sT5hWR2h5/view?usp=drivesdk" TargetMode="External"/><Relationship Id="rId1356" Type="http://schemas.openxmlformats.org/officeDocument/2006/relationships/hyperlink" Target="https://drive.google.com/file/d/1NftX41K8gijv2Wgh0K2UhvDI3kXFJEtt/view?usp=drivesdk" TargetMode="External"/><Relationship Id="rId158" Type="http://schemas.openxmlformats.org/officeDocument/2006/relationships/hyperlink" Target="https://drive.google.com/open?id=15rkxskjSSz2NXTeNdUa9TKNTwVqBehWa" TargetMode="External"/><Relationship Id="rId726" Type="http://schemas.openxmlformats.org/officeDocument/2006/relationships/hyperlink" Target="https://drive.google.com/open?id=1UuDuhLSE3VFFPtxoOqulaoo1fjlxxpzZ" TargetMode="External"/><Relationship Id="rId933" Type="http://schemas.openxmlformats.org/officeDocument/2006/relationships/hyperlink" Target="https://drive.google.com/file/d/117zvBxoeH5lITTjVYHmX43XjY_PObt-q/view?usp=drivesdk" TargetMode="External"/><Relationship Id="rId1009" Type="http://schemas.openxmlformats.org/officeDocument/2006/relationships/hyperlink" Target="https://drive.google.com/file/d/1HMr4UuX89ttJQDdcCyLUkvbbVzlaQoYn/view?usp=drivesdk" TargetMode="External"/><Relationship Id="rId62" Type="http://schemas.openxmlformats.org/officeDocument/2006/relationships/hyperlink" Target="https://drive.google.com/open?id=1FncvB5Vcx9so08LAIrt9gIqtGLq8KJY4" TargetMode="External"/><Relationship Id="rId365" Type="http://schemas.openxmlformats.org/officeDocument/2006/relationships/hyperlink" Target="https://drive.google.com/file/d/1i6t39B9Ffwzu4D31TUJ__PcOSc-6frsP/view?usp=drivesdk" TargetMode="External"/><Relationship Id="rId572" Type="http://schemas.openxmlformats.org/officeDocument/2006/relationships/hyperlink" Target="https://drive.google.com/file/d/1bv5xsUkhpvuplo9p5E3aTFSWH69EgPIW/view?usp=drivesdk" TargetMode="External"/><Relationship Id="rId1216" Type="http://schemas.openxmlformats.org/officeDocument/2006/relationships/hyperlink" Target="https://drive.google.com/file/d/1Iul1Qk6eLgmS_PqCdpa65qbmF_ASNUa_/view?usp=drivesdk" TargetMode="External"/><Relationship Id="rId1423" Type="http://schemas.openxmlformats.org/officeDocument/2006/relationships/hyperlink" Target="https://drive.google.com/open?id=1dYCgGjw4k3VWeR_WMLzSxnjTKQ8RbEPo" TargetMode="External"/><Relationship Id="rId225" Type="http://schemas.openxmlformats.org/officeDocument/2006/relationships/hyperlink" Target="https://drive.google.com/file/d/1OMB9Rz-6NUlJIfq3D9a4RDDKlp0vSnR8/view?usp=drivesdk" TargetMode="External"/><Relationship Id="rId432" Type="http://schemas.openxmlformats.org/officeDocument/2006/relationships/hyperlink" Target="https://drive.google.com/file/d/1rwG1Ppf_AoT52UiJE1KY8OxPE6DHDzbG/view?usp=drivesdk" TargetMode="External"/><Relationship Id="rId877" Type="http://schemas.openxmlformats.org/officeDocument/2006/relationships/hyperlink" Target="https://drive.google.com/file/d/1-1JE9pT3RsrKF_hau69K0nHuW9cP3tCx/view?usp=drivesdk" TargetMode="External"/><Relationship Id="rId1062" Type="http://schemas.openxmlformats.org/officeDocument/2006/relationships/hyperlink" Target="https://drive.google.com/open?id=1zA4t6KY12jdR8fA99uYSQkNiu1Wk9I18" TargetMode="External"/><Relationship Id="rId737" Type="http://schemas.openxmlformats.org/officeDocument/2006/relationships/hyperlink" Target="https://drive.google.com/file/d/12oBorBhGy_-HQv8GzVrbpXrkmF9LmUXI/view?usp=drivesdk" TargetMode="External"/><Relationship Id="rId944" Type="http://schemas.openxmlformats.org/officeDocument/2006/relationships/hyperlink" Target="https://drive.google.com/open?id=1LzXhyAyvSeWqcJfrTQGqMHQekdKMZ3PF" TargetMode="External"/><Relationship Id="rId1367" Type="http://schemas.openxmlformats.org/officeDocument/2006/relationships/hyperlink" Target="https://drive.google.com/open?id=1XXbdSdJbRvNGlFJP9anxI0YAtpOGvZrw" TargetMode="External"/><Relationship Id="rId73" Type="http://schemas.openxmlformats.org/officeDocument/2006/relationships/hyperlink" Target="https://drive.google.com/open?id=1N4I-rJoRqYO6-z-q8FDA3RPsKlCAo8yZ" TargetMode="External"/><Relationship Id="rId169" Type="http://schemas.openxmlformats.org/officeDocument/2006/relationships/hyperlink" Target="https://drive.google.com/file/d/14Go4fTBTqrN3sJF1t0fq4D2U1KhRgpua/view?usp=drivesdk" TargetMode="External"/><Relationship Id="rId376" Type="http://schemas.openxmlformats.org/officeDocument/2006/relationships/hyperlink" Target="https://drive.google.com/open?id=1hUMMcxVNvSrF3fTN8STHNMfFPvuoU3s5" TargetMode="External"/><Relationship Id="rId583" Type="http://schemas.openxmlformats.org/officeDocument/2006/relationships/hyperlink" Target="https://drive.google.com/open?id=1rQRHN3sbdFM66X4KHudoOxzm69DvRer_" TargetMode="External"/><Relationship Id="rId790" Type="http://schemas.openxmlformats.org/officeDocument/2006/relationships/hyperlink" Target="https://drive.google.com/open?id=1y2qD4wd4tDgkcXaQD7yK5oTP4OfOIvjX" TargetMode="External"/><Relationship Id="rId804" Type="http://schemas.openxmlformats.org/officeDocument/2006/relationships/hyperlink" Target="https://drive.google.com/open?id=1nIE6jOgAy4YB0t71f9BX0D97VO5qmEYi" TargetMode="External"/><Relationship Id="rId1227" Type="http://schemas.openxmlformats.org/officeDocument/2006/relationships/hyperlink" Target="https://drive.google.com/open?id=1VtQfaBvdtArS9JAuS97SuIW-0T75kNSp" TargetMode="External"/><Relationship Id="rId1434" Type="http://schemas.openxmlformats.org/officeDocument/2006/relationships/hyperlink" Target="https://drive.google.com/file/d/1cCPWFCoDCqD_AcBFA0H58gw7ygUYBJ43/view?usp=drivesdk" TargetMode="External"/><Relationship Id="rId4" Type="http://schemas.openxmlformats.org/officeDocument/2006/relationships/hyperlink" Target="https://drive.google.com/open?id=1-nHm9EXUgpOrxGSEEER_gd2MzcM0-AUU" TargetMode="External"/><Relationship Id="rId236" Type="http://schemas.openxmlformats.org/officeDocument/2006/relationships/hyperlink" Target="https://drive.google.com/file/d/1iprFmOu52sRtvGKWRU96802hpGNyQXM_/view?usp=drivesdk" TargetMode="External"/><Relationship Id="rId443" Type="http://schemas.openxmlformats.org/officeDocument/2006/relationships/hyperlink" Target="https://drive.google.com/file/d/1237aLo5F3z9AB_O4xSicXeW1Ws-xSv7M/view?usp=drivesdk" TargetMode="External"/><Relationship Id="rId650" Type="http://schemas.openxmlformats.org/officeDocument/2006/relationships/hyperlink" Target="https://drive.google.com/open?id=186C723h2WZsfkzRWWtZDXS_LYxFfxWVV" TargetMode="External"/><Relationship Id="rId888" Type="http://schemas.openxmlformats.org/officeDocument/2006/relationships/hyperlink" Target="https://drive.google.com/open?id=1UxH07RLW48LW8QP9PmftoYz4xGn8bFRA" TargetMode="External"/><Relationship Id="rId1073" Type="http://schemas.openxmlformats.org/officeDocument/2006/relationships/hyperlink" Target="https://drive.google.com/file/d/1forro6bjmQWVIZB66f-CAFjrkHCA-qz9/view?usp=drivesdk" TargetMode="External"/><Relationship Id="rId1280" Type="http://schemas.openxmlformats.org/officeDocument/2006/relationships/hyperlink" Target="https://drive.google.com/open?id=1fe4HQ5aMVa94tRVFRxy09jgO_JLxGvGU" TargetMode="External"/><Relationship Id="rId303" Type="http://schemas.openxmlformats.org/officeDocument/2006/relationships/hyperlink" Target="https://drive.google.com/open?id=1uROM2cIXkrhQhRvHy_s44W61l1K-kJbB" TargetMode="External"/><Relationship Id="rId748" Type="http://schemas.openxmlformats.org/officeDocument/2006/relationships/hyperlink" Target="https://drive.google.com/open?id=18Czn99TrXSr7EIUVfwuHx-Ugpfom621b" TargetMode="External"/><Relationship Id="rId955" Type="http://schemas.openxmlformats.org/officeDocument/2006/relationships/hyperlink" Target="https://drive.google.com/file/d/14GR8HEpQdWngFKC1HtavGMPnNYp15F-a/view?usp=drivesdk" TargetMode="External"/><Relationship Id="rId1140" Type="http://schemas.openxmlformats.org/officeDocument/2006/relationships/hyperlink" Target="https://drive.google.com/file/d/1aCtefjJYKjxlFuw3wpfjI0cvqtwH_8Ag/view?usp=drivesdk" TargetMode="External"/><Relationship Id="rId1378" Type="http://schemas.openxmlformats.org/officeDocument/2006/relationships/hyperlink" Target="https://drive.google.com/file/d/1BTIGn9uZ56opQs5KGt_CZ-mFPGZQOR-V/view?usp=drivesdk" TargetMode="External"/><Relationship Id="rId84" Type="http://schemas.openxmlformats.org/officeDocument/2006/relationships/hyperlink" Target="https://drive.google.com/file/d/14Nv3YO6iRspLKQg4h1unQeYheO1cExyR/view?usp=drivesdk" TargetMode="External"/><Relationship Id="rId387" Type="http://schemas.openxmlformats.org/officeDocument/2006/relationships/hyperlink" Target="https://drive.google.com/open?id=1xIdbG1yfEil4OXmwZTabvXLrEvFx1hh-" TargetMode="External"/><Relationship Id="rId510" Type="http://schemas.openxmlformats.org/officeDocument/2006/relationships/hyperlink" Target="https://drive.google.com/open?id=1p4QAIbnw_Yiiw_C_EY6tkEcDv38cAuJt" TargetMode="External"/><Relationship Id="rId594" Type="http://schemas.openxmlformats.org/officeDocument/2006/relationships/hyperlink" Target="https://drive.google.com/file/d/1XTWFNmmM96rsFIiQBAVX_Y1tOlOmh-ep/view?usp=drivesdk" TargetMode="External"/><Relationship Id="rId608" Type="http://schemas.openxmlformats.org/officeDocument/2006/relationships/hyperlink" Target="https://drive.google.com/file/d/1XKQ7UvLLYQhRteI2w320ytT0kA_otPa_/view?usp=drivesdk" TargetMode="External"/><Relationship Id="rId815" Type="http://schemas.openxmlformats.org/officeDocument/2006/relationships/hyperlink" Target="https://drive.google.com/file/d/1w1ob5NHwbFJ_dloUQZ5JCwynsL8bOOQy/view?usp=drivesdk" TargetMode="External"/><Relationship Id="rId1238" Type="http://schemas.openxmlformats.org/officeDocument/2006/relationships/hyperlink" Target="https://drive.google.com/file/d/1RJVJs2VWLGxGXCD7UtZyPnhVdDrzMT0j/view?usp=drivesdk" TargetMode="External"/><Relationship Id="rId1445" Type="http://schemas.openxmlformats.org/officeDocument/2006/relationships/hyperlink" Target="https://drive.google.com/open?id=1O_4fWawCvKHxwznDAYdK__qW0PML9vD9" TargetMode="External"/><Relationship Id="rId247" Type="http://schemas.openxmlformats.org/officeDocument/2006/relationships/hyperlink" Target="https://drive.google.com/open?id=1aVt13sJQo4mZSz3HdiEjx7ZeVqj3Ygi_" TargetMode="External"/><Relationship Id="rId899" Type="http://schemas.openxmlformats.org/officeDocument/2006/relationships/hyperlink" Target="https://drive.google.com/file/d/1_AqjBU8uSm_odQo0ldGH-zOUPunjteqv/view?usp=drivesdk" TargetMode="External"/><Relationship Id="rId1000" Type="http://schemas.openxmlformats.org/officeDocument/2006/relationships/hyperlink" Target="https://drive.google.com/open?id=117pT1tPL37O-GpsLz1mRIHCoJ7WX4lJV" TargetMode="External"/><Relationship Id="rId1084" Type="http://schemas.openxmlformats.org/officeDocument/2006/relationships/hyperlink" Target="https://drive.google.com/open?id=1yVFvSTM81-0ZNzPhPuiRuB7hheHi8uLy" TargetMode="External"/><Relationship Id="rId1305" Type="http://schemas.openxmlformats.org/officeDocument/2006/relationships/hyperlink" Target="https://drive.google.com/file/d/1R6ApmMfU6pKkVJDkDFKQM5Lra5v3YTMe/view?usp=drivesdk" TargetMode="External"/><Relationship Id="rId107" Type="http://schemas.openxmlformats.org/officeDocument/2006/relationships/hyperlink" Target="https://drive.google.com/open?id=1E0fThNgGcTVzGkiYXgSDjtsMTaiijxAO" TargetMode="External"/><Relationship Id="rId454" Type="http://schemas.openxmlformats.org/officeDocument/2006/relationships/hyperlink" Target="https://drive.google.com/file/d/1K6uT2AiVlt3uYsHwfcUsZgkOzjFGVXpO/view?usp=drivesdk" TargetMode="External"/><Relationship Id="rId661" Type="http://schemas.openxmlformats.org/officeDocument/2006/relationships/hyperlink" Target="https://drive.google.com/file/d/1lK2ekCby373-eeArtDC_0H09D7aIvwXp/view?usp=drivesdk" TargetMode="External"/><Relationship Id="rId759" Type="http://schemas.openxmlformats.org/officeDocument/2006/relationships/hyperlink" Target="https://drive.google.com/file/d/1LeKHa9S1NtfeRObdlYOcT1DDHkGXUcSf/view?usp=drivesdk" TargetMode="External"/><Relationship Id="rId966" Type="http://schemas.openxmlformats.org/officeDocument/2006/relationships/hyperlink" Target="https://drive.google.com/open?id=1N2UeMqusbEHKbH1o1fKjgEucc6OcdNvN" TargetMode="External"/><Relationship Id="rId1291" Type="http://schemas.openxmlformats.org/officeDocument/2006/relationships/hyperlink" Target="https://drive.google.com/file/d/1WblymUo78ebzDwP0o6qdYEklJ6DGPdFQ/view?usp=drivesdk" TargetMode="External"/><Relationship Id="rId1389" Type="http://schemas.openxmlformats.org/officeDocument/2006/relationships/hyperlink" Target="https://drive.google.com/open?id=1GygILcoK_qpk1LIsjycvzkjEfGmVynMA" TargetMode="External"/><Relationship Id="rId11" Type="http://schemas.openxmlformats.org/officeDocument/2006/relationships/hyperlink" Target="https://drive.google.com/file/d/1XjXJtEPl3B4Z5iGDIg75rMCNXz0i-1_f/view?usp=drivesdk" TargetMode="External"/><Relationship Id="rId314" Type="http://schemas.openxmlformats.org/officeDocument/2006/relationships/hyperlink" Target="https://drive.google.com/open?id=1sQdYTT0yUsLUSvldgQvCTuRnH_jBQJJc" TargetMode="External"/><Relationship Id="rId398" Type="http://schemas.openxmlformats.org/officeDocument/2006/relationships/hyperlink" Target="https://drive.google.com/open?id=1v5WoDClZA_ChTqHGN3o4cQt18EkE3ro4" TargetMode="External"/><Relationship Id="rId521" Type="http://schemas.openxmlformats.org/officeDocument/2006/relationships/hyperlink" Target="https://drive.google.com/open?id=1HG9CMVqTuHQFWxZIcUjBeWuBLMw1deQB" TargetMode="External"/><Relationship Id="rId619" Type="http://schemas.openxmlformats.org/officeDocument/2006/relationships/hyperlink" Target="https://drive.google.com/open?id=1R0xsZ3JB5WgoYfr2w3W-xVpxfuR93nW8" TargetMode="External"/><Relationship Id="rId1151" Type="http://schemas.openxmlformats.org/officeDocument/2006/relationships/hyperlink" Target="https://drive.google.com/file/d/1bCXeHWBlgIfuVQ-O7UyW80fAaAcpHJqs/view?usp=drivesdk" TargetMode="External"/><Relationship Id="rId1249" Type="http://schemas.openxmlformats.org/officeDocument/2006/relationships/hyperlink" Target="https://drive.google.com/file/d/18YivwannFmZEUeMHVxMNWC-L5pF96jHn/view?usp=drivesdk" TargetMode="External"/><Relationship Id="rId95" Type="http://schemas.openxmlformats.org/officeDocument/2006/relationships/hyperlink" Target="https://drive.google.com/open?id=1oQsAvkXWCUF9n6b2_aeH4kFyF8shv37-" TargetMode="External"/><Relationship Id="rId160" Type="http://schemas.openxmlformats.org/officeDocument/2006/relationships/hyperlink" Target="https://drive.google.com/file/d/18fhfPVEKzt-7NNZAcz00ExkCsVDMavRC/view?usp=drivesdk" TargetMode="External"/><Relationship Id="rId826" Type="http://schemas.openxmlformats.org/officeDocument/2006/relationships/hyperlink" Target="https://drive.google.com/open?id=1B0W1PMANmvXwURaihTe5_0YgsU82NrHV" TargetMode="External"/><Relationship Id="rId1011" Type="http://schemas.openxmlformats.org/officeDocument/2006/relationships/hyperlink" Target="https://drive.google.com/file/d/18WsMNOr9t66IZeOA8xTgqWssw2Atr5yl/view?usp=drivesdk" TargetMode="External"/><Relationship Id="rId1109" Type="http://schemas.openxmlformats.org/officeDocument/2006/relationships/hyperlink" Target="https://drive.google.com/open?id=1wAETq0tiRU6QQyi9OqOlDZdIO5SlY4zO" TargetMode="External"/><Relationship Id="rId1456" Type="http://schemas.openxmlformats.org/officeDocument/2006/relationships/hyperlink" Target="https://drive.google.com/file/d/1mcavXp--F7MKkwsCM0ik4J10UWlAAYME/view?usp=drivesdk" TargetMode="External"/><Relationship Id="rId258" Type="http://schemas.openxmlformats.org/officeDocument/2006/relationships/hyperlink" Target="https://drive.google.com/file/d/1gOXIiCFv5CYq14A0WhPtAshtGjkPQzaT/view?usp=drivesdk" TargetMode="External"/><Relationship Id="rId465" Type="http://schemas.openxmlformats.org/officeDocument/2006/relationships/hyperlink" Target="https://drive.google.com/open?id=1op6XFXUl-XLeGA1GOGMGOgCX_0P8PgTY" TargetMode="External"/><Relationship Id="rId672" Type="http://schemas.openxmlformats.org/officeDocument/2006/relationships/hyperlink" Target="https://drive.google.com/open?id=1jos0UMCfWhQ1fEul2dNebZ7lwgACL_NO" TargetMode="External"/><Relationship Id="rId1095" Type="http://schemas.openxmlformats.org/officeDocument/2006/relationships/hyperlink" Target="https://drive.google.com/open?id=1e0qmyYPHHJbxrWsdNphHOqkB51NGaj4W" TargetMode="External"/><Relationship Id="rId1316" Type="http://schemas.openxmlformats.org/officeDocument/2006/relationships/hyperlink" Target="https://drive.google.com/open?id=1FxpjBd3DWJU7Pqnq2tYcK2Zr-YrWHucI" TargetMode="External"/><Relationship Id="rId22" Type="http://schemas.openxmlformats.org/officeDocument/2006/relationships/hyperlink" Target="https://drive.google.com/open?id=1w25YpuRXIefDgcDRiGW1VWfusl3lFqcR" TargetMode="External"/><Relationship Id="rId118" Type="http://schemas.openxmlformats.org/officeDocument/2006/relationships/hyperlink" Target="https://drive.google.com/file/d/1zVHCpf7hCF1zawQMUuDp2eiYApv0aJ89/view?usp=drivesdk" TargetMode="External"/><Relationship Id="rId325" Type="http://schemas.openxmlformats.org/officeDocument/2006/relationships/hyperlink" Target="https://drive.google.com/file/d/1ZuQFEXLy22vzqIiEuopHtO4ZUFpUT-OE/view?usp=drivesdk" TargetMode="External"/><Relationship Id="rId532" Type="http://schemas.openxmlformats.org/officeDocument/2006/relationships/hyperlink" Target="https://drive.google.com/file/d/1fvYCJwzVLj-wMSwSzhF0u1imkoD7EuDa/view?usp=drivesdk" TargetMode="External"/><Relationship Id="rId977" Type="http://schemas.openxmlformats.org/officeDocument/2006/relationships/hyperlink" Target="https://drive.google.com/file/d/1asJtlk3MThiE8toPQMf6EGcD2jsOwnuS/view?usp=drivesdk" TargetMode="External"/><Relationship Id="rId1162" Type="http://schemas.openxmlformats.org/officeDocument/2006/relationships/hyperlink" Target="https://drive.google.com/open?id=1Jm0neo-qdBytYqoPSDARRa9tuD98o_Kj" TargetMode="External"/><Relationship Id="rId171" Type="http://schemas.openxmlformats.org/officeDocument/2006/relationships/hyperlink" Target="https://drive.google.com/file/d/1_tiW0fHkk5MlTbxPfg66umBokEwoZP3q/view?usp=drivesdk" TargetMode="External"/><Relationship Id="rId837" Type="http://schemas.openxmlformats.org/officeDocument/2006/relationships/hyperlink" Target="https://drive.google.com/file/d/1CAlqbRaZl_70QcfIpRnuqdfHiHGTul6e/view?usp=drivesdk" TargetMode="External"/><Relationship Id="rId1022" Type="http://schemas.openxmlformats.org/officeDocument/2006/relationships/hyperlink" Target="https://drive.google.com/open?id=1z0pYP2ROZvPyYk-DFDNqg6_f6N-AX-kV" TargetMode="External"/><Relationship Id="rId1467" Type="http://schemas.openxmlformats.org/officeDocument/2006/relationships/printerSettings" Target="../printerSettings/printerSettings3.bin"/><Relationship Id="rId269" Type="http://schemas.openxmlformats.org/officeDocument/2006/relationships/hyperlink" Target="https://drive.google.com/open?id=1mGRIBvx9UKS6lDNqqyIRdQYPsI6-8IzE" TargetMode="External"/><Relationship Id="rId476" Type="http://schemas.openxmlformats.org/officeDocument/2006/relationships/hyperlink" Target="https://drive.google.com/open?id=1EcfuLoXPo74jdEKA2Rt0FObCjdmkLUYi" TargetMode="External"/><Relationship Id="rId683" Type="http://schemas.openxmlformats.org/officeDocument/2006/relationships/hyperlink" Target="https://drive.google.com/file/d/1oz5zsTM1tlnhQR27zE-IF1K_27Uhezc1/view?usp=drivesdk" TargetMode="External"/><Relationship Id="rId890" Type="http://schemas.openxmlformats.org/officeDocument/2006/relationships/hyperlink" Target="https://drive.google.com/open?id=1L6PF91S1boCMrwWeaWRs24iypIYj_nVP" TargetMode="External"/><Relationship Id="rId904" Type="http://schemas.openxmlformats.org/officeDocument/2006/relationships/hyperlink" Target="https://drive.google.com/open?id=1s8OtL2xj_1--ICjn0yuCCWHHYwx3v54r" TargetMode="External"/><Relationship Id="rId1327" Type="http://schemas.openxmlformats.org/officeDocument/2006/relationships/hyperlink" Target="https://drive.google.com/file/d/1x8uGY7iveTes2jwyruIT4E_e3ex6D_cC/view?usp=drivesdk" TargetMode="External"/><Relationship Id="rId33" Type="http://schemas.openxmlformats.org/officeDocument/2006/relationships/hyperlink" Target="https://drive.google.com/file/d/1cbHWiV1ECKjSNILLkpgHmEvEytlXiwoI/view?usp=drivesdk" TargetMode="External"/><Relationship Id="rId129" Type="http://schemas.openxmlformats.org/officeDocument/2006/relationships/hyperlink" Target="https://drive.google.com/open?id=1xq6-KrEMMLVtaP7VGdOphzl6VRW8AS_w" TargetMode="External"/><Relationship Id="rId336" Type="http://schemas.openxmlformats.org/officeDocument/2006/relationships/hyperlink" Target="https://drive.google.com/open?id=1H6OzlTiqKhlBdrqvkBMDjPEy6-MD9AiM" TargetMode="External"/><Relationship Id="rId543" Type="http://schemas.openxmlformats.org/officeDocument/2006/relationships/hyperlink" Target="https://drive.google.com/open?id=1iGR_E4Z2vsNTTwrRZsBbdEgDmyD4JhcB" TargetMode="External"/><Relationship Id="rId988" Type="http://schemas.openxmlformats.org/officeDocument/2006/relationships/hyperlink" Target="https://drive.google.com/open?id=1ezYd82WyVuIZ-saJM2NLvQmE8kd_YCpc" TargetMode="External"/><Relationship Id="rId1173" Type="http://schemas.openxmlformats.org/officeDocument/2006/relationships/hyperlink" Target="https://drive.google.com/file/d/1ZC4uI4Q4TnYEFMFjYSKSOOB3OMyzxU79/view?usp=drivesdk" TargetMode="External"/><Relationship Id="rId1380" Type="http://schemas.openxmlformats.org/officeDocument/2006/relationships/hyperlink" Target="https://drive.google.com/file/d/1rKt0FQcGXI6A9ZOJDxlAxBK3vYHUTZnE/view?usp=drivesdk" TargetMode="External"/><Relationship Id="rId182" Type="http://schemas.openxmlformats.org/officeDocument/2006/relationships/hyperlink" Target="https://drive.google.com/open?id=1NamK3-RoRoqoHltzOfEB5hpZlZSZiJmj" TargetMode="External"/><Relationship Id="rId403" Type="http://schemas.openxmlformats.org/officeDocument/2006/relationships/hyperlink" Target="https://drive.google.com/file/d/1duuAWDlZpCgvEFCrLDQ8Mwm5RiysIC5p/view?usp=drivesdk" TargetMode="External"/><Relationship Id="rId750" Type="http://schemas.openxmlformats.org/officeDocument/2006/relationships/hyperlink" Target="https://drive.google.com/open?id=1Eyl5581CqGS3Hj1msDx0A94BZoOjVC6q" TargetMode="External"/><Relationship Id="rId848" Type="http://schemas.openxmlformats.org/officeDocument/2006/relationships/hyperlink" Target="https://drive.google.com/open?id=13gH0Smn1gM1_QnZN8jbZvLgV-zU1daKu" TargetMode="External"/><Relationship Id="rId1033" Type="http://schemas.openxmlformats.org/officeDocument/2006/relationships/hyperlink" Target="https://drive.google.com/file/d/1mPCToccGgt9MoFdomJqPTsZNl-urf_zk/view?usp=drivesdk" TargetMode="External"/><Relationship Id="rId487" Type="http://schemas.openxmlformats.org/officeDocument/2006/relationships/hyperlink" Target="https://drive.google.com/open?id=11i5SNi8Fk71_QGJrzNtHYrXx2qx-PwUm" TargetMode="External"/><Relationship Id="rId610" Type="http://schemas.openxmlformats.org/officeDocument/2006/relationships/hyperlink" Target="https://drive.google.com/file/d/1YQPERGCutZUqxiOJdtK3wk_Ju3yKqJmf/view?usp=drivesdk" TargetMode="External"/><Relationship Id="rId694" Type="http://schemas.openxmlformats.org/officeDocument/2006/relationships/hyperlink" Target="https://drive.google.com/open?id=1D5tgK1E82bRTm8T1knCzTBRR-IuL5QYv" TargetMode="External"/><Relationship Id="rId708" Type="http://schemas.openxmlformats.org/officeDocument/2006/relationships/hyperlink" Target="https://drive.google.com/open?id=1Lzf6ghUkVjUvHWLDIb15qz2rKm_cixOv" TargetMode="External"/><Relationship Id="rId915" Type="http://schemas.openxmlformats.org/officeDocument/2006/relationships/hyperlink" Target="https://drive.google.com/file/d/1JXnAbiUwOcZ9HFhss8GhvQYoemMvrjzI/view?usp=drivesdk" TargetMode="External"/><Relationship Id="rId1240" Type="http://schemas.openxmlformats.org/officeDocument/2006/relationships/hyperlink" Target="https://drive.google.com/open?id=1J6TB97C5t2CQztMa-mFNK8Tz_TjU8FgY" TargetMode="External"/><Relationship Id="rId1338" Type="http://schemas.openxmlformats.org/officeDocument/2006/relationships/hyperlink" Target="https://drive.google.com/file/d/183VeM7tM-AlfJrOUBChyBw3dCRhimuCn/view?usp=drivesdk" TargetMode="External"/><Relationship Id="rId347" Type="http://schemas.openxmlformats.org/officeDocument/2006/relationships/hyperlink" Target="https://drive.google.com/file/d/1H4KTzG-IsOEjt7IHYKcCvumlZ2BtSUqk/view?usp=drivesdk" TargetMode="External"/><Relationship Id="rId999" Type="http://schemas.openxmlformats.org/officeDocument/2006/relationships/hyperlink" Target="https://drive.google.com/file/d/19Aix4OPzay_FTx9YA8GwIMIFWWQEaGbS/view?usp=drivesdk" TargetMode="External"/><Relationship Id="rId1100" Type="http://schemas.openxmlformats.org/officeDocument/2006/relationships/hyperlink" Target="https://drive.google.com/file/d/18ubsBaRHezZQLWc1tAdPagxZYNUjYWao/view?usp=drivesdk" TargetMode="External"/><Relationship Id="rId1184" Type="http://schemas.openxmlformats.org/officeDocument/2006/relationships/hyperlink" Target="https://drive.google.com/open?id=1HyTizbzV-ejbw2plu9HasLNDc-54IiHJ" TargetMode="External"/><Relationship Id="rId1405" Type="http://schemas.openxmlformats.org/officeDocument/2006/relationships/hyperlink" Target="https://drive.google.com/open?id=1dFivps9mD6vunKhZsJZJbq0luvzlqhAg" TargetMode="External"/><Relationship Id="rId44" Type="http://schemas.openxmlformats.org/officeDocument/2006/relationships/hyperlink" Target="https://drive.google.com/open?id=1kNPXsNr8cpoppYLSIGFQo63l2eJbOOpM" TargetMode="External"/><Relationship Id="rId554" Type="http://schemas.openxmlformats.org/officeDocument/2006/relationships/hyperlink" Target="https://drive.google.com/file/d/1gpyr4lRptJSTQmlwgHPi8ylxwcA3NpEC/view?usp=drivesdk" TargetMode="External"/><Relationship Id="rId761" Type="http://schemas.openxmlformats.org/officeDocument/2006/relationships/hyperlink" Target="https://drive.google.com/open?id=1Rx5fGMwMiaqW2Q80l9Q5c5-1lFEwKeO2" TargetMode="External"/><Relationship Id="rId859" Type="http://schemas.openxmlformats.org/officeDocument/2006/relationships/hyperlink" Target="https://drive.google.com/file/d/1lwE7BExcIhyRJfzMp2Rf7e4lwRR8lUEz/view?usp=drivesdk" TargetMode="External"/><Relationship Id="rId1391" Type="http://schemas.openxmlformats.org/officeDocument/2006/relationships/hyperlink" Target="https://drive.google.com/open?id=1HPft8Cj4uTuCcnyugSEyhrVNsNphnJ8J" TargetMode="External"/><Relationship Id="rId193" Type="http://schemas.openxmlformats.org/officeDocument/2006/relationships/hyperlink" Target="https://drive.google.com/open?id=1_NhMO69_Op17fTUS3dtet3fqctPIUw-k" TargetMode="External"/><Relationship Id="rId207" Type="http://schemas.openxmlformats.org/officeDocument/2006/relationships/hyperlink" Target="https://drive.google.com/open?id=1C6CP4pGdOgpC5NVs35jsftwgFDePmnAD" TargetMode="External"/><Relationship Id="rId414" Type="http://schemas.openxmlformats.org/officeDocument/2006/relationships/hyperlink" Target="https://drive.google.com/open?id=14GCOM5Aw53Svsvr2vnbt4_dbBgEdbQus" TargetMode="External"/><Relationship Id="rId498" Type="http://schemas.openxmlformats.org/officeDocument/2006/relationships/hyperlink" Target="https://drive.google.com/file/d/1Ct_0eeEUa854FYw7d5cfek8hDE-DKM51/view?usp=drivesdk" TargetMode="External"/><Relationship Id="rId621" Type="http://schemas.openxmlformats.org/officeDocument/2006/relationships/hyperlink" Target="https://drive.google.com/open?id=1lBR22H6Kh9foh2TwlomEsKXkxHnNVU09" TargetMode="External"/><Relationship Id="rId1044" Type="http://schemas.openxmlformats.org/officeDocument/2006/relationships/hyperlink" Target="https://drive.google.com/open?id=1r1MpxWSL8d__Jwx29LGaZv7maNXFwiLC" TargetMode="External"/><Relationship Id="rId1251" Type="http://schemas.openxmlformats.org/officeDocument/2006/relationships/hyperlink" Target="https://drive.google.com/file/d/1EcCQvxxaz779Pxh4vH9uBW3p_IEwuMN-/view?usp=drivesdk" TargetMode="External"/><Relationship Id="rId1349" Type="http://schemas.openxmlformats.org/officeDocument/2006/relationships/hyperlink" Target="https://drive.google.com/open?id=1gN6H9U4nCyiiyFpKa1-ET18UX8YpNCCP" TargetMode="External"/><Relationship Id="rId260" Type="http://schemas.openxmlformats.org/officeDocument/2006/relationships/hyperlink" Target="https://drive.google.com/open?id=1BDO8IPQOWKgJlnGrduSKmy9kJVd-dJo9" TargetMode="External"/><Relationship Id="rId719" Type="http://schemas.openxmlformats.org/officeDocument/2006/relationships/hyperlink" Target="https://drive.google.com/file/d/1CsDHw_Y0ENfNgBeVOAtQExjyf6WmjcdN/view?usp=drivesdk" TargetMode="External"/><Relationship Id="rId926" Type="http://schemas.openxmlformats.org/officeDocument/2006/relationships/hyperlink" Target="https://drive.google.com/open?id=1GHbhqz_0_p9ETCugXIKvGsb7luE4_pfS" TargetMode="External"/><Relationship Id="rId1111" Type="http://schemas.openxmlformats.org/officeDocument/2006/relationships/hyperlink" Target="https://drive.google.com/open?id=10bh8CLMjQVyzonaUTQ0AYOTv2euLuhqI" TargetMode="External"/><Relationship Id="rId55" Type="http://schemas.openxmlformats.org/officeDocument/2006/relationships/hyperlink" Target="https://drive.google.com/file/d/1wL6LkDyYPpv7TkkhIgM9FGUcQgJmMuul/view?usp=drivesdk" TargetMode="External"/><Relationship Id="rId120" Type="http://schemas.openxmlformats.org/officeDocument/2006/relationships/hyperlink" Target="https://drive.google.com/file/d/1dDIoKvzN_f43pjEfi6KxLn0omD4PRiLe/view?usp=drivesdk" TargetMode="External"/><Relationship Id="rId358" Type="http://schemas.openxmlformats.org/officeDocument/2006/relationships/hyperlink" Target="https://drive.google.com/open?id=1ToQh-zRpk_WlpucmnutVYAyqHT-2h9kZ" TargetMode="External"/><Relationship Id="rId565" Type="http://schemas.openxmlformats.org/officeDocument/2006/relationships/hyperlink" Target="https://drive.google.com/open?id=1-phvnA5_MRRGhwPjZ73q6a5fcZoIDBEZ" TargetMode="External"/><Relationship Id="rId772" Type="http://schemas.openxmlformats.org/officeDocument/2006/relationships/hyperlink" Target="https://drive.google.com/open?id=1wL3CWr0Gn9cLKlyE0U8bGtu8WY7vXviv" TargetMode="External"/><Relationship Id="rId1195" Type="http://schemas.openxmlformats.org/officeDocument/2006/relationships/hyperlink" Target="https://drive.google.com/file/d/1HqAMZKsPrJMbBNXkmkuQDb0mnH3EKtHa/view?usp=drivesdk" TargetMode="External"/><Relationship Id="rId1209" Type="http://schemas.openxmlformats.org/officeDocument/2006/relationships/hyperlink" Target="https://drive.google.com/file/d/10epyD6ODtKgeefvTgy-Xvpotmp4cucCW/view?usp=drivesdk" TargetMode="External"/><Relationship Id="rId1416" Type="http://schemas.openxmlformats.org/officeDocument/2006/relationships/hyperlink" Target="https://drive.google.com/file/d/1q8Mz1yd4txiLpnESAkZNFVUrmsWnHd4A/view?usp=drivesdk" TargetMode="External"/><Relationship Id="rId218" Type="http://schemas.openxmlformats.org/officeDocument/2006/relationships/hyperlink" Target="https://drive.google.com/open?id=1TEK3hrYk_wIEGw34OFhGY_Y2hzllf80q" TargetMode="External"/><Relationship Id="rId425" Type="http://schemas.openxmlformats.org/officeDocument/2006/relationships/hyperlink" Target="https://drive.google.com/open?id=1dqwBQ0AtNXq-PV8kdPMpNsoGdGrbtiS1" TargetMode="External"/><Relationship Id="rId632" Type="http://schemas.openxmlformats.org/officeDocument/2006/relationships/hyperlink" Target="https://drive.google.com/file/d/1ksdcDJeEpqsgL1snJX-LWKcGjWX6thI7/view?usp=drivesdk" TargetMode="External"/><Relationship Id="rId1055" Type="http://schemas.openxmlformats.org/officeDocument/2006/relationships/hyperlink" Target="https://drive.google.com/file/d/1Sp8vneLZ2LVkpCwoBwYLrzsvATPvaR-0/view?usp=drivesdk" TargetMode="External"/><Relationship Id="rId1262" Type="http://schemas.openxmlformats.org/officeDocument/2006/relationships/hyperlink" Target="https://drive.google.com/open?id=1Ok-0gcnzDrP0rBlS4ilqs-Z4GUIfvYUd" TargetMode="External"/><Relationship Id="rId271" Type="http://schemas.openxmlformats.org/officeDocument/2006/relationships/hyperlink" Target="https://drive.google.com/open?id=1F5xhdxkZ1OYz04cwXEkq0VT_tjdy7IPB" TargetMode="External"/><Relationship Id="rId937" Type="http://schemas.openxmlformats.org/officeDocument/2006/relationships/hyperlink" Target="https://drive.google.com/file/d/1LC5eNTuynyjV4WuYOODsbk2JHrBjCOFK/view?usp=drivesdk" TargetMode="External"/><Relationship Id="rId1122" Type="http://schemas.openxmlformats.org/officeDocument/2006/relationships/hyperlink" Target="https://drive.google.com/file/d/1SMzCSIGpn5q0P0hwG9tU0NJnvnypXAvs/view?usp=drivesdk" TargetMode="External"/><Relationship Id="rId66" Type="http://schemas.openxmlformats.org/officeDocument/2006/relationships/hyperlink" Target="https://drive.google.com/open?id=1e2rBLAZACsO2SMhgH2S8GJi_c6fm7A4Q" TargetMode="External"/><Relationship Id="rId131" Type="http://schemas.openxmlformats.org/officeDocument/2006/relationships/hyperlink" Target="https://drive.google.com/file/d/1g-3eOYAH1AGZPHfctQq0PPRTmCge4lsA/view?usp=drivesdk" TargetMode="External"/><Relationship Id="rId369" Type="http://schemas.openxmlformats.org/officeDocument/2006/relationships/hyperlink" Target="https://drive.google.com/open?id=1yogLy78k-NxyjmNdPW3GXYpDDPjBIrRv" TargetMode="External"/><Relationship Id="rId576" Type="http://schemas.openxmlformats.org/officeDocument/2006/relationships/hyperlink" Target="https://drive.google.com/open?id=12UeDth3DStHJ72tvNn0HIviqxSD5qtXQ" TargetMode="External"/><Relationship Id="rId783" Type="http://schemas.openxmlformats.org/officeDocument/2006/relationships/hyperlink" Target="https://drive.google.com/file/d/1BIY-42IHaoybpCnvyDTXx9ffobySPEKH/view?usp=drivesdk" TargetMode="External"/><Relationship Id="rId990" Type="http://schemas.openxmlformats.org/officeDocument/2006/relationships/hyperlink" Target="https://drive.google.com/open?id=1qUf_kXsuqrzdaUy-rPLErbDiP1ev_Ita" TargetMode="External"/><Relationship Id="rId1427" Type="http://schemas.openxmlformats.org/officeDocument/2006/relationships/hyperlink" Target="https://drive.google.com/open?id=1pZNmHzG6lIR3zoeF1PMgrogay17uyPXq" TargetMode="External"/><Relationship Id="rId229" Type="http://schemas.openxmlformats.org/officeDocument/2006/relationships/hyperlink" Target="https://drive.google.com/file/d/1Xs8WeFsejVz2hJMNOmso4j5cfZkrUIX1/view?usp=drivesdk" TargetMode="External"/><Relationship Id="rId436" Type="http://schemas.openxmlformats.org/officeDocument/2006/relationships/hyperlink" Target="https://drive.google.com/file/d/19OdAnLYvPW-dLPjkNA5t-uHC4ObGqY4v/view?usp=drivesdk" TargetMode="External"/><Relationship Id="rId643" Type="http://schemas.openxmlformats.org/officeDocument/2006/relationships/hyperlink" Target="https://drive.google.com/file/d/1r6LS7F60SC8Hqb0GkXSxwmrncdFNd3b3/view?usp=drivesdk" TargetMode="External"/><Relationship Id="rId1066" Type="http://schemas.openxmlformats.org/officeDocument/2006/relationships/hyperlink" Target="https://drive.google.com/open?id=1JNG9Jc-VoqpvAjP_c_CpuHJDQE3Dvhr0" TargetMode="External"/><Relationship Id="rId1273" Type="http://schemas.openxmlformats.org/officeDocument/2006/relationships/hyperlink" Target="https://drive.google.com/file/d/1OXK9QlOrNagIwdirBDAdbivL17h6adTD/view?usp=drivesdk" TargetMode="External"/><Relationship Id="rId850" Type="http://schemas.openxmlformats.org/officeDocument/2006/relationships/hyperlink" Target="https://drive.google.com/open?id=17ST5QLB4qOtNOZFof_rwHSEED1zc6ylA" TargetMode="External"/><Relationship Id="rId948" Type="http://schemas.openxmlformats.org/officeDocument/2006/relationships/hyperlink" Target="https://drive.google.com/open?id=1k9g9d2URGRTjkS0iNyr3toNTwDy9wShb" TargetMode="External"/><Relationship Id="rId1133" Type="http://schemas.openxmlformats.org/officeDocument/2006/relationships/hyperlink" Target="https://drive.google.com/open?id=1OZbP7cvPOhz87yqKy__2wONvXd4g86HA" TargetMode="External"/><Relationship Id="rId77" Type="http://schemas.openxmlformats.org/officeDocument/2006/relationships/hyperlink" Target="https://drive.google.com/open?id=1sdEp7nkHPIHNea7-o8dNU9j0J6t_RvVp" TargetMode="External"/><Relationship Id="rId282" Type="http://schemas.openxmlformats.org/officeDocument/2006/relationships/hyperlink" Target="https://drive.google.com/open?id=1Cmbz5_COEacOd6-Wypa2pRLHw6o52ipm" TargetMode="External"/><Relationship Id="rId503" Type="http://schemas.openxmlformats.org/officeDocument/2006/relationships/hyperlink" Target="https://drive.google.com/file/d/1vwutWX-JwrIwAvW8VEDbWdMOOu3A9VK1/view?usp=drivesdk" TargetMode="External"/><Relationship Id="rId587" Type="http://schemas.openxmlformats.org/officeDocument/2006/relationships/hyperlink" Target="https://drive.google.com/open?id=1KP2wU7MRkC1YUu1k-Me1P4fHsuk99U0R" TargetMode="External"/><Relationship Id="rId710" Type="http://schemas.openxmlformats.org/officeDocument/2006/relationships/hyperlink" Target="https://drive.google.com/open?id=190xC0WIqWzmJZwg1TkvfD4K9ymXWFXiw" TargetMode="External"/><Relationship Id="rId808" Type="http://schemas.openxmlformats.org/officeDocument/2006/relationships/hyperlink" Target="https://drive.google.com/open?id=1xCYS3L81QS_zY8CDnyYIiBEJjB6199AK" TargetMode="External"/><Relationship Id="rId1340" Type="http://schemas.openxmlformats.org/officeDocument/2006/relationships/hyperlink" Target="https://drive.google.com/file/d/1dEsYFOnhDZkoD5H3_MmMWtmD5GOeoe7Q/view?usp=drivesdk" TargetMode="External"/><Relationship Id="rId1438" Type="http://schemas.openxmlformats.org/officeDocument/2006/relationships/hyperlink" Target="https://drive.google.com/file/d/1q1NU_NuoYnb6dr9dqz0Wuu0_BAGcJkZy/view?usp=drivesdk" TargetMode="External"/><Relationship Id="rId8" Type="http://schemas.openxmlformats.org/officeDocument/2006/relationships/hyperlink" Target="https://drive.google.com/open?id=1x0WjMDp1vEONPYIFlWgEEhmV92TyO6i0" TargetMode="External"/><Relationship Id="rId142" Type="http://schemas.openxmlformats.org/officeDocument/2006/relationships/hyperlink" Target="https://drive.google.com/open?id=1fjnLwl7zpSjF3dSoFHhtmPVmJLK07gAh" TargetMode="External"/><Relationship Id="rId447" Type="http://schemas.openxmlformats.org/officeDocument/2006/relationships/hyperlink" Target="https://drive.google.com/open?id=1aQRJut4ZvaBFlvYoBKxCyeoLnSXN-DjR" TargetMode="External"/><Relationship Id="rId794" Type="http://schemas.openxmlformats.org/officeDocument/2006/relationships/hyperlink" Target="https://drive.google.com/open?id=1F8MIBE1jWqJ_Ber50MYdKCiiWSUHzjgF" TargetMode="External"/><Relationship Id="rId1077" Type="http://schemas.openxmlformats.org/officeDocument/2006/relationships/hyperlink" Target="https://drive.google.com/file/d/1wX3rapqlp2D1fDd8p0EBExSMpdr2a2wc/view?usp=drivesdk" TargetMode="External"/><Relationship Id="rId1200" Type="http://schemas.openxmlformats.org/officeDocument/2006/relationships/hyperlink" Target="https://drive.google.com/open?id=1qUosp_sR3fPg59dVFfhm6wqVyWxWORQf" TargetMode="External"/><Relationship Id="rId654" Type="http://schemas.openxmlformats.org/officeDocument/2006/relationships/hyperlink" Target="https://drive.google.com/open?id=1YxamQuGn0RJyCNFoEPZglloBjiyHVl6i" TargetMode="External"/><Relationship Id="rId861" Type="http://schemas.openxmlformats.org/officeDocument/2006/relationships/hyperlink" Target="https://drive.google.com/file/d/1DXWlk4zBfzUfrQJT1Y2FNT-n1kKIPkjx/view?usp=drivesdk" TargetMode="External"/><Relationship Id="rId959" Type="http://schemas.openxmlformats.org/officeDocument/2006/relationships/hyperlink" Target="https://drive.google.com/file/d/1pnFx77H1Lkk7ygTl1bL2oHUnXyU3aNqp/view?usp=drivesdk" TargetMode="External"/><Relationship Id="rId1284" Type="http://schemas.openxmlformats.org/officeDocument/2006/relationships/hyperlink" Target="https://drive.google.com/open?id=1Crmpj5DCTwQntel0CAfPV_im0hP9weUU" TargetMode="External"/><Relationship Id="rId293" Type="http://schemas.openxmlformats.org/officeDocument/2006/relationships/hyperlink" Target="https://drive.google.com/open?id=1B3VwmhE21LWC-Dm2hDYjTys1S6pAxSFF" TargetMode="External"/><Relationship Id="rId307" Type="http://schemas.openxmlformats.org/officeDocument/2006/relationships/hyperlink" Target="https://drive.google.com/open?id=17EEc6CzR6prbfFv1kleglCFLB_hCsxhR" TargetMode="External"/><Relationship Id="rId514" Type="http://schemas.openxmlformats.org/officeDocument/2006/relationships/hyperlink" Target="https://drive.google.com/open?id=1c4Dw9hIpXdxOmn9wGM0Pck7lkwmKjxLA" TargetMode="External"/><Relationship Id="rId721" Type="http://schemas.openxmlformats.org/officeDocument/2006/relationships/hyperlink" Target="https://drive.google.com/file/d/12bgeSg1D0jwQYKdANzZqhao6jrBa5rj1/view?usp=drivesdk" TargetMode="External"/><Relationship Id="rId1144" Type="http://schemas.openxmlformats.org/officeDocument/2006/relationships/hyperlink" Target="https://drive.google.com/file/d/1pH0TX0L87OgV-UPcaBLnWbWBlCVyQuK_/view?usp=drivesdk" TargetMode="External"/><Relationship Id="rId1351" Type="http://schemas.openxmlformats.org/officeDocument/2006/relationships/hyperlink" Target="https://drive.google.com/open?id=1GLLbVxc2TPPhMr9J5Tu-6cybUWVdYhhO" TargetMode="External"/><Relationship Id="rId1449" Type="http://schemas.openxmlformats.org/officeDocument/2006/relationships/hyperlink" Target="https://drive.google.com/open?id=1-QVaM-GcOTKivbCe-kwLJKj47-oIUFYu" TargetMode="External"/><Relationship Id="rId88" Type="http://schemas.openxmlformats.org/officeDocument/2006/relationships/hyperlink" Target="https://drive.google.com/open?id=1lXJ91qEoINauEsJBwCjp9JHhk5opuCoa" TargetMode="External"/><Relationship Id="rId153" Type="http://schemas.openxmlformats.org/officeDocument/2006/relationships/hyperlink" Target="https://drive.google.com/open?id=1-aglZ5zUK6B09y6R7-hE-K_k8DG9BqS5" TargetMode="External"/><Relationship Id="rId360" Type="http://schemas.openxmlformats.org/officeDocument/2006/relationships/hyperlink" Target="https://drive.google.com/open?id=1K2fnXVTXvZFKykQ57a1RBsivMqywfVJF" TargetMode="External"/><Relationship Id="rId598" Type="http://schemas.openxmlformats.org/officeDocument/2006/relationships/hyperlink" Target="https://drive.google.com/file/d/1bqcc5Knn1OuY6J0bCg1_KxzRsl0o3d57/view?usp=drivesdk" TargetMode="External"/><Relationship Id="rId819" Type="http://schemas.openxmlformats.org/officeDocument/2006/relationships/hyperlink" Target="https://drive.google.com/file/d/16MWeoHtmn-EDsh1DpG6kdt_QNqyF_IlK/view?usp=drivesdk" TargetMode="External"/><Relationship Id="rId1004" Type="http://schemas.openxmlformats.org/officeDocument/2006/relationships/hyperlink" Target="https://drive.google.com/open?id=14X7U5lW09trjNHw2eeBVxIPKxQMMTGYa" TargetMode="External"/><Relationship Id="rId1211" Type="http://schemas.openxmlformats.org/officeDocument/2006/relationships/hyperlink" Target="https://drive.google.com/file/d/1b4K3CV1E3SXyq6ZtLIbzMSNno3nGMqxh/view?usp=drivesdk" TargetMode="External"/><Relationship Id="rId220" Type="http://schemas.openxmlformats.org/officeDocument/2006/relationships/hyperlink" Target="https://drive.google.com/open?id=1J4oLPFyDpTSEcOGncacZfpBlUfcTO5Dg" TargetMode="External"/><Relationship Id="rId458" Type="http://schemas.openxmlformats.org/officeDocument/2006/relationships/hyperlink" Target="https://drive.google.com/file/d/1B8dIfsqMv0IX4jF0Wp0Qb1SxXx0dy5Zm/view?usp=drivesdk" TargetMode="External"/><Relationship Id="rId665" Type="http://schemas.openxmlformats.org/officeDocument/2006/relationships/hyperlink" Target="https://drive.google.com/file/d/1cPNFgrpmF69LA468p-bgOBu2jNYCitPM/view?usp=drivesdk" TargetMode="External"/><Relationship Id="rId872" Type="http://schemas.openxmlformats.org/officeDocument/2006/relationships/hyperlink" Target="https://drive.google.com/open?id=1zZo8cbduptL6MC7rYIEyT7ggJqAGqnIY" TargetMode="External"/><Relationship Id="rId1088" Type="http://schemas.openxmlformats.org/officeDocument/2006/relationships/hyperlink" Target="https://drive.google.com/open?id=1qTQvz-KIs8428zjZ5l3TuD7wkb0D01O-" TargetMode="External"/><Relationship Id="rId1295" Type="http://schemas.openxmlformats.org/officeDocument/2006/relationships/hyperlink" Target="https://drive.google.com/file/d/1n3PgP3HGgZ2DESPvet-oOTbPVJyl3Bdq/view?usp=drivesdk" TargetMode="External"/><Relationship Id="rId1309" Type="http://schemas.openxmlformats.org/officeDocument/2006/relationships/hyperlink" Target="https://drive.google.com/file/d/1kKQJOsF7TEplwpKzjZUY2U1ts6QHmfD4/view?usp=drivesdk" TargetMode="External"/><Relationship Id="rId15" Type="http://schemas.openxmlformats.org/officeDocument/2006/relationships/hyperlink" Target="https://drive.google.com/file/d/1lud1iW1ZfaSG2vQU33r5nidI79TTuo11/view?usp=drivesdk" TargetMode="External"/><Relationship Id="rId318" Type="http://schemas.openxmlformats.org/officeDocument/2006/relationships/hyperlink" Target="https://drive.google.com/open?id=1k8ueO6yCN0DWKilhfSP32GfeoWfsDvqW" TargetMode="External"/><Relationship Id="rId525" Type="http://schemas.openxmlformats.org/officeDocument/2006/relationships/hyperlink" Target="https://drive.google.com/open?id=1jwli2HKtzrip8zRQSIquq0dNbrSxqyMO" TargetMode="External"/><Relationship Id="rId732" Type="http://schemas.openxmlformats.org/officeDocument/2006/relationships/hyperlink" Target="https://drive.google.com/open?id=1eXEfsAklstE_jVUK6fyojjB_qt0hV13_" TargetMode="External"/><Relationship Id="rId1155" Type="http://schemas.openxmlformats.org/officeDocument/2006/relationships/hyperlink" Target="https://drive.google.com/file/d/1HeUcv_KvYlTO8Tus6AEOQOj_mbjb13NO/view?usp=drivesdk" TargetMode="External"/><Relationship Id="rId1362" Type="http://schemas.openxmlformats.org/officeDocument/2006/relationships/hyperlink" Target="https://drive.google.com/file/d/1JTGmh1z1dAOMM1eCQjnq23UGwsnlOV3C/view?usp=drivesdk" TargetMode="External"/><Relationship Id="rId99" Type="http://schemas.openxmlformats.org/officeDocument/2006/relationships/hyperlink" Target="https://drive.google.com/open?id=1lIcEYP_y7vtj35IiBeu0Avjean_3jfWO" TargetMode="External"/><Relationship Id="rId164" Type="http://schemas.openxmlformats.org/officeDocument/2006/relationships/hyperlink" Target="https://drive.google.com/file/d/1ZSXqU6vxNag-BNj3AAUQtn7mzKYPQ0Ny/view?usp=drivesdk" TargetMode="External"/><Relationship Id="rId371" Type="http://schemas.openxmlformats.org/officeDocument/2006/relationships/hyperlink" Target="https://drive.google.com/open?id=1kcJHnRSTYfZkr3B9l28pszDODgZTNPl1" TargetMode="External"/><Relationship Id="rId1015" Type="http://schemas.openxmlformats.org/officeDocument/2006/relationships/hyperlink" Target="https://drive.google.com/file/d/1X1loO9Ezn5zzk-wY7pivydIYezOMY9Yp/view?usp=drivesdk" TargetMode="External"/><Relationship Id="rId1222" Type="http://schemas.openxmlformats.org/officeDocument/2006/relationships/hyperlink" Target="https://drive.google.com/file/d/1qy0iis7F_BDaQg2v3kQdhnxM04Y9H3hC/view?usp=drivesdk" TargetMode="External"/><Relationship Id="rId469" Type="http://schemas.openxmlformats.org/officeDocument/2006/relationships/hyperlink" Target="https://drive.google.com/file/d/1mvn9-EAEzq0z4QLIpFiGpmajGtKn5_rI/view?usp=drivesdk" TargetMode="External"/><Relationship Id="rId676" Type="http://schemas.openxmlformats.org/officeDocument/2006/relationships/hyperlink" Target="https://drive.google.com/open?id=1FD9n6dhUmQoGov9-o_FlaRGjjYa0GNuH" TargetMode="External"/><Relationship Id="rId883" Type="http://schemas.openxmlformats.org/officeDocument/2006/relationships/hyperlink" Target="https://drive.google.com/file/d/11yaNKutirPpx_EVsSZRIkeCacuJ3zN6L/view?usp=drivesdk" TargetMode="External"/><Relationship Id="rId1099" Type="http://schemas.openxmlformats.org/officeDocument/2006/relationships/hyperlink" Target="https://drive.google.com/open?id=1iExCfgp_Yrd4MF24JMwQCS0hHrdO_Ie-" TargetMode="External"/><Relationship Id="rId26" Type="http://schemas.openxmlformats.org/officeDocument/2006/relationships/hyperlink" Target="https://drive.google.com/open?id=1pRMvhhPakWHk3JmmvYk6b40bAoByDjzA" TargetMode="External"/><Relationship Id="rId231" Type="http://schemas.openxmlformats.org/officeDocument/2006/relationships/hyperlink" Target="https://drive.google.com/file/d/1SCdMn_UGSX4bZHv_rM83h98gKpygeIyM/view?usp=drivesdk" TargetMode="External"/><Relationship Id="rId329" Type="http://schemas.openxmlformats.org/officeDocument/2006/relationships/hyperlink" Target="https://drive.google.com/file/d/1usDt59Cgi2rRoJLgURJFDVlb0drIIGEh/view?usp=drivesdk" TargetMode="External"/><Relationship Id="rId536" Type="http://schemas.openxmlformats.org/officeDocument/2006/relationships/hyperlink" Target="https://drive.google.com/file/d/1NG_JBhoBkDRQaLO0s0DrRvK1Mrrzpa6c/view?usp=drivesdk" TargetMode="External"/><Relationship Id="rId1166" Type="http://schemas.openxmlformats.org/officeDocument/2006/relationships/hyperlink" Target="https://drive.google.com/open?id=1rW_llRKSlIIcY0u7ekdHAmjmseHJ9Mcz" TargetMode="External"/><Relationship Id="rId1373" Type="http://schemas.openxmlformats.org/officeDocument/2006/relationships/hyperlink" Target="https://drive.google.com/open?id=1E4XuG15VWn5wefM8zCTKl1etzqVTLPHK" TargetMode="External"/><Relationship Id="rId175" Type="http://schemas.openxmlformats.org/officeDocument/2006/relationships/hyperlink" Target="https://drive.google.com/open?id=1BYanQ6byneB71NGnFyyfhABnxalIDwiS" TargetMode="External"/><Relationship Id="rId743" Type="http://schemas.openxmlformats.org/officeDocument/2006/relationships/hyperlink" Target="https://drive.google.com/file/d/1giyxwh-sKDBs1rYCfz2YM0cUdB0jteO9/view?usp=drivesdk" TargetMode="External"/><Relationship Id="rId950" Type="http://schemas.openxmlformats.org/officeDocument/2006/relationships/hyperlink" Target="https://drive.google.com/open?id=19fJEbfbbTNMZRZN7R4sn7MzN-PRrul5E" TargetMode="External"/><Relationship Id="rId1026" Type="http://schemas.openxmlformats.org/officeDocument/2006/relationships/hyperlink" Target="https://drive.google.com/open?id=1ta_OlEK5JhDiJIUxVmY_nT4MaZv87c89" TargetMode="External"/><Relationship Id="rId382" Type="http://schemas.openxmlformats.org/officeDocument/2006/relationships/hyperlink" Target="https://drive.google.com/open?id=1wCzRtMXYnu9pVybzVyY0c2LYrBugwkQl" TargetMode="External"/><Relationship Id="rId603" Type="http://schemas.openxmlformats.org/officeDocument/2006/relationships/hyperlink" Target="https://drive.google.com/open?id=1GAroFSRp1Ii272XDhixMhAwsta8qjBNM" TargetMode="External"/><Relationship Id="rId687" Type="http://schemas.openxmlformats.org/officeDocument/2006/relationships/hyperlink" Target="https://drive.google.com/file/d/1gdvMkyOIBtL_HP8AY-BYbxBpcovD8fI3/view?usp=drivesdk" TargetMode="External"/><Relationship Id="rId810" Type="http://schemas.openxmlformats.org/officeDocument/2006/relationships/hyperlink" Target="https://drive.google.com/open?id=12nz88Z6dEQWWiQYWbx90ZyQMF60aHfY-" TargetMode="External"/><Relationship Id="rId908" Type="http://schemas.openxmlformats.org/officeDocument/2006/relationships/hyperlink" Target="https://drive.google.com/open?id=1zCCdMhRTFJglvXLN2wpN10fgJemDIyan" TargetMode="External"/><Relationship Id="rId1233" Type="http://schemas.openxmlformats.org/officeDocument/2006/relationships/hyperlink" Target="https://drive.google.com/open?id=1W4vjECnvAodU6tfKgcZcRa8z-TbL3Ozc" TargetMode="External"/><Relationship Id="rId1440" Type="http://schemas.openxmlformats.org/officeDocument/2006/relationships/hyperlink" Target="https://drive.google.com/file/d/1gcSNz9Dd-LEkRqntqm8b2PMgGPyQRyTK/view?usp=drivesdk" TargetMode="External"/><Relationship Id="rId242" Type="http://schemas.openxmlformats.org/officeDocument/2006/relationships/hyperlink" Target="https://drive.google.com/file/d/1EXzBVCi1NvKg_Kv2Azxl_ARa7k8lpGOQ/view?usp=drivesdk" TargetMode="External"/><Relationship Id="rId894" Type="http://schemas.openxmlformats.org/officeDocument/2006/relationships/hyperlink" Target="https://drive.google.com/open?id=13TvOIzsfwI5IBErH6p3BE-dZ34pgTNUs" TargetMode="External"/><Relationship Id="rId1177" Type="http://schemas.openxmlformats.org/officeDocument/2006/relationships/hyperlink" Target="https://drive.google.com/file/d/1MoSLmvkl3Hxg9dbU0-C9dZIdLTq1jM9H/view?usp=drivesdk" TargetMode="External"/><Relationship Id="rId1300" Type="http://schemas.openxmlformats.org/officeDocument/2006/relationships/hyperlink" Target="https://drive.google.com/open?id=1EsdJFg3EJQNUTyZsbBMoLW4FeSFNHb5W" TargetMode="External"/><Relationship Id="rId37" Type="http://schemas.openxmlformats.org/officeDocument/2006/relationships/hyperlink" Target="https://drive.google.com/file/d/1eyISSuHTIJsKbD3-okOjioatG6FRhuKy/view?usp=drivesdk" TargetMode="External"/><Relationship Id="rId102" Type="http://schemas.openxmlformats.org/officeDocument/2006/relationships/hyperlink" Target="https://drive.google.com/file/d/15bukjPSIKhtn074THOHOpcBmOU0pC7KY/view?usp=drivesdk" TargetMode="External"/><Relationship Id="rId547" Type="http://schemas.openxmlformats.org/officeDocument/2006/relationships/hyperlink" Target="https://drive.google.com/open?id=1U-CnJNuXX1S2rHlXQR2l6nXYP1yLGf6z" TargetMode="External"/><Relationship Id="rId754" Type="http://schemas.openxmlformats.org/officeDocument/2006/relationships/hyperlink" Target="https://drive.google.com/open?id=1uJxV1QI5JsXOU4UbeRFVypM309r8n6av" TargetMode="External"/><Relationship Id="rId961" Type="http://schemas.openxmlformats.org/officeDocument/2006/relationships/hyperlink" Target="https://drive.google.com/file/d/1ZkwXARMQ7mZVHLksQOKM7EM37M13RUH-/view?usp=drivesdk" TargetMode="External"/><Relationship Id="rId1384" Type="http://schemas.openxmlformats.org/officeDocument/2006/relationships/hyperlink" Target="https://drive.google.com/file/d/1wN80ehFgRFQ4tWRnUdOi0EJK6XvGY8lo/view?usp=drivesdk" TargetMode="External"/><Relationship Id="rId90" Type="http://schemas.openxmlformats.org/officeDocument/2006/relationships/hyperlink" Target="https://drive.google.com/open?id=1KZ3BdpHkZJ91SxoNy2OxucX875ogiOMT" TargetMode="External"/><Relationship Id="rId186" Type="http://schemas.openxmlformats.org/officeDocument/2006/relationships/hyperlink" Target="https://drive.google.com/open?id=1NmOKzD-K_aekyGzoIbckTSlsGQ8_1xt4" TargetMode="External"/><Relationship Id="rId393" Type="http://schemas.openxmlformats.org/officeDocument/2006/relationships/hyperlink" Target="https://drive.google.com/file/d/11jHFTTuVfNENkSWhMT_84mRZf2pljwis/view?usp=drivesdk" TargetMode="External"/><Relationship Id="rId407" Type="http://schemas.openxmlformats.org/officeDocument/2006/relationships/hyperlink" Target="https://drive.google.com/open?id=1lBouXgxz4hkpyZBxwIqdm5LG7DshNSv0" TargetMode="External"/><Relationship Id="rId614" Type="http://schemas.openxmlformats.org/officeDocument/2006/relationships/hyperlink" Target="https://drive.google.com/file/d/1-nDf4qjiA1sg6JA95gLO66yg3JbWGEKm/view?usp=drivesdk" TargetMode="External"/><Relationship Id="rId821" Type="http://schemas.openxmlformats.org/officeDocument/2006/relationships/hyperlink" Target="https://drive.google.com/file/d/1heNxoWcbp4oDDM1J_WzsSa1FyJ2pByBZ/view?usp=drivesdk" TargetMode="External"/><Relationship Id="rId1037" Type="http://schemas.openxmlformats.org/officeDocument/2006/relationships/hyperlink" Target="https://drive.google.com/file/d/1242OljUIwRhkEI6Nw6zQevTIBC88eUlx/view?usp=drivesdk" TargetMode="External"/><Relationship Id="rId1244" Type="http://schemas.openxmlformats.org/officeDocument/2006/relationships/hyperlink" Target="https://drive.google.com/open?id=1EC3rtbix0mW60Pv4IW_ITWnnaD8DUOkc" TargetMode="External"/><Relationship Id="rId1451" Type="http://schemas.openxmlformats.org/officeDocument/2006/relationships/hyperlink" Target="https://drive.google.com/open?id=1h8OfFoWUTP0MQRaR1ffNmnEEKQ7QJUHq" TargetMode="External"/><Relationship Id="rId253" Type="http://schemas.openxmlformats.org/officeDocument/2006/relationships/hyperlink" Target="https://drive.google.com/open?id=18gbMBtOsheY7ha0zah_GUJqgQ0OPnM3L" TargetMode="External"/><Relationship Id="rId460" Type="http://schemas.openxmlformats.org/officeDocument/2006/relationships/hyperlink" Target="https://drive.google.com/file/d/1c_ZdGmWK-fRzzFHZregRk8t-2zFkAdci/view?usp=drivesdk" TargetMode="External"/><Relationship Id="rId698" Type="http://schemas.openxmlformats.org/officeDocument/2006/relationships/hyperlink" Target="https://drive.google.com/open?id=1LfamwvMgHMFzh1C4F4yD_mxU_rASbBj8" TargetMode="External"/><Relationship Id="rId919" Type="http://schemas.openxmlformats.org/officeDocument/2006/relationships/hyperlink" Target="https://drive.google.com/file/d/1YMu4zLwJWpyH5dVFD5suRM2dXtaJDgyE/view?usp=drivesdk" TargetMode="External"/><Relationship Id="rId1090" Type="http://schemas.openxmlformats.org/officeDocument/2006/relationships/hyperlink" Target="https://drive.google.com/open?id=1jW7-AzKyUAD0nTwuspXW36zXsPfed9K7" TargetMode="External"/><Relationship Id="rId1104" Type="http://schemas.openxmlformats.org/officeDocument/2006/relationships/hyperlink" Target="https://drive.google.com/file/d/1CEzCQdzaaxQ76kFfWH8OTbfrs2FmCeX6/view?usp=drivesdk" TargetMode="External"/><Relationship Id="rId1311" Type="http://schemas.openxmlformats.org/officeDocument/2006/relationships/hyperlink" Target="https://drive.google.com/file/d/1t94ZGz9RvRe4AKJJGdGdGzUUU5NNwMpz/view?usp=drivesdk" TargetMode="External"/><Relationship Id="rId48" Type="http://schemas.openxmlformats.org/officeDocument/2006/relationships/hyperlink" Target="https://drive.google.com/open?id=1Xt-4eR2om8sAeCpB37kBVM4OgqhVozBT" TargetMode="External"/><Relationship Id="rId113" Type="http://schemas.openxmlformats.org/officeDocument/2006/relationships/hyperlink" Target="https://drive.google.com/file/d/1IXwBZI99q9Ydgem9QzT__Uy8GtLVLtO5/view?usp=drivesdk" TargetMode="External"/><Relationship Id="rId320" Type="http://schemas.openxmlformats.org/officeDocument/2006/relationships/hyperlink" Target="https://drive.google.com/open?id=1NSMGnJeV80TtySLjwwwwfOdMm8hjHJyE" TargetMode="External"/><Relationship Id="rId558" Type="http://schemas.openxmlformats.org/officeDocument/2006/relationships/hyperlink" Target="https://drive.google.com/file/d/17RSmpMNew1z7UgXChDilVcSlxSjwn0kC/view?usp=drivesdk" TargetMode="External"/><Relationship Id="rId765" Type="http://schemas.openxmlformats.org/officeDocument/2006/relationships/hyperlink" Target="https://drive.google.com/open?id=1LPGdySWPZYFIEcv0Gv0wwXT511YG4QbI" TargetMode="External"/><Relationship Id="rId972" Type="http://schemas.openxmlformats.org/officeDocument/2006/relationships/hyperlink" Target="https://drive.google.com/open?id=1QfAlCwWM_IWobxpA0vd-hFSbK9JT_rFl" TargetMode="External"/><Relationship Id="rId1188" Type="http://schemas.openxmlformats.org/officeDocument/2006/relationships/hyperlink" Target="https://drive.google.com/open?id=1zAHn_9TVYuaPve0R1h3XLqQfNdLDjgba" TargetMode="External"/><Relationship Id="rId1395" Type="http://schemas.openxmlformats.org/officeDocument/2006/relationships/hyperlink" Target="https://drive.google.com/open?id=1G0HNUBAQaNuYt-xJCu99Hm1Rice_T7xh" TargetMode="External"/><Relationship Id="rId1409" Type="http://schemas.openxmlformats.org/officeDocument/2006/relationships/hyperlink" Target="https://drive.google.com/open?id=1CSK7H03hFcm--Jlu2CNXGOTs3Sb9QWN6" TargetMode="External"/><Relationship Id="rId197" Type="http://schemas.openxmlformats.org/officeDocument/2006/relationships/hyperlink" Target="https://drive.google.com/open?id=1tUsY2TeNRJhqNEOji5FiwEefPIZFoaIE" TargetMode="External"/><Relationship Id="rId418" Type="http://schemas.openxmlformats.org/officeDocument/2006/relationships/hyperlink" Target="https://drive.google.com/file/d/1hoLrcgQ7o30XTzVeKWnagnFJMtDvWLKO/view?usp=drivesdk" TargetMode="External"/><Relationship Id="rId625" Type="http://schemas.openxmlformats.org/officeDocument/2006/relationships/hyperlink" Target="https://drive.google.com/open?id=1TrHJJjzNXDEds7kZNeuJvHbmIeqxzs1J" TargetMode="External"/><Relationship Id="rId832" Type="http://schemas.openxmlformats.org/officeDocument/2006/relationships/hyperlink" Target="https://drive.google.com/open?id=1pt7fkhFgYcnyXZQjZ4qD8uVl-rvHcy5l" TargetMode="External"/><Relationship Id="rId1048" Type="http://schemas.openxmlformats.org/officeDocument/2006/relationships/hyperlink" Target="https://drive.google.com/open?id=1dZXUAZSXrIVvhJaR3cKbMP_5xy9lZTJp" TargetMode="External"/><Relationship Id="rId1255" Type="http://schemas.openxmlformats.org/officeDocument/2006/relationships/hyperlink" Target="https://drive.google.com/file/d/1qUxjZXmHsY5AP-pUVN1aIM6qcMwngZqN/view?usp=drivesdk" TargetMode="External"/><Relationship Id="rId1462" Type="http://schemas.openxmlformats.org/officeDocument/2006/relationships/hyperlink" Target="https://drive.google.com/file/d/1PxA2DgwqRyWMSKDWaNWQmMybIYXGE0vR/view?usp=drivesdk" TargetMode="External"/><Relationship Id="rId264" Type="http://schemas.openxmlformats.org/officeDocument/2006/relationships/hyperlink" Target="https://drive.google.com/open?id=1OoWN1rVPEyf8ZlB8Gl8Npld7O2ZYdG6F" TargetMode="External"/><Relationship Id="rId471" Type="http://schemas.openxmlformats.org/officeDocument/2006/relationships/hyperlink" Target="https://drive.google.com/file/d/1pmVU6uBnfmCO6TeI6KM7nfLwqxd-w_ra/view?usp=drivesdk" TargetMode="External"/><Relationship Id="rId1115" Type="http://schemas.openxmlformats.org/officeDocument/2006/relationships/hyperlink" Target="https://drive.google.com/open?id=1NXLJTIxrwi6JhKx-J_dm6o1pviJEuRwe" TargetMode="External"/><Relationship Id="rId1322" Type="http://schemas.openxmlformats.org/officeDocument/2006/relationships/hyperlink" Target="https://drive.google.com/open?id=1ggk120jZiISTGIRiRgHhZFwdD7A1R6YG" TargetMode="External"/><Relationship Id="rId59" Type="http://schemas.openxmlformats.org/officeDocument/2006/relationships/hyperlink" Target="https://drive.google.com/file/d/17N1AozQzDziBCSLN4csM9aI_XeIDBLnk/view?usp=drivesdk" TargetMode="External"/><Relationship Id="rId124" Type="http://schemas.openxmlformats.org/officeDocument/2006/relationships/hyperlink" Target="https://drive.google.com/file/d/1tYqDdTv8EqNUN0WZnu_2Epzf1tel6Eko/view?usp=drivesdk" TargetMode="External"/><Relationship Id="rId569" Type="http://schemas.openxmlformats.org/officeDocument/2006/relationships/hyperlink" Target="https://drive.google.com/open?id=1YYDFIi29fo8jY-j96grI__XEXtD14fIl" TargetMode="External"/><Relationship Id="rId776" Type="http://schemas.openxmlformats.org/officeDocument/2006/relationships/hyperlink" Target="https://drive.google.com/open?id=1shRgiKCJZVHa6Qym8d8BV16gfOpmDnrE" TargetMode="External"/><Relationship Id="rId983" Type="http://schemas.openxmlformats.org/officeDocument/2006/relationships/hyperlink" Target="https://drive.google.com/file/d/1ZcKhaFoy1nxUDnKHfPaFuRzRNxCnYEuM/view?usp=drivesdk" TargetMode="External"/><Relationship Id="rId1199" Type="http://schemas.openxmlformats.org/officeDocument/2006/relationships/hyperlink" Target="https://drive.google.com/file/d/1dP2aXDuF4ILdYl0YHhalX8Ak24dE2eK0/view?usp=drivesdk" TargetMode="External"/><Relationship Id="rId331" Type="http://schemas.openxmlformats.org/officeDocument/2006/relationships/hyperlink" Target="https://drive.google.com/open?id=1Ot7nzUstYzC486mZVkShIqToDW-UWy6u" TargetMode="External"/><Relationship Id="rId429" Type="http://schemas.openxmlformats.org/officeDocument/2006/relationships/hyperlink" Target="https://drive.google.com/open?id=1COIy77-1FsJw2v86mK3Xwvqd6bJ7XbKA" TargetMode="External"/><Relationship Id="rId636" Type="http://schemas.openxmlformats.org/officeDocument/2006/relationships/hyperlink" Target="https://drive.google.com/file/d/12Lqeh40O7i12lrnxgQiOaExqebMo8tQB/view?usp=drivesdk" TargetMode="External"/><Relationship Id="rId1059" Type="http://schemas.openxmlformats.org/officeDocument/2006/relationships/hyperlink" Target="https://drive.google.com/file/d/1wPLQoCQGLwWEB0Hrl-QtqbK-OZtgn-wD/view?usp=drivesdk" TargetMode="External"/><Relationship Id="rId1266" Type="http://schemas.openxmlformats.org/officeDocument/2006/relationships/hyperlink" Target="https://drive.google.com/open?id=18w6UV76jEgh9DMUi7XWucHbKbJyI_4oV" TargetMode="External"/><Relationship Id="rId843" Type="http://schemas.openxmlformats.org/officeDocument/2006/relationships/hyperlink" Target="https://drive.google.com/file/d/1V5p_0mAgiU18rxBIGGGtKXlcWCyiQB6v/view?usp=drivesdk" TargetMode="External"/><Relationship Id="rId1126" Type="http://schemas.openxmlformats.org/officeDocument/2006/relationships/hyperlink" Target="https://drive.google.com/file/d/15UJHMTmeDHzOmPWZsFeAZupAYSgeRK00/view?usp=drivesdk" TargetMode="External"/><Relationship Id="rId275" Type="http://schemas.openxmlformats.org/officeDocument/2006/relationships/hyperlink" Target="https://drive.google.com/open?id=1ThZpkxvFQZMg3DuQjg4Rxi2fB92wgSJa" TargetMode="External"/><Relationship Id="rId482" Type="http://schemas.openxmlformats.org/officeDocument/2006/relationships/hyperlink" Target="https://drive.google.com/file/d/1TMN_QGC_zA-3F0fPDZx5HbpjJTrMZCmz/view?usp=drivesdk" TargetMode="External"/><Relationship Id="rId703" Type="http://schemas.openxmlformats.org/officeDocument/2006/relationships/hyperlink" Target="https://drive.google.com/open?id=1_6YUWgd8NKvTTa_mYSnaql3RRmqDs1qt" TargetMode="External"/><Relationship Id="rId910" Type="http://schemas.openxmlformats.org/officeDocument/2006/relationships/hyperlink" Target="https://drive.google.com/open?id=160kbABLTtfRr2CGJxO0ItBf016lEWYEr" TargetMode="External"/><Relationship Id="rId1333" Type="http://schemas.openxmlformats.org/officeDocument/2006/relationships/hyperlink" Target="https://drive.google.com/open?id=1ML7HSAbQ3hrYjZnvr3qHBEknRU9Y8eDh" TargetMode="External"/><Relationship Id="rId135" Type="http://schemas.openxmlformats.org/officeDocument/2006/relationships/hyperlink" Target="https://drive.google.com/open?id=1WzteGUUDy3K7Kh7fBgAO8Am3_wKosKnz" TargetMode="External"/><Relationship Id="rId342" Type="http://schemas.openxmlformats.org/officeDocument/2006/relationships/hyperlink" Target="https://drive.google.com/file/d/1EIZTPIZLkxKG7YJ4VWH_fUT776saiiXT/view?usp=drivesdk" TargetMode="External"/><Relationship Id="rId787" Type="http://schemas.openxmlformats.org/officeDocument/2006/relationships/hyperlink" Target="https://drive.google.com/file/d/1zZ8pxnQxtGrpfhhcL432hMZK7Q0XstVk/view?usp=drivesdk" TargetMode="External"/><Relationship Id="rId994" Type="http://schemas.openxmlformats.org/officeDocument/2006/relationships/hyperlink" Target="https://drive.google.com/open?id=1K9ydQGgVTO-D8HVgx6BYGdPh5FTCp3j4" TargetMode="External"/><Relationship Id="rId1400" Type="http://schemas.openxmlformats.org/officeDocument/2006/relationships/hyperlink" Target="https://drive.google.com/file/d/1oOkBiACu1Pfi5wzEFT-6FtsBQ-xSi41O/view?usp=drivesdk" TargetMode="External"/><Relationship Id="rId202" Type="http://schemas.openxmlformats.org/officeDocument/2006/relationships/hyperlink" Target="https://drive.google.com/file/d/1SmKXjKU7ZTl6citNG1XTUdLQHI_01s8s/view?usp=drivesdk" TargetMode="External"/><Relationship Id="rId647" Type="http://schemas.openxmlformats.org/officeDocument/2006/relationships/hyperlink" Target="https://drive.google.com/file/d/1UNJj0hxgZoTpRi_lFbr6H1aC8JRDCj7f/view?usp=drivesdk" TargetMode="External"/><Relationship Id="rId854" Type="http://schemas.openxmlformats.org/officeDocument/2006/relationships/hyperlink" Target="https://drive.google.com/open?id=1LI2Df53usttRcFxUxcbBOlvEgrLzPMBN" TargetMode="External"/><Relationship Id="rId1277" Type="http://schemas.openxmlformats.org/officeDocument/2006/relationships/hyperlink" Target="https://drive.google.com/file/d/1SP65nVpULzqd34C3v7AadCOWzWhZ5Fyu/view?usp=drivesdk" TargetMode="External"/><Relationship Id="rId286" Type="http://schemas.openxmlformats.org/officeDocument/2006/relationships/hyperlink" Target="https://drive.google.com/file/d/1ehuZK4-9B2dlj2neVhJ-Y12KnsS2vyPl/view?usp=drivesdk" TargetMode="External"/><Relationship Id="rId493" Type="http://schemas.openxmlformats.org/officeDocument/2006/relationships/hyperlink" Target="https://drive.google.com/open?id=1NgKNnGqceYqEVcd7CSOIOBE-QWPAzi5U" TargetMode="External"/><Relationship Id="rId507" Type="http://schemas.openxmlformats.org/officeDocument/2006/relationships/hyperlink" Target="https://drive.google.com/file/d/1W32e0Scsxt27L6rb-qSf3qDy0yp7geqE/view?usp=drivesdk" TargetMode="External"/><Relationship Id="rId714" Type="http://schemas.openxmlformats.org/officeDocument/2006/relationships/hyperlink" Target="https://drive.google.com/open?id=1R65QIAANHQCxsGdRzrm7tyiIfSY0fuKB" TargetMode="External"/><Relationship Id="rId921" Type="http://schemas.openxmlformats.org/officeDocument/2006/relationships/hyperlink" Target="https://drive.google.com/file/d/1wgMkwFphGx3MaAp6MZKHndW-qrE6M_s8/view?usp=drivesdk" TargetMode="External"/><Relationship Id="rId1137" Type="http://schemas.openxmlformats.org/officeDocument/2006/relationships/hyperlink" Target="https://drive.google.com/open?id=1ZiLKxoiUbAyIQbMvrJ1eFOm-54QTguaB" TargetMode="External"/><Relationship Id="rId1344" Type="http://schemas.openxmlformats.org/officeDocument/2006/relationships/hyperlink" Target="https://drive.google.com/file/d/1LfL9LY3g8V95vFGkr39G0BVyBlCH7ct1/view?usp=drivesdk" TargetMode="External"/><Relationship Id="rId50" Type="http://schemas.openxmlformats.org/officeDocument/2006/relationships/hyperlink" Target="https://drive.google.com/open?id=1KiT-i5-qROCkVo4sQQaYNGfYBqDBOklo" TargetMode="External"/><Relationship Id="rId146" Type="http://schemas.openxmlformats.org/officeDocument/2006/relationships/hyperlink" Target="https://drive.google.com/file/d/1CkBWbBgvzZQ2yKS-6uMCYiHBq-d0qXAX/view?usp=drivesdk" TargetMode="External"/><Relationship Id="rId353" Type="http://schemas.openxmlformats.org/officeDocument/2006/relationships/hyperlink" Target="https://drive.google.com/open?id=18digA0SBWsJ0Fd1WI7gpCwMpp4ZFkXBm" TargetMode="External"/><Relationship Id="rId560" Type="http://schemas.openxmlformats.org/officeDocument/2006/relationships/hyperlink" Target="https://drive.google.com/file/d/1YUKZBG5u4jHjLV_I3Gd-qUd1-JrGXTKL/view?usp=drivesdk" TargetMode="External"/><Relationship Id="rId798" Type="http://schemas.openxmlformats.org/officeDocument/2006/relationships/hyperlink" Target="https://drive.google.com/open?id=1C4jZRjCRJwHAYZ_fCVk-pZ6zC8NquP7O" TargetMode="External"/><Relationship Id="rId1190" Type="http://schemas.openxmlformats.org/officeDocument/2006/relationships/hyperlink" Target="https://drive.google.com/open?id=1gfHio6_PHagLvxL2nwl8NfivwEJMpQsK" TargetMode="External"/><Relationship Id="rId1204" Type="http://schemas.openxmlformats.org/officeDocument/2006/relationships/hyperlink" Target="https://drive.google.com/open?id=1RKZzZrbgaoTxpvQy2YpitavIJi3l9V0R" TargetMode="External"/><Relationship Id="rId1411" Type="http://schemas.openxmlformats.org/officeDocument/2006/relationships/hyperlink" Target="https://drive.google.com/open?id=1AocLr4tTQsKbUZVIwnjJVVpTr25fUWEN" TargetMode="External"/><Relationship Id="rId213" Type="http://schemas.openxmlformats.org/officeDocument/2006/relationships/hyperlink" Target="https://drive.google.com/file/d/1oUUxYX_eoof-UP5DrXAuKRs7A1kB_-nw/view?usp=drivesdk" TargetMode="External"/><Relationship Id="rId420" Type="http://schemas.openxmlformats.org/officeDocument/2006/relationships/hyperlink" Target="https://drive.google.com/file/d/1b-CKGrgSxef3_8b7zpyN3q89PqnKo6uV/view?usp=drivesdk" TargetMode="External"/><Relationship Id="rId658" Type="http://schemas.openxmlformats.org/officeDocument/2006/relationships/hyperlink" Target="https://drive.google.com/open?id=1iFjITDLXK7VFyEP5_NpZJySSTlYKAZl5" TargetMode="External"/><Relationship Id="rId865" Type="http://schemas.openxmlformats.org/officeDocument/2006/relationships/hyperlink" Target="https://drive.google.com/file/d/18rV36D51n290ag63w2je71K61b83TR7n/view?usp=drivesdk" TargetMode="External"/><Relationship Id="rId1050" Type="http://schemas.openxmlformats.org/officeDocument/2006/relationships/hyperlink" Target="https://drive.google.com/open?id=1Tx2x-YsIvvh0TPO-kJoNyMhu0oelvm2b" TargetMode="External"/><Relationship Id="rId1288" Type="http://schemas.openxmlformats.org/officeDocument/2006/relationships/hyperlink" Target="https://drive.google.com/open?id=1nXFtWPMLY5EreWPSjh9_4_2kiUZP78QV" TargetMode="External"/><Relationship Id="rId297" Type="http://schemas.openxmlformats.org/officeDocument/2006/relationships/hyperlink" Target="https://drive.google.com/open?id=1Fwgzi6LKkyd9H4WYZ2hkmw0sOqr60lB-" TargetMode="External"/><Relationship Id="rId518" Type="http://schemas.openxmlformats.org/officeDocument/2006/relationships/hyperlink" Target="https://drive.google.com/open?id=1_iPepfyD7ZPwRWcC1gG03p6rkafooVlw" TargetMode="External"/><Relationship Id="rId725" Type="http://schemas.openxmlformats.org/officeDocument/2006/relationships/hyperlink" Target="https://drive.google.com/file/d/1GiZ0bOFnzXQCwlCevu3XhEVyKAen8GiK/view?usp=drivesdk" TargetMode="External"/><Relationship Id="rId932" Type="http://schemas.openxmlformats.org/officeDocument/2006/relationships/hyperlink" Target="https://drive.google.com/open?id=1Jwglmtau_jwIEsxAx9V_B021Vr8KspW1" TargetMode="External"/><Relationship Id="rId1148" Type="http://schemas.openxmlformats.org/officeDocument/2006/relationships/hyperlink" Target="https://drive.google.com/open?id=1RNPFcO7VJwtUEPIeBEBRChqz-m3GRHDF" TargetMode="External"/><Relationship Id="rId1355" Type="http://schemas.openxmlformats.org/officeDocument/2006/relationships/hyperlink" Target="https://drive.google.com/open?id=1_yG-RfLgRMkYi1C85qHuqx5r12zg1KhY" TargetMode="External"/><Relationship Id="rId157" Type="http://schemas.openxmlformats.org/officeDocument/2006/relationships/hyperlink" Target="https://drive.google.com/open?id=1sgYIqcVhXv5Gx01W1o8jxjsMHveG6_Cm" TargetMode="External"/><Relationship Id="rId364" Type="http://schemas.openxmlformats.org/officeDocument/2006/relationships/hyperlink" Target="https://drive.google.com/open?id=1fXXAJtZ6xZmPzZvl3SEC1tEKLTyw_Iou" TargetMode="External"/><Relationship Id="rId1008" Type="http://schemas.openxmlformats.org/officeDocument/2006/relationships/hyperlink" Target="https://drive.google.com/open?id=1gj8O-ZCAxxYnkzkYg68_yHDJRa77Cbf1" TargetMode="External"/><Relationship Id="rId1215" Type="http://schemas.openxmlformats.org/officeDocument/2006/relationships/hyperlink" Target="https://drive.google.com/open?id=1Gw74EzhkBS-X0V7Vk4YSgktNwlERSFgf" TargetMode="External"/><Relationship Id="rId1422" Type="http://schemas.openxmlformats.org/officeDocument/2006/relationships/hyperlink" Target="https://drive.google.com/file/d/1DKAUiNAH9s6VeyGMr2dk7Dgx8GA8NNie/view?usp=drivesdk" TargetMode="External"/><Relationship Id="rId61" Type="http://schemas.openxmlformats.org/officeDocument/2006/relationships/hyperlink" Target="https://drive.google.com/file/d/1ef8mSGbE_xGVtfujHMuHL9ufAT83Qhhf/view?usp=drivesdk" TargetMode="External"/><Relationship Id="rId571" Type="http://schemas.openxmlformats.org/officeDocument/2006/relationships/hyperlink" Target="https://drive.google.com/open?id=1Xbfva34DV7VCm3InAeaqesfot_WhAVS4" TargetMode="External"/><Relationship Id="rId669" Type="http://schemas.openxmlformats.org/officeDocument/2006/relationships/hyperlink" Target="https://drive.google.com/file/d/12KDmX_5wDltqDuUhoRfqjx3ItsllNDLx/view?usp=drivesdk" TargetMode="External"/><Relationship Id="rId876" Type="http://schemas.openxmlformats.org/officeDocument/2006/relationships/hyperlink" Target="https://drive.google.com/open?id=16MtuJ1yRHmRzaES-NTfw9AXetxE2E8qP" TargetMode="External"/><Relationship Id="rId1299" Type="http://schemas.openxmlformats.org/officeDocument/2006/relationships/hyperlink" Target="https://drive.google.com/file/d/1eGnixIYviKy7H1b4YKLFDCpspJ6UjKLB/view?usp=drivesdk" TargetMode="External"/><Relationship Id="rId19" Type="http://schemas.openxmlformats.org/officeDocument/2006/relationships/hyperlink" Target="https://drive.google.com/file/d/15fXGhFlhRT0fllOpTzons26Mhuoo_NQz/view?usp=drivesdk" TargetMode="External"/><Relationship Id="rId224" Type="http://schemas.openxmlformats.org/officeDocument/2006/relationships/hyperlink" Target="https://drive.google.com/open?id=1XaqQYLlRcrkoXcyEIDr0NAg9Zt9Mc-nV" TargetMode="External"/><Relationship Id="rId431" Type="http://schemas.openxmlformats.org/officeDocument/2006/relationships/hyperlink" Target="https://drive.google.com/open?id=19W4T_kQRTVZXsx74EUtPPrl_IdXQUzg4" TargetMode="External"/><Relationship Id="rId529" Type="http://schemas.openxmlformats.org/officeDocument/2006/relationships/hyperlink" Target="https://drive.google.com/open?id=1gpIO81XFXelIA31Y9dwAX3Qfyzr7lSGs" TargetMode="External"/><Relationship Id="rId736" Type="http://schemas.openxmlformats.org/officeDocument/2006/relationships/hyperlink" Target="https://drive.google.com/open?id=1tUfGXcLZa4jQWUzq1GWUpokTJAFkpHm5" TargetMode="External"/><Relationship Id="rId1061" Type="http://schemas.openxmlformats.org/officeDocument/2006/relationships/hyperlink" Target="https://drive.google.com/file/d/1iATLS2d_CAQsQe61l93WGCYi_pXWYfM8/view?usp=drivesdk" TargetMode="External"/><Relationship Id="rId1159" Type="http://schemas.openxmlformats.org/officeDocument/2006/relationships/hyperlink" Target="https://drive.google.com/file/d/1itdO8Zaa-ry9mAQc5t4rg06tIODc1y7Z/view?usp=drivesdk" TargetMode="External"/><Relationship Id="rId1366" Type="http://schemas.openxmlformats.org/officeDocument/2006/relationships/hyperlink" Target="https://drive.google.com/file/d/10XONnnc97T0nRFfCVokNEMU2yHA0ErAH/view?usp=drivesdk" TargetMode="External"/><Relationship Id="rId168" Type="http://schemas.openxmlformats.org/officeDocument/2006/relationships/hyperlink" Target="https://drive.google.com/open?id=1aA0qlxUCYTueZZSSKLcZHWrcO8eknZSY" TargetMode="External"/><Relationship Id="rId943" Type="http://schemas.openxmlformats.org/officeDocument/2006/relationships/hyperlink" Target="https://drive.google.com/file/d/1o45zffwwZQvSz4KXXlsCNaKpcKnrDuXp/view?usp=drivesdk" TargetMode="External"/><Relationship Id="rId1019" Type="http://schemas.openxmlformats.org/officeDocument/2006/relationships/hyperlink" Target="https://drive.google.com/file/d/1x415600bwI7kbL0JCAYs5sNj1TsyAfbi/view?usp=drivesdk" TargetMode="External"/><Relationship Id="rId72" Type="http://schemas.openxmlformats.org/officeDocument/2006/relationships/hyperlink" Target="https://drive.google.com/open?id=1Ny17lnfX-4BOT0H8C84w8ILdAaOKAhfk" TargetMode="External"/><Relationship Id="rId375" Type="http://schemas.openxmlformats.org/officeDocument/2006/relationships/hyperlink" Target="https://drive.google.com/file/d/1uE9i4p1ygXHRQFBx0vHJQEk9cFKTbBFf/view?usp=drivesdk" TargetMode="External"/><Relationship Id="rId582" Type="http://schemas.openxmlformats.org/officeDocument/2006/relationships/hyperlink" Target="https://drive.google.com/file/d/1BW5YH-53dGjZeUSkUec5FOuvfvVTWbWT/view?usp=drivesdk" TargetMode="External"/><Relationship Id="rId803" Type="http://schemas.openxmlformats.org/officeDocument/2006/relationships/hyperlink" Target="https://drive.google.com/file/d/1N28LsuQ11IV52vkzChIjk6gx5cRfsJ1X/view?usp=drivesdk" TargetMode="External"/><Relationship Id="rId1226" Type="http://schemas.openxmlformats.org/officeDocument/2006/relationships/hyperlink" Target="https://drive.google.com/file/d/1ZAIrFHulglB14H6lO2rPJQolA3nz8dXv/view?usp=drivesdk" TargetMode="External"/><Relationship Id="rId1433" Type="http://schemas.openxmlformats.org/officeDocument/2006/relationships/hyperlink" Target="https://drive.google.com/open?id=1qOxHMQ8Bu07RbUujLGg-0F_qDk2zgkXH" TargetMode="External"/><Relationship Id="rId3" Type="http://schemas.openxmlformats.org/officeDocument/2006/relationships/hyperlink" Target="https://drive.google.com/file/d/149ZcJWZKRBGgnZcEt-5zAFELzAWTeuhf/view?usp=drivesdk" TargetMode="External"/><Relationship Id="rId235" Type="http://schemas.openxmlformats.org/officeDocument/2006/relationships/hyperlink" Target="https://drive.google.com/open?id=1nrhw_0a66hb_8AGJh4SGNbl1jyEwuIsW" TargetMode="External"/><Relationship Id="rId442" Type="http://schemas.openxmlformats.org/officeDocument/2006/relationships/hyperlink" Target="https://drive.google.com/open?id=1UilDIsyFUoCzRhrVBqJEJzR8NQc7yiNn" TargetMode="External"/><Relationship Id="rId887" Type="http://schemas.openxmlformats.org/officeDocument/2006/relationships/hyperlink" Target="https://drive.google.com/file/d/1BMFxMae6_2LFu6H0c2ANXp0Mx0pPzlCR/view?usp=drivesdk" TargetMode="External"/><Relationship Id="rId1072" Type="http://schemas.openxmlformats.org/officeDocument/2006/relationships/hyperlink" Target="https://drive.google.com/open?id=1ccR3djKrP4GlK5LoKGWvoWF_tbGtDKK_" TargetMode="External"/><Relationship Id="rId302" Type="http://schemas.openxmlformats.org/officeDocument/2006/relationships/hyperlink" Target="https://drive.google.com/file/d/1PFRCt8sycm8AWpyalh9WXadPHHz93pp0/view?usp=drivesdk" TargetMode="External"/><Relationship Id="rId747" Type="http://schemas.openxmlformats.org/officeDocument/2006/relationships/hyperlink" Target="https://drive.google.com/file/d/1GICdCd9BHWGjfh34OvefAzUM-V4_wkIP/view?usp=drivesdk" TargetMode="External"/><Relationship Id="rId954" Type="http://schemas.openxmlformats.org/officeDocument/2006/relationships/hyperlink" Target="https://drive.google.com/open?id=1kwVVgVnyDE7Mi01eQ6Un0EeL28heTD3T" TargetMode="External"/><Relationship Id="rId1377" Type="http://schemas.openxmlformats.org/officeDocument/2006/relationships/hyperlink" Target="https://drive.google.com/open?id=1iUBEnFj5ttcZBA7J0jVR0bIJk-ZLzAvj" TargetMode="External"/><Relationship Id="rId83" Type="http://schemas.openxmlformats.org/officeDocument/2006/relationships/hyperlink" Target="https://drive.google.com/open?id=19tCLQWzxYlOb3-WPS90V1hNJ0Hq1rBlO" TargetMode="External"/><Relationship Id="rId179" Type="http://schemas.openxmlformats.org/officeDocument/2006/relationships/hyperlink" Target="https://drive.google.com/open?id=1342vwLcyzMpIzUrphViCK0gn_cHiZeu6" TargetMode="External"/><Relationship Id="rId386" Type="http://schemas.openxmlformats.org/officeDocument/2006/relationships/hyperlink" Target="https://drive.google.com/file/d/1P2lXp25hQPLPKdy6bz7PF9iZCLDP2mpP/view?usp=drivesdk" TargetMode="External"/><Relationship Id="rId593" Type="http://schemas.openxmlformats.org/officeDocument/2006/relationships/hyperlink" Target="https://drive.google.com/open?id=1C4S2RNHsMXPKdYbhVQIjmJw_8Dhoit7i" TargetMode="External"/><Relationship Id="rId607" Type="http://schemas.openxmlformats.org/officeDocument/2006/relationships/hyperlink" Target="https://drive.google.com/open?id=16bcTdUkpko9UY8pQ_jPrs19LULHlZ76J" TargetMode="External"/><Relationship Id="rId814" Type="http://schemas.openxmlformats.org/officeDocument/2006/relationships/hyperlink" Target="https://drive.google.com/open?id=11nKLU8LmaCq_OcwBHvkrHRGc0q9bjB5h" TargetMode="External"/><Relationship Id="rId1237" Type="http://schemas.openxmlformats.org/officeDocument/2006/relationships/hyperlink" Target="https://drive.google.com/open?id=1tCacc1XRId8n2il4PkdMgnUVWJ8R1WES" TargetMode="External"/><Relationship Id="rId1444" Type="http://schemas.openxmlformats.org/officeDocument/2006/relationships/hyperlink" Target="https://drive.google.com/file/d/1qlhRiYLu_su89THQGrnYgDXqxvh-Kr83/view?usp=drivesdk" TargetMode="External"/><Relationship Id="rId246" Type="http://schemas.openxmlformats.org/officeDocument/2006/relationships/hyperlink" Target="https://drive.google.com/file/d/1s-ypow4CYfD0fMgdS_LSWdHn5Vk3M7tq/view?usp=drivesdk" TargetMode="External"/><Relationship Id="rId453" Type="http://schemas.openxmlformats.org/officeDocument/2006/relationships/hyperlink" Target="https://drive.google.com/open?id=1UZqqiEZ4zNrqJWYpeQYNd6yqqlUHfQLh" TargetMode="External"/><Relationship Id="rId660" Type="http://schemas.openxmlformats.org/officeDocument/2006/relationships/hyperlink" Target="https://drive.google.com/open?id=1tcmIculGLkIDbV-3yfmJ33sRZnAlTQo2" TargetMode="External"/><Relationship Id="rId898" Type="http://schemas.openxmlformats.org/officeDocument/2006/relationships/hyperlink" Target="https://drive.google.com/open?id=15g2PHQhvD5pTNyhZiGD6FXq-HtQLEJME" TargetMode="External"/><Relationship Id="rId1083" Type="http://schemas.openxmlformats.org/officeDocument/2006/relationships/hyperlink" Target="https://drive.google.com/file/d/1KSgyhUqUMBAqin_XO2Z3nU1anHuvvDax/view?usp=drivesdk" TargetMode="External"/><Relationship Id="rId1290" Type="http://schemas.openxmlformats.org/officeDocument/2006/relationships/hyperlink" Target="https://drive.google.com/open?id=1XMNZQ--pi8Ls0qZ8x7WnV05vGpqoKtEL" TargetMode="External"/><Relationship Id="rId1304" Type="http://schemas.openxmlformats.org/officeDocument/2006/relationships/hyperlink" Target="https://drive.google.com/open?id=1QU_PKxVJOyQXkz2DTvvKLQLJqNhL7kRM" TargetMode="External"/><Relationship Id="rId106" Type="http://schemas.openxmlformats.org/officeDocument/2006/relationships/hyperlink" Target="https://drive.google.com/open?id=1JYaLZxWPQGhq2uzPz2Xkuujdbg3s7QwV" TargetMode="External"/><Relationship Id="rId313" Type="http://schemas.openxmlformats.org/officeDocument/2006/relationships/hyperlink" Target="https://drive.google.com/open?id=16_KH0B4EQV_TPeJCS0WU1D5CcljtfXlO" TargetMode="External"/><Relationship Id="rId758" Type="http://schemas.openxmlformats.org/officeDocument/2006/relationships/hyperlink" Target="https://drive.google.com/open?id=1wRQJ-OEZAjEZLcM3fA170nBV4m5jhSTG" TargetMode="External"/><Relationship Id="rId965" Type="http://schemas.openxmlformats.org/officeDocument/2006/relationships/hyperlink" Target="https://drive.google.com/file/d/1FWRirPybXmkelQRhMamh33TpOBjR8J-i/view?usp=drivesdk" TargetMode="External"/><Relationship Id="rId1150" Type="http://schemas.openxmlformats.org/officeDocument/2006/relationships/hyperlink" Target="https://drive.google.com/open?id=1OjKzXag7nSAMBV_QULBoMSW1jBmQzev7" TargetMode="External"/><Relationship Id="rId1388" Type="http://schemas.openxmlformats.org/officeDocument/2006/relationships/hyperlink" Target="https://drive.google.com/file/d/1Gx7NBX_E-aQEWl2tpngv_6wUkGFMpF-W/view?usp=drivesdk" TargetMode="External"/><Relationship Id="rId10" Type="http://schemas.openxmlformats.org/officeDocument/2006/relationships/hyperlink" Target="https://drive.google.com/open?id=17le2Igs59p_HTSCsAR3GNNJt2RIMSDCY" TargetMode="External"/><Relationship Id="rId94" Type="http://schemas.openxmlformats.org/officeDocument/2006/relationships/hyperlink" Target="https://drive.google.com/file/d/1DTrIoNS5cMoRVmaf0qupTwwlTE7YxG0M/view?usp=drivesdk" TargetMode="External"/><Relationship Id="rId397" Type="http://schemas.openxmlformats.org/officeDocument/2006/relationships/hyperlink" Target="https://drive.google.com/open?id=1GtmLL5Vbz0LL935tvTIdIL3TgTLt0xKh" TargetMode="External"/><Relationship Id="rId520" Type="http://schemas.openxmlformats.org/officeDocument/2006/relationships/hyperlink" Target="https://drive.google.com/open?id=1Ko5uA2XbtMfaW70zPyxTaKJCtgMATF-P" TargetMode="External"/><Relationship Id="rId618" Type="http://schemas.openxmlformats.org/officeDocument/2006/relationships/hyperlink" Target="https://drive.google.com/file/d/14oQmslqziXfYpmRSZqzcFaubZyPCX9Jj/view?usp=drivesdk" TargetMode="External"/><Relationship Id="rId825" Type="http://schemas.openxmlformats.org/officeDocument/2006/relationships/hyperlink" Target="https://drive.google.com/file/d/1t-9ZUPFOe7pAAJVeQ6yXWFML865uSANl/view?usp=drivesdk" TargetMode="External"/><Relationship Id="rId1248" Type="http://schemas.openxmlformats.org/officeDocument/2006/relationships/hyperlink" Target="https://drive.google.com/open?id=1r_VL3kQNvWB6jTuAz1xz0PDFCifUnZOk" TargetMode="External"/><Relationship Id="rId1455" Type="http://schemas.openxmlformats.org/officeDocument/2006/relationships/hyperlink" Target="https://drive.google.com/open?id=1YSUk2J7Yl4fndv__gL2cQfLcjNXBDdOJ" TargetMode="External"/><Relationship Id="rId257" Type="http://schemas.openxmlformats.org/officeDocument/2006/relationships/hyperlink" Target="https://drive.google.com/open?id=1Yt-phJOnOF62nN5bANxt6upLBSC4QsSZ" TargetMode="External"/><Relationship Id="rId464" Type="http://schemas.openxmlformats.org/officeDocument/2006/relationships/hyperlink" Target="https://drive.google.com/file/d/1ywrFU-aJ2v1QwzHmTRDSVmY8GaNKdLbW/view?usp=drivesdk" TargetMode="External"/><Relationship Id="rId1010" Type="http://schemas.openxmlformats.org/officeDocument/2006/relationships/hyperlink" Target="https://drive.google.com/open?id=1ppO6Q7szqtuQw0R0pQbc47zEi58bu9Dx" TargetMode="External"/><Relationship Id="rId1094" Type="http://schemas.openxmlformats.org/officeDocument/2006/relationships/hyperlink" Target="https://drive.google.com/open?id=176wRirQGqhq7ev2OCD-bPb_siOEuAGFO" TargetMode="External"/><Relationship Id="rId1108" Type="http://schemas.openxmlformats.org/officeDocument/2006/relationships/hyperlink" Target="https://drive.google.com/file/d/1YW2LWUip9ZoeRkyMQiFhmqYpIRM6lmHM/view?usp=drivesdk" TargetMode="External"/><Relationship Id="rId1315" Type="http://schemas.openxmlformats.org/officeDocument/2006/relationships/hyperlink" Target="https://drive.google.com/file/d/1XpEbvtFYNwdAy6aj4mni6dHwrVhKIaNz/view?usp=drivesdk" TargetMode="External"/><Relationship Id="rId117" Type="http://schemas.openxmlformats.org/officeDocument/2006/relationships/hyperlink" Target="https://drive.google.com/open?id=1-JlOBkhsUxG-7ImEr68jtIx3WRFUWzE9" TargetMode="External"/><Relationship Id="rId671" Type="http://schemas.openxmlformats.org/officeDocument/2006/relationships/hyperlink" Target="https://drive.google.com/file/d/1Yo4yEM4V9wBLZaodFCBsHNqDNu65lWgz/view?usp=drivesdk" TargetMode="External"/><Relationship Id="rId769" Type="http://schemas.openxmlformats.org/officeDocument/2006/relationships/hyperlink" Target="https://drive.google.com/file/d/1Hc_PXE3KSltFSYinW7cWkK8pjvTAVlqm/view?usp=drivesdk" TargetMode="External"/><Relationship Id="rId976" Type="http://schemas.openxmlformats.org/officeDocument/2006/relationships/hyperlink" Target="https://drive.google.com/open?id=1CJP5BtyJjppef-jDBcFbroWDRg-07LS-" TargetMode="External"/><Relationship Id="rId1399" Type="http://schemas.openxmlformats.org/officeDocument/2006/relationships/hyperlink" Target="https://drive.google.com/open?id=1EhhTCOMoJxpXODeXVfaiZ08CBUp96M4O" TargetMode="External"/><Relationship Id="rId324" Type="http://schemas.openxmlformats.org/officeDocument/2006/relationships/hyperlink" Target="https://drive.google.com/open?id=1vaWjclMaWugPDboHC8WMwhvGBiiK6SXT" TargetMode="External"/><Relationship Id="rId531" Type="http://schemas.openxmlformats.org/officeDocument/2006/relationships/hyperlink" Target="https://drive.google.com/open?id=1nBuIzjY6i0mpTQ9uN-CcO6Yn7XRXVbQL" TargetMode="External"/><Relationship Id="rId629" Type="http://schemas.openxmlformats.org/officeDocument/2006/relationships/hyperlink" Target="https://drive.google.com/open?id=12yHrHAz5OSXb2f38MZIUG3hR-7iY8eQQ" TargetMode="External"/><Relationship Id="rId1161" Type="http://schemas.openxmlformats.org/officeDocument/2006/relationships/hyperlink" Target="https://drive.google.com/file/d/1N1eokM6aENqxjRNmQRmMVKH_Ds6M8jpr/view?usp=drivesdk" TargetMode="External"/><Relationship Id="rId1259" Type="http://schemas.openxmlformats.org/officeDocument/2006/relationships/hyperlink" Target="https://drive.google.com/file/d/1PaVQUgvh_kfATQUohHYH6bQDbzlw-Sew/view?usp=drivesdk" TargetMode="External"/><Relationship Id="rId1466" Type="http://schemas.openxmlformats.org/officeDocument/2006/relationships/hyperlink" Target="https://drive.google.com/file/d/1w-eUMOEkMgsCrr5GzcOO_rS9oXon0k4-/view?usp=drivesdk" TargetMode="External"/><Relationship Id="rId836" Type="http://schemas.openxmlformats.org/officeDocument/2006/relationships/hyperlink" Target="https://drive.google.com/open?id=12DB4wT01obcsz7_iduj8YpJftRI2NiCN" TargetMode="External"/><Relationship Id="rId1021" Type="http://schemas.openxmlformats.org/officeDocument/2006/relationships/hyperlink" Target="https://drive.google.com/file/d/1a68Nqc78Y2BBRhHyfFE19mRKoYnGOAQT/view?usp=drivesdk" TargetMode="External"/><Relationship Id="rId1119" Type="http://schemas.openxmlformats.org/officeDocument/2006/relationships/hyperlink" Target="https://drive.google.com/open?id=1T5JNcbuMq7Ihxsk0kpPTAWRdRnbwOLvg" TargetMode="External"/><Relationship Id="rId903" Type="http://schemas.openxmlformats.org/officeDocument/2006/relationships/hyperlink" Target="https://drive.google.com/file/d/1aTdGg0q7FZCyt19SeTPlDmHk2sNivq3U/view?usp=drivesdk" TargetMode="External"/><Relationship Id="rId1326" Type="http://schemas.openxmlformats.org/officeDocument/2006/relationships/hyperlink" Target="https://drive.google.com/open?id=1ZDObWq02ERj7S5cLv_EDIkuhnWcbjQbb" TargetMode="External"/><Relationship Id="rId32" Type="http://schemas.openxmlformats.org/officeDocument/2006/relationships/hyperlink" Target="https://drive.google.com/open?id=1XJn7exgblE_C0cdVs8mVs4BYmXENPaed" TargetMode="External"/><Relationship Id="rId181" Type="http://schemas.openxmlformats.org/officeDocument/2006/relationships/hyperlink" Target="https://drive.google.com/file/d/1OfSxwisVVx10Lewjhn3Jx8Rr2FjObqHA/view?usp=drivesdk" TargetMode="External"/><Relationship Id="rId279" Type="http://schemas.openxmlformats.org/officeDocument/2006/relationships/hyperlink" Target="https://drive.google.com/file/d/1ECRWuo-DI3xAc4uC7Zbt1AtHDHMov4zZ/view?usp=drivesdk" TargetMode="External"/><Relationship Id="rId486" Type="http://schemas.openxmlformats.org/officeDocument/2006/relationships/hyperlink" Target="https://drive.google.com/file/d/1Rzf9rM9QUaNyHIpSFbwm4bmAAqU7Rsg1/view?usp=drivesdk" TargetMode="External"/><Relationship Id="rId693" Type="http://schemas.openxmlformats.org/officeDocument/2006/relationships/hyperlink" Target="https://drive.google.com/file/d/1_G3dVgQT0XgbYp49Gl0xbP79ZTtsMyKu/view?usp=drivesdk" TargetMode="External"/><Relationship Id="rId139" Type="http://schemas.openxmlformats.org/officeDocument/2006/relationships/hyperlink" Target="https://drive.google.com/open?id=1mkmjQL_YPptkRE3hNw4ehb8QdoHrJy5p" TargetMode="External"/><Relationship Id="rId346" Type="http://schemas.openxmlformats.org/officeDocument/2006/relationships/hyperlink" Target="https://drive.google.com/open?id=1xvKEaV02CpJrgInKmAa00qjPdob5aDkF" TargetMode="External"/><Relationship Id="rId553" Type="http://schemas.openxmlformats.org/officeDocument/2006/relationships/hyperlink" Target="https://drive.google.com/open?id=1Z_7Ml9vUkfMkAtcyrmWpLOerH5FOjLx3" TargetMode="External"/><Relationship Id="rId760" Type="http://schemas.openxmlformats.org/officeDocument/2006/relationships/hyperlink" Target="https://drive.google.com/open?id=1pZwQocX9IoH3o6w2MyuDxY9YAms8XtTJ" TargetMode="External"/><Relationship Id="rId998" Type="http://schemas.openxmlformats.org/officeDocument/2006/relationships/hyperlink" Target="https://drive.google.com/open?id=1uyZyrwQkil7ZXsbVdiQtrHbZS8FxXDGE" TargetMode="External"/><Relationship Id="rId1183" Type="http://schemas.openxmlformats.org/officeDocument/2006/relationships/hyperlink" Target="https://drive.google.com/file/d/1IgtFOsDY-sN0nmq1GC1_mHgTZNKbuq4S/view?usp=drivesdk" TargetMode="External"/><Relationship Id="rId1390" Type="http://schemas.openxmlformats.org/officeDocument/2006/relationships/hyperlink" Target="https://drive.google.com/file/d/1pUX3YiKyKJo3C3A0nBLBAjF_tOqhTEyL/view?usp=drivesdk" TargetMode="External"/><Relationship Id="rId206" Type="http://schemas.openxmlformats.org/officeDocument/2006/relationships/hyperlink" Target="https://drive.google.com/open?id=1B0pqri8k2E8kFPMNGbPuens5AiLd-zRk" TargetMode="External"/><Relationship Id="rId413" Type="http://schemas.openxmlformats.org/officeDocument/2006/relationships/hyperlink" Target="https://drive.google.com/file/d/1hmIWvG04QG_045nd-P6uCWXEgoVy1epk/view?usp=drivesdk" TargetMode="External"/><Relationship Id="rId858" Type="http://schemas.openxmlformats.org/officeDocument/2006/relationships/hyperlink" Target="https://drive.google.com/open?id=12e6rGbJ2sKsW5FeGM-TqjpoYoB-pDoMB" TargetMode="External"/><Relationship Id="rId1043" Type="http://schemas.openxmlformats.org/officeDocument/2006/relationships/hyperlink" Target="https://drive.google.com/file/d/1CP1aXRDUpsxhlpDhitQhATS0SovJwdat/view?usp=drivesdk" TargetMode="External"/><Relationship Id="rId620" Type="http://schemas.openxmlformats.org/officeDocument/2006/relationships/hyperlink" Target="https://drive.google.com/file/d/1nOKb34Iz4DiUQHhNLfti0Gs8KIp9mNEX/view?usp=drivesdk" TargetMode="External"/><Relationship Id="rId718" Type="http://schemas.openxmlformats.org/officeDocument/2006/relationships/hyperlink" Target="https://drive.google.com/open?id=1YWO7rWiFVnhn0tRv8W3X-a00y4gtsNI4" TargetMode="External"/><Relationship Id="rId925" Type="http://schemas.openxmlformats.org/officeDocument/2006/relationships/hyperlink" Target="https://drive.google.com/file/d/1ib2865lnM1gpF20Y0ShVkNUBrRLZcoVy/view?usp=drivesdk" TargetMode="External"/><Relationship Id="rId1250" Type="http://schemas.openxmlformats.org/officeDocument/2006/relationships/hyperlink" Target="https://drive.google.com/open?id=1Cvqmej54Sm5D6OojsA_OjTD99_ilRi8M" TargetMode="External"/><Relationship Id="rId1348" Type="http://schemas.openxmlformats.org/officeDocument/2006/relationships/hyperlink" Target="https://drive.google.com/file/d/1PCD9ARfxUR6sPciVy-f3sjjzWiaemiL5/view?usp=drivesdk" TargetMode="External"/><Relationship Id="rId1110" Type="http://schemas.openxmlformats.org/officeDocument/2006/relationships/hyperlink" Target="https://drive.google.com/file/d/1SxwOoxbA2RGCLJVyJ3UaDyARMdjYNEd0/view?usp=drivesdk" TargetMode="External"/><Relationship Id="rId1208" Type="http://schemas.openxmlformats.org/officeDocument/2006/relationships/hyperlink" Target="https://drive.google.com/open?id=1alxNLQo7_97nondnILcrJWrm494s_n0D" TargetMode="External"/><Relationship Id="rId1415" Type="http://schemas.openxmlformats.org/officeDocument/2006/relationships/hyperlink" Target="https://drive.google.com/open?id=1ai2SuoSXGZOzKVadzTTqAdFr40fDGxIt" TargetMode="External"/><Relationship Id="rId54" Type="http://schemas.openxmlformats.org/officeDocument/2006/relationships/hyperlink" Target="https://drive.google.com/open?id=1xr_rr_Y7jZ8X2AS0bNQHe3ibHlF8bdy2" TargetMode="External"/><Relationship Id="rId270" Type="http://schemas.openxmlformats.org/officeDocument/2006/relationships/hyperlink" Target="https://drive.google.com/file/d/1lHH5pn-w98WjEzDrWY0ZU5cP3yBiJ3L5/view?usp=drivesdk" TargetMode="External"/><Relationship Id="rId130" Type="http://schemas.openxmlformats.org/officeDocument/2006/relationships/hyperlink" Target="https://drive.google.com/open?id=1UtVdy_RjMIhep5DDkvzLWLhsmyIAbNsL" TargetMode="External"/><Relationship Id="rId368" Type="http://schemas.openxmlformats.org/officeDocument/2006/relationships/hyperlink" Target="https://drive.google.com/open?id=1hMZVAv_c1Z7CIDsbM9WJ9xLLxUlwGGMP" TargetMode="External"/><Relationship Id="rId575" Type="http://schemas.openxmlformats.org/officeDocument/2006/relationships/hyperlink" Target="https://drive.google.com/open?id=1HEJjEvUb5co52PwsVGxVETT4gaPn9W9Q" TargetMode="External"/><Relationship Id="rId782" Type="http://schemas.openxmlformats.org/officeDocument/2006/relationships/hyperlink" Target="https://drive.google.com/open?id=1_JUM-Dzr0Tv1XNL-uaCLH8CjHS214BKH" TargetMode="External"/><Relationship Id="rId228" Type="http://schemas.openxmlformats.org/officeDocument/2006/relationships/hyperlink" Target="https://drive.google.com/open?id=1mLR8w0ehbTr7JkkjSSgin78J7WinvqIs" TargetMode="External"/><Relationship Id="rId435" Type="http://schemas.openxmlformats.org/officeDocument/2006/relationships/hyperlink" Target="https://drive.google.com/open?id=1j1K8zCbMjJ21h0FYgZZzW28mVEBwtP4c" TargetMode="External"/><Relationship Id="rId642" Type="http://schemas.openxmlformats.org/officeDocument/2006/relationships/hyperlink" Target="https://drive.google.com/open?id=1tFoJpj6pK6hU2W-sxDNKY36wp7NxdJqZ" TargetMode="External"/><Relationship Id="rId1065" Type="http://schemas.openxmlformats.org/officeDocument/2006/relationships/hyperlink" Target="https://drive.google.com/file/d/1N9cdqye1erJpnJ0l0qu6Mom_yvBSC8hx/view?usp=drivesdk" TargetMode="External"/><Relationship Id="rId1272" Type="http://schemas.openxmlformats.org/officeDocument/2006/relationships/hyperlink" Target="https://drive.google.com/open?id=1el-JOlJ5tXR19VYWVvmyJW27sqTbAHdb" TargetMode="External"/><Relationship Id="rId502" Type="http://schemas.openxmlformats.org/officeDocument/2006/relationships/hyperlink" Target="https://drive.google.com/open?id=1BO4s6AEONzKHFq05x2dlUTBJsVCuwyxf" TargetMode="External"/><Relationship Id="rId947" Type="http://schemas.openxmlformats.org/officeDocument/2006/relationships/hyperlink" Target="https://drive.google.com/file/d/1GguKFKpPKqa_RNxU1EcO-RofaBys9skS/view?usp=drivesdk" TargetMode="External"/><Relationship Id="rId1132" Type="http://schemas.openxmlformats.org/officeDocument/2006/relationships/hyperlink" Target="https://drive.google.com/file/d/13858MbtChE0wMQd3KpYSyW3QlR1q_8W1/view?usp=drivesdk" TargetMode="External"/><Relationship Id="rId76" Type="http://schemas.openxmlformats.org/officeDocument/2006/relationships/hyperlink" Target="https://drive.google.com/file/d/1DhGseUBDz8r54aw6wcyydwSL3BTLCH8x/view?usp=drivesdk" TargetMode="External"/><Relationship Id="rId807" Type="http://schemas.openxmlformats.org/officeDocument/2006/relationships/hyperlink" Target="https://drive.google.com/file/d/16xzuGRaEgSdUqU-wMHxq6iCDcVuvznp_/view?usp=drivesdk" TargetMode="External"/><Relationship Id="rId1437" Type="http://schemas.openxmlformats.org/officeDocument/2006/relationships/hyperlink" Target="https://drive.google.com/open?id=18tHZ4YxyMN-0mkbt_OYC87O5k0fmcu7T" TargetMode="External"/><Relationship Id="rId292" Type="http://schemas.openxmlformats.org/officeDocument/2006/relationships/hyperlink" Target="https://drive.google.com/file/d/12jDAlKQfneu84j0KCyopA_4FsYaK2PcN/view?usp=drivesdk" TargetMode="External"/><Relationship Id="rId597" Type="http://schemas.openxmlformats.org/officeDocument/2006/relationships/hyperlink" Target="https://drive.google.com/open?id=1eHRt3FrlY1NeyXG2dhZgiq0IxWqyOb-C" TargetMode="External"/><Relationship Id="rId152" Type="http://schemas.openxmlformats.org/officeDocument/2006/relationships/hyperlink" Target="https://drive.google.com/open?id=1Mv4i0UoSZcVnknwgkMTt1DAvSDZaKQTi" TargetMode="External"/><Relationship Id="rId457" Type="http://schemas.openxmlformats.org/officeDocument/2006/relationships/hyperlink" Target="https://drive.google.com/open?id=1764U-OIxKv5F1ynKHXbbcns1LlREkFMf" TargetMode="External"/><Relationship Id="rId1087" Type="http://schemas.openxmlformats.org/officeDocument/2006/relationships/hyperlink" Target="https://drive.google.com/file/d/1VCxazoM__vUQ1BGqjTUNMqJ8kdDxS-BK/view?usp=drivesdk" TargetMode="External"/><Relationship Id="rId1294" Type="http://schemas.openxmlformats.org/officeDocument/2006/relationships/hyperlink" Target="https://drive.google.com/open?id=190fvZp4_uxEZuElC4ed827vl_ZuQA2_K" TargetMode="External"/><Relationship Id="rId664" Type="http://schemas.openxmlformats.org/officeDocument/2006/relationships/hyperlink" Target="https://drive.google.com/open?id=1v3uFzgCsuNhOmq-aFsJ1259Jm-89zvTg" TargetMode="External"/><Relationship Id="rId871" Type="http://schemas.openxmlformats.org/officeDocument/2006/relationships/hyperlink" Target="https://drive.google.com/file/d/1RB5ILCDUpoBbrYGaBopHOU8YSgSUD7RK/view?usp=drivesdk" TargetMode="External"/><Relationship Id="rId969" Type="http://schemas.openxmlformats.org/officeDocument/2006/relationships/hyperlink" Target="https://drive.google.com/file/d/18qBQJS1d6iPJST74EYZejT4svwdddlCd/view?usp=drivesdk" TargetMode="External"/><Relationship Id="rId317" Type="http://schemas.openxmlformats.org/officeDocument/2006/relationships/hyperlink" Target="https://drive.google.com/file/d/1Nn47CebmMF0tgw1vm3pD4OcXf01s5Gpf/view?usp=drivesdk" TargetMode="External"/><Relationship Id="rId524" Type="http://schemas.openxmlformats.org/officeDocument/2006/relationships/hyperlink" Target="https://drive.google.com/open?id=1gw7KsSsUdWtryaIcqlg2R-PuYHK_G9Mk" TargetMode="External"/><Relationship Id="rId731" Type="http://schemas.openxmlformats.org/officeDocument/2006/relationships/hyperlink" Target="https://drive.google.com/file/d/1lIn5O6aDebTB0wydzoTIBob6OQKwOw1R/view?usp=drivesdk" TargetMode="External"/><Relationship Id="rId1154" Type="http://schemas.openxmlformats.org/officeDocument/2006/relationships/hyperlink" Target="https://drive.google.com/open?id=1iB-SKiD5-Drh-nnhNnvjwMzo8l8jveo_" TargetMode="External"/><Relationship Id="rId1361" Type="http://schemas.openxmlformats.org/officeDocument/2006/relationships/hyperlink" Target="https://drive.google.com/open?id=1tqUlXjh2orpT_mG7k0XVVP40wjsV_xXu" TargetMode="External"/><Relationship Id="rId1459" Type="http://schemas.openxmlformats.org/officeDocument/2006/relationships/hyperlink" Target="https://drive.google.com/open?id=17QifXBB3MVKWkVxf4vrBSkDZ-PbbMWsq" TargetMode="External"/><Relationship Id="rId98" Type="http://schemas.openxmlformats.org/officeDocument/2006/relationships/hyperlink" Target="https://drive.google.com/file/d/1kprFT6bfGHlELBKpdd_wHDR2CaFUqKvH/view?usp=drivesdk" TargetMode="External"/><Relationship Id="rId829" Type="http://schemas.openxmlformats.org/officeDocument/2006/relationships/hyperlink" Target="https://drive.google.com/file/d/17Qp8gkmzPWkFfO0SNQeMDdOL9D6QfKhy/view?usp=drivesdk" TargetMode="External"/><Relationship Id="rId1014" Type="http://schemas.openxmlformats.org/officeDocument/2006/relationships/hyperlink" Target="https://drive.google.com/open?id=1h45p8GOai0EtLznZSGUznu6vIteYzxsO" TargetMode="External"/><Relationship Id="rId1221" Type="http://schemas.openxmlformats.org/officeDocument/2006/relationships/hyperlink" Target="https://drive.google.com/open?id=1UV10_O1Byck6nr3yZlsdyH1w8zEvfeGV" TargetMode="External"/><Relationship Id="rId1319" Type="http://schemas.openxmlformats.org/officeDocument/2006/relationships/hyperlink" Target="https://drive.google.com/file/d/1NHNVSGQiPQrkEeS2WML1eczrT1fphxjz/view?usp=drivesdk" TargetMode="External"/><Relationship Id="rId25" Type="http://schemas.openxmlformats.org/officeDocument/2006/relationships/hyperlink" Target="https://drive.google.com/file/d/18qA0XYpW8znmpl-jwf8kLxpd3vcgDhl7/view?usp=drivesdk" TargetMode="External"/><Relationship Id="rId174" Type="http://schemas.openxmlformats.org/officeDocument/2006/relationships/hyperlink" Target="https://drive.google.com/open?id=1WS21q1XEXuQ4H7Oqa4KS_Dk5fyaskRON" TargetMode="External"/><Relationship Id="rId381" Type="http://schemas.openxmlformats.org/officeDocument/2006/relationships/hyperlink" Target="https://drive.google.com/file/d/1xO66ppLwnTcM9zl24b8t3b8YWhXDmHMM/view?usp=drivesdk" TargetMode="External"/><Relationship Id="rId241" Type="http://schemas.openxmlformats.org/officeDocument/2006/relationships/hyperlink" Target="https://drive.google.com/open?id=1mO5EK9-skUEQrBOhYJw0jBGKgiB_306I" TargetMode="External"/><Relationship Id="rId479" Type="http://schemas.openxmlformats.org/officeDocument/2006/relationships/hyperlink" Target="https://drive.google.com/file/d/1SO034f_EeKP9bn5uXvNll6vZMp7hVZQm/view?usp=drivesdk" TargetMode="External"/><Relationship Id="rId686" Type="http://schemas.openxmlformats.org/officeDocument/2006/relationships/hyperlink" Target="https://drive.google.com/open?id=1CckfZso7-BJicw2OcIQLahyCc-77vABh" TargetMode="External"/><Relationship Id="rId893" Type="http://schemas.openxmlformats.org/officeDocument/2006/relationships/hyperlink" Target="https://drive.google.com/file/d/1Sh0e_cpfBYjiFTV2tyO1Ffrxu32oyHLm/view?usp=drivesdk" TargetMode="External"/><Relationship Id="rId339" Type="http://schemas.openxmlformats.org/officeDocument/2006/relationships/hyperlink" Target="https://drive.google.com/open?id=1jIOLT4sNZf7Dz6KVhnsV-UfBNjQk7XkL" TargetMode="External"/><Relationship Id="rId546" Type="http://schemas.openxmlformats.org/officeDocument/2006/relationships/hyperlink" Target="https://drive.google.com/file/d/1647wQGDca6NEML6rlhZts6xWFI4LbKTf/view?usp=drivesdk" TargetMode="External"/><Relationship Id="rId753" Type="http://schemas.openxmlformats.org/officeDocument/2006/relationships/hyperlink" Target="https://drive.google.com/file/d/1wKRtS2BsZSAy0DiElzNhbOMf4BpguDUz/view?usp=drivesdk" TargetMode="External"/><Relationship Id="rId1176" Type="http://schemas.openxmlformats.org/officeDocument/2006/relationships/hyperlink" Target="https://drive.google.com/open?id=1cany7yzynWKUZzSEijRVWSPBHrECwgg9" TargetMode="External"/><Relationship Id="rId1383" Type="http://schemas.openxmlformats.org/officeDocument/2006/relationships/hyperlink" Target="https://drive.google.com/open?id=1FG4_MNOBvD5M844_FWowFw84uUnA3BJ4" TargetMode="External"/><Relationship Id="rId101" Type="http://schemas.openxmlformats.org/officeDocument/2006/relationships/hyperlink" Target="https://drive.google.com/open?id=12S2kwR_D4ywJtsZGWeVh4sFmp_StkTPu" TargetMode="External"/><Relationship Id="rId406" Type="http://schemas.openxmlformats.org/officeDocument/2006/relationships/hyperlink" Target="https://drive.google.com/open?id=1FiI0pxDMo7HkdQiBOhrfGK9ZLA2f-d_-" TargetMode="External"/><Relationship Id="rId960" Type="http://schemas.openxmlformats.org/officeDocument/2006/relationships/hyperlink" Target="https://drive.google.com/open?id=1nCoINWmBNj8Rp_EUAmqV07hZz3fDJ1zG" TargetMode="External"/><Relationship Id="rId1036" Type="http://schemas.openxmlformats.org/officeDocument/2006/relationships/hyperlink" Target="https://drive.google.com/open?id=1URxoDBawZEFc2Pj2a93jGGXtMOx2JmrL" TargetMode="External"/><Relationship Id="rId1243" Type="http://schemas.openxmlformats.org/officeDocument/2006/relationships/hyperlink" Target="https://drive.google.com/file/d/1UiSIK1YWIvOYYfGqiqQbpnOgHYdN-kqN/view?usp=drivesdk" TargetMode="External"/><Relationship Id="rId613" Type="http://schemas.openxmlformats.org/officeDocument/2006/relationships/hyperlink" Target="https://drive.google.com/open?id=1pHYUsyyg3T8q2sOl-NkVp7ux3ZIAssQp" TargetMode="External"/><Relationship Id="rId820" Type="http://schemas.openxmlformats.org/officeDocument/2006/relationships/hyperlink" Target="https://drive.google.com/open?id=1bkUBmG2L7dUegPNyKcwevwD1kccx2mPS" TargetMode="External"/><Relationship Id="rId918" Type="http://schemas.openxmlformats.org/officeDocument/2006/relationships/hyperlink" Target="https://drive.google.com/open?id=1qatKQNKWCv8A9DxGCwMpC1N2x5TGgCLM" TargetMode="External"/><Relationship Id="rId1450" Type="http://schemas.openxmlformats.org/officeDocument/2006/relationships/hyperlink" Target="https://drive.google.com/file/d/1sMLs80TmxEI_mDB4hx_fAxp_mRAVhid7/view?usp=drivesdk" TargetMode="External"/><Relationship Id="rId1103" Type="http://schemas.openxmlformats.org/officeDocument/2006/relationships/hyperlink" Target="https://drive.google.com/open?id=1il8I3AyY0JoJj2hZpAGE5P2A6ZD0pBYL" TargetMode="External"/><Relationship Id="rId1310" Type="http://schemas.openxmlformats.org/officeDocument/2006/relationships/hyperlink" Target="https://drive.google.com/open?id=1MrY0BplQ1X7sFGVTADic9JLi05CXErE1" TargetMode="External"/><Relationship Id="rId1408" Type="http://schemas.openxmlformats.org/officeDocument/2006/relationships/hyperlink" Target="https://drive.google.com/file/d/19g26p13fvPLhuiunnTz6WNZIz94iAmQQ/view?usp=drivesdk" TargetMode="External"/><Relationship Id="rId47" Type="http://schemas.openxmlformats.org/officeDocument/2006/relationships/hyperlink" Target="https://drive.google.com/file/d/1KVgyd-obhzgpGt-U48murLpfF7pvj7ju/view?usp=drivesdk" TargetMode="External"/><Relationship Id="rId196" Type="http://schemas.openxmlformats.org/officeDocument/2006/relationships/hyperlink" Target="https://drive.google.com/file/d/1TmYgnt11tLuW-wd-fpUJNNongLZLtIsK/view?usp=drivesdk" TargetMode="External"/><Relationship Id="rId263" Type="http://schemas.openxmlformats.org/officeDocument/2006/relationships/hyperlink" Target="https://drive.google.com/file/d/14jo-MAE6YnYVN34OjMAyutwNFXvgpy-F/view?usp=drivesdk" TargetMode="External"/><Relationship Id="rId470" Type="http://schemas.openxmlformats.org/officeDocument/2006/relationships/hyperlink" Target="https://drive.google.com/open?id=1YORz-w4ZQWL3bh_UhkH20LKY-7TrTthv" TargetMode="External"/><Relationship Id="rId123" Type="http://schemas.openxmlformats.org/officeDocument/2006/relationships/hyperlink" Target="https://drive.google.com/open?id=1psFhggJNjW0Q06-AS_03545oWNwba2eD" TargetMode="External"/><Relationship Id="rId330" Type="http://schemas.openxmlformats.org/officeDocument/2006/relationships/hyperlink" Target="https://drive.google.com/open?id=1KbrS9FqYKOEY24gdTSys6hJZvL0lHer0" TargetMode="External"/><Relationship Id="rId568" Type="http://schemas.openxmlformats.org/officeDocument/2006/relationships/hyperlink" Target="https://drive.google.com/file/d/1Qg1LeHp37i40EH-vy-Pvk0bEZw_r63xE/view?usp=drivesdk" TargetMode="External"/><Relationship Id="rId775" Type="http://schemas.openxmlformats.org/officeDocument/2006/relationships/hyperlink" Target="https://drive.google.com/file/d/1XPS8zMAis3p5vvwdzccfvWnr6yiYeogy/view?usp=drivesdk" TargetMode="External"/><Relationship Id="rId982" Type="http://schemas.openxmlformats.org/officeDocument/2006/relationships/hyperlink" Target="https://drive.google.com/open?id=1WOdQGkWzoZi-JmWQwd6dHwftcg9TpZ4i" TargetMode="External"/><Relationship Id="rId1198" Type="http://schemas.openxmlformats.org/officeDocument/2006/relationships/hyperlink" Target="https://drive.google.com/open?id=1VTD1vVpKSHAAwY6I1L-DBi2WIrHF0GDO" TargetMode="External"/><Relationship Id="rId428" Type="http://schemas.openxmlformats.org/officeDocument/2006/relationships/hyperlink" Target="https://drive.google.com/open?id=1CY52K6lvFHQUSDPmNzg6D4HhkdZwUidu" TargetMode="External"/><Relationship Id="rId635" Type="http://schemas.openxmlformats.org/officeDocument/2006/relationships/hyperlink" Target="https://drive.google.com/open?id=1GMFtsGVChjWAC9vsEfSXPy0LLBCWgyIx" TargetMode="External"/><Relationship Id="rId842" Type="http://schemas.openxmlformats.org/officeDocument/2006/relationships/hyperlink" Target="https://drive.google.com/open?id=1RmHNofZavNbmmtTJvq3zpQDbSVpFT7Nk" TargetMode="External"/><Relationship Id="rId1058" Type="http://schemas.openxmlformats.org/officeDocument/2006/relationships/hyperlink" Target="https://drive.google.com/open?id=1NWHMLJxX7tysKk4nRYHf7MA1GslSE7qN" TargetMode="External"/><Relationship Id="rId1265" Type="http://schemas.openxmlformats.org/officeDocument/2006/relationships/hyperlink" Target="https://drive.google.com/file/d/1I-NeHn0O5sUT2T7rDZq43jqNfBmTHWPa/view?usp=drivesdk" TargetMode="External"/><Relationship Id="rId702" Type="http://schemas.openxmlformats.org/officeDocument/2006/relationships/hyperlink" Target="https://drive.google.com/file/d/18jxAiUWNxTRJeAnVtJbKSkOtJGgxHpdV/view?usp=drivesdk" TargetMode="External"/><Relationship Id="rId1125" Type="http://schemas.openxmlformats.org/officeDocument/2006/relationships/hyperlink" Target="https://drive.google.com/open?id=1KD0mBlLYtTzOiqyNUdMgY9Ce914fAWqQ" TargetMode="External"/><Relationship Id="rId1332" Type="http://schemas.openxmlformats.org/officeDocument/2006/relationships/hyperlink" Target="https://drive.google.com/file/d/1Y8oUESJSW8Cx0uZMJXZz3n5MzyvsU34Q/view?usp=drivesdk" TargetMode="External"/><Relationship Id="rId69" Type="http://schemas.openxmlformats.org/officeDocument/2006/relationships/hyperlink" Target="https://drive.google.com/file/d/19At_hqHHeLD00n2QWQ19sm3Ww1lDCDDF/view?usp=drivesdk" TargetMode="External"/><Relationship Id="rId285" Type="http://schemas.openxmlformats.org/officeDocument/2006/relationships/hyperlink" Target="https://drive.google.com/open?id=1PVxWw_avR8fZT1qucxyQfa0DL5fJRvkx" TargetMode="External"/><Relationship Id="rId492" Type="http://schemas.openxmlformats.org/officeDocument/2006/relationships/hyperlink" Target="https://drive.google.com/file/d/1EQ73SivIsq9AHHANGogCswebZVKtEzt1/view?usp=drivesdk" TargetMode="External"/><Relationship Id="rId797" Type="http://schemas.openxmlformats.org/officeDocument/2006/relationships/hyperlink" Target="https://drive.google.com/file/d/1kKrzzJOYrxb4KQ9hupi3GTxzt-lIv3Ar/view?usp=drivesdk" TargetMode="External"/><Relationship Id="rId145" Type="http://schemas.openxmlformats.org/officeDocument/2006/relationships/hyperlink" Target="https://drive.google.com/open?id=1f2z06ZFSyxfm_E9nDGHGfKUhpzgPTpgk" TargetMode="External"/><Relationship Id="rId352" Type="http://schemas.openxmlformats.org/officeDocument/2006/relationships/hyperlink" Target="https://drive.google.com/open?id=1YfqVn0HLFJaAdt4o2Q0VLB43xJ_cwTRJ" TargetMode="External"/><Relationship Id="rId1287" Type="http://schemas.openxmlformats.org/officeDocument/2006/relationships/hyperlink" Target="https://drive.google.com/file/d/1mS22-LNsVhSd1BJJ7N3oO55dSzde-q0j/view?usp=drivesdk" TargetMode="External"/><Relationship Id="rId212" Type="http://schemas.openxmlformats.org/officeDocument/2006/relationships/hyperlink" Target="https://drive.google.com/open?id=1Om7L15XSVeATyE78Laydz51DpDJKaSRv" TargetMode="External"/><Relationship Id="rId657" Type="http://schemas.openxmlformats.org/officeDocument/2006/relationships/hyperlink" Target="https://drive.google.com/file/d/1gwMc61wfEb1CLtC3MIi4eFww5dFAPvd1/view?usp=drivesdk" TargetMode="External"/><Relationship Id="rId864" Type="http://schemas.openxmlformats.org/officeDocument/2006/relationships/hyperlink" Target="https://drive.google.com/open?id=15Ox3-OEh0xeyCwILdV7qBK-DSQgoAxNA" TargetMode="External"/><Relationship Id="rId517" Type="http://schemas.openxmlformats.org/officeDocument/2006/relationships/hyperlink" Target="https://drive.google.com/open?id=1xri-0nuBb7_9gUd5lXmNrpSUJJU3zzcg" TargetMode="External"/><Relationship Id="rId724" Type="http://schemas.openxmlformats.org/officeDocument/2006/relationships/hyperlink" Target="https://drive.google.com/open?id=1IVRJ5faXg0lN8iG8XW_QfqFaT5BbkRd6" TargetMode="External"/><Relationship Id="rId931" Type="http://schemas.openxmlformats.org/officeDocument/2006/relationships/hyperlink" Target="https://drive.google.com/file/d/1DTSNbxazVXLGFfmJDT1SFjt8NG_qLUoo/view?usp=drivesdk" TargetMode="External"/><Relationship Id="rId1147" Type="http://schemas.openxmlformats.org/officeDocument/2006/relationships/hyperlink" Target="https://drive.google.com/file/d/19aDabfgz0xZ1TJKGETg-NrWAXzG3b8iP/view?usp=drivesdk" TargetMode="External"/><Relationship Id="rId1354" Type="http://schemas.openxmlformats.org/officeDocument/2006/relationships/hyperlink" Target="https://drive.google.com/file/d/16XwAce04fiF0tNjfNip0BB9fO9x-OFfM/view?usp=drivesdk" TargetMode="External"/><Relationship Id="rId60" Type="http://schemas.openxmlformats.org/officeDocument/2006/relationships/hyperlink" Target="https://drive.google.com/open?id=1XW61HOHCK0XVrUP7ANRL0eoOSASYPHQr" TargetMode="External"/><Relationship Id="rId1007" Type="http://schemas.openxmlformats.org/officeDocument/2006/relationships/hyperlink" Target="https://drive.google.com/file/d/1MmcEh9QNg1Ht9ar-C4hwoMcv3BAAfhuT/view?usp=drivesdk" TargetMode="External"/><Relationship Id="rId1214" Type="http://schemas.openxmlformats.org/officeDocument/2006/relationships/hyperlink" Target="https://drive.google.com/open?id=1TUKpyhgSLPNcM3tOZ-Hs1JcnfEyHjHy5" TargetMode="External"/><Relationship Id="rId1421" Type="http://schemas.openxmlformats.org/officeDocument/2006/relationships/hyperlink" Target="https://drive.google.com/open?id=1wQIpLgmTGhln2fBNX0ja2MmV77j6ByR-" TargetMode="External"/><Relationship Id="rId18" Type="http://schemas.openxmlformats.org/officeDocument/2006/relationships/hyperlink" Target="https://drive.google.com/open?id=1TWXX2Dc3Rz4kjWJ-tCJAgX26qkrP6gvh" TargetMode="External"/><Relationship Id="rId167" Type="http://schemas.openxmlformats.org/officeDocument/2006/relationships/hyperlink" Target="https://drive.google.com/file/d/1M92y7cSXlms9YYiXePQQBplnBiWpgOZP/view?usp=drivesdk" TargetMode="External"/><Relationship Id="rId374" Type="http://schemas.openxmlformats.org/officeDocument/2006/relationships/hyperlink" Target="https://drive.google.com/open?id=1ktP_6tOSCJf2uvaWleU8Icg0bmVNrfYw" TargetMode="External"/><Relationship Id="rId581" Type="http://schemas.openxmlformats.org/officeDocument/2006/relationships/hyperlink" Target="https://drive.google.com/open?id=1NDy33BI9u5y-ep9kE117w5CE_xNLdRwz" TargetMode="External"/><Relationship Id="rId234" Type="http://schemas.openxmlformats.org/officeDocument/2006/relationships/hyperlink" Target="https://drive.google.com/file/d/1hovBP7tfxX0IOfaopzQUo-qJmabKM-sI/view?usp=drivesdk" TargetMode="External"/><Relationship Id="rId679" Type="http://schemas.openxmlformats.org/officeDocument/2006/relationships/hyperlink" Target="https://drive.google.com/file/d/1Q9cNyDoOfzPY-luHMgtAriDdcgFoCxTr/view?usp=drivesdk" TargetMode="External"/><Relationship Id="rId886" Type="http://schemas.openxmlformats.org/officeDocument/2006/relationships/hyperlink" Target="https://drive.google.com/open?id=1o4x6bW30mjcUiqApmeT28BxMlFjleLjz" TargetMode="External"/><Relationship Id="rId2" Type="http://schemas.openxmlformats.org/officeDocument/2006/relationships/hyperlink" Target="https://drive.google.com/open?id=1CxbLWtvE5o0cP9rqTU94xgy6vevWYehK" TargetMode="External"/><Relationship Id="rId441" Type="http://schemas.openxmlformats.org/officeDocument/2006/relationships/hyperlink" Target="https://drive.google.com/file/d/1druNz8Gq_rrGc0g06vEMOxp1LbkjfZdf/view?usp=drivesdk" TargetMode="External"/><Relationship Id="rId539" Type="http://schemas.openxmlformats.org/officeDocument/2006/relationships/hyperlink" Target="https://drive.google.com/open?id=1EAW0Ewb3xCjsiMDhPRh4ocoIj9u9qIJj" TargetMode="External"/><Relationship Id="rId746" Type="http://schemas.openxmlformats.org/officeDocument/2006/relationships/hyperlink" Target="https://drive.google.com/open?id=1iURd4lcjNBGmgI-l0WHVizzNBPupjdyW" TargetMode="External"/><Relationship Id="rId1071" Type="http://schemas.openxmlformats.org/officeDocument/2006/relationships/hyperlink" Target="https://drive.google.com/file/d/14n7znCyqq2HqgiU937Mjk6m9htjfxB-5/view?usp=drivesdk" TargetMode="External"/><Relationship Id="rId1169" Type="http://schemas.openxmlformats.org/officeDocument/2006/relationships/hyperlink" Target="https://drive.google.com/file/d/1XsiNpYX8BnS9-0Qa9gLx-1hRMzGIFs1F/view?usp=drivesdk" TargetMode="External"/><Relationship Id="rId1376" Type="http://schemas.openxmlformats.org/officeDocument/2006/relationships/hyperlink" Target="https://drive.google.com/file/d/16LfL2GqNT935Btg4rv_1Tp2KxBOO2rXg/view?usp=drivesdk" TargetMode="External"/><Relationship Id="rId301" Type="http://schemas.openxmlformats.org/officeDocument/2006/relationships/hyperlink" Target="https://drive.google.com/open?id=1sJka06hz1lTIoo_4WAvZUeqf9CNxRJs6" TargetMode="External"/><Relationship Id="rId953" Type="http://schemas.openxmlformats.org/officeDocument/2006/relationships/hyperlink" Target="https://drive.google.com/file/d/16-v2FJrZ4lVHtprW-IJ4D3AzJBdjqBP1/view?usp=drivesdk" TargetMode="External"/><Relationship Id="rId1029" Type="http://schemas.openxmlformats.org/officeDocument/2006/relationships/hyperlink" Target="https://drive.google.com/file/d/1ka1BSmAqK7FMkFOnlPV7-zBUluxbI2s6/view?usp=drivesdk" TargetMode="External"/><Relationship Id="rId1236" Type="http://schemas.openxmlformats.org/officeDocument/2006/relationships/hyperlink" Target="https://drive.google.com/file/d/1g7t6ggGp2kJguCPcxL5MbUc0ske7Rmol/view?usp=drivesdk" TargetMode="External"/><Relationship Id="rId82" Type="http://schemas.openxmlformats.org/officeDocument/2006/relationships/hyperlink" Target="https://drive.google.com/open?id=15osqENtLHUOcWDqiYr-GyV9HvWcOgpFL" TargetMode="External"/><Relationship Id="rId606" Type="http://schemas.openxmlformats.org/officeDocument/2006/relationships/hyperlink" Target="https://drive.google.com/file/d/1ySjsZxT5t7zr7p7f7kgkBCdwipvRm1-C/view?usp=drivesdk" TargetMode="External"/><Relationship Id="rId813" Type="http://schemas.openxmlformats.org/officeDocument/2006/relationships/hyperlink" Target="https://drive.google.com/file/d/1ncaQ-y04BxCwWd-ospJM784lDFFzRR0a/view?usp=drivesdk" TargetMode="External"/><Relationship Id="rId1443" Type="http://schemas.openxmlformats.org/officeDocument/2006/relationships/hyperlink" Target="https://drive.google.com/open?id=15Ozyk8qky-OoO4oazSFMKJKCfBUIRWSS" TargetMode="External"/><Relationship Id="rId1303" Type="http://schemas.openxmlformats.org/officeDocument/2006/relationships/hyperlink" Target="https://drive.google.com/file/d/16Zn0L36XNv-3YE3UjsFlkJhZl7oBzDN8/view?usp=drivesdk" TargetMode="External"/><Relationship Id="rId189" Type="http://schemas.openxmlformats.org/officeDocument/2006/relationships/hyperlink" Target="https://drive.google.com/open?id=1PamQCl-1UGrXJd_GL2PdCKSX88P26c5V" TargetMode="External"/><Relationship Id="rId396" Type="http://schemas.openxmlformats.org/officeDocument/2006/relationships/hyperlink" Target="https://drive.google.com/open?id=1-L82p4-UYxzh-A4JdR5orE_lCxWq859u" TargetMode="External"/><Relationship Id="rId256" Type="http://schemas.openxmlformats.org/officeDocument/2006/relationships/hyperlink" Target="https://drive.google.com/file/d/1VMVBElhk-uDCK2GShzxR4Rtzi9n_n9ji/view?usp=drivesdk" TargetMode="External"/><Relationship Id="rId463" Type="http://schemas.openxmlformats.org/officeDocument/2006/relationships/hyperlink" Target="https://drive.google.com/open?id=1mpVbfKyCd0thV6Zs5dczECsjI9ykxXWc" TargetMode="External"/><Relationship Id="rId670" Type="http://schemas.openxmlformats.org/officeDocument/2006/relationships/hyperlink" Target="https://drive.google.com/open?id=1abGO91-Vh3-KDwyK13YB-ukzK30YHhTi" TargetMode="External"/><Relationship Id="rId1093" Type="http://schemas.openxmlformats.org/officeDocument/2006/relationships/hyperlink" Target="https://drive.google.com/file/d/1H9dehYm1Sz8i4yoY94W6yzoFs0yGcLuw/view?usp=drivesdk" TargetMode="External"/><Relationship Id="rId116" Type="http://schemas.openxmlformats.org/officeDocument/2006/relationships/hyperlink" Target="https://drive.google.com/file/d/1z9CRczk6X-5xmflZmSDZmACM7ovFdclX/view?usp=drivesdk" TargetMode="External"/><Relationship Id="rId323" Type="http://schemas.openxmlformats.org/officeDocument/2006/relationships/hyperlink" Target="https://drive.google.com/file/d/13wPwUfth8YqGAiuXal5eNfOk5331XZ33/view?usp=drivesdk" TargetMode="External"/><Relationship Id="rId530" Type="http://schemas.openxmlformats.org/officeDocument/2006/relationships/hyperlink" Target="https://drive.google.com/file/d/1MqEIHa6xN_4kdYW5Amc9dlH5NJahBWFa/view?usp=drivesdk" TargetMode="External"/><Relationship Id="rId768" Type="http://schemas.openxmlformats.org/officeDocument/2006/relationships/hyperlink" Target="https://drive.google.com/open?id=1C51UXKX1Af2XhYpo4kzWo5odMfbe8247" TargetMode="External"/><Relationship Id="rId975" Type="http://schemas.openxmlformats.org/officeDocument/2006/relationships/hyperlink" Target="https://drive.google.com/file/d/1mMIFG7nAGyvVGv_eSZMBBJ4DwJhM-qOV/view?usp=drivesdk" TargetMode="External"/><Relationship Id="rId1160" Type="http://schemas.openxmlformats.org/officeDocument/2006/relationships/hyperlink" Target="https://drive.google.com/open?id=1oLF3c5InR0dpqegADu88_UV0qhDpvGXz" TargetMode="External"/><Relationship Id="rId1398" Type="http://schemas.openxmlformats.org/officeDocument/2006/relationships/hyperlink" Target="https://drive.google.com/file/d/1zsxpsT3OKjAmqEFr_fXeKgVYLDSbAC9t/view?usp=drivesdk" TargetMode="External"/><Relationship Id="rId628" Type="http://schemas.openxmlformats.org/officeDocument/2006/relationships/hyperlink" Target="https://drive.google.com/file/d/1Id_GSYWaVLKuW7iv4Oi0_96S9hezjEN1/view?usp=drivesdk" TargetMode="External"/><Relationship Id="rId835" Type="http://schemas.openxmlformats.org/officeDocument/2006/relationships/hyperlink" Target="https://drive.google.com/file/d/12h9jWUbCTEiTDl_rWsewrAHajFUiOMpp/view?usp=drivesdk" TargetMode="External"/><Relationship Id="rId1258" Type="http://schemas.openxmlformats.org/officeDocument/2006/relationships/hyperlink" Target="https://drive.google.com/open?id=1emFPcsWbvGFQw0uBZXvU-r5Q1iYPO7tQ" TargetMode="External"/><Relationship Id="rId1465" Type="http://schemas.openxmlformats.org/officeDocument/2006/relationships/hyperlink" Target="https://drive.google.com/open?id=1AvXvC347gZ_xQuKlaEWEAJ6hXFbivazG" TargetMode="External"/><Relationship Id="rId1020" Type="http://schemas.openxmlformats.org/officeDocument/2006/relationships/hyperlink" Target="https://drive.google.com/open?id=1XcX3ul-ZhW2Ocs9_GR2E7220ZUkMQfUa" TargetMode="External"/><Relationship Id="rId1118" Type="http://schemas.openxmlformats.org/officeDocument/2006/relationships/hyperlink" Target="https://drive.google.com/file/d/1_GntPSP0bgJ6es8e6t45dt_KPi0fwz9g/view?usp=drivesdk" TargetMode="External"/><Relationship Id="rId1325" Type="http://schemas.openxmlformats.org/officeDocument/2006/relationships/hyperlink" Target="https://drive.google.com/file/d/1AQrauRsU7kpVe8yRKWUdmih-pKe0SWJL/view?usp=drivesdk" TargetMode="External"/><Relationship Id="rId902" Type="http://schemas.openxmlformats.org/officeDocument/2006/relationships/hyperlink" Target="https://drive.google.com/open?id=1OcPGVWbDXMNeE9zG7vOlE8yO5ErXuY65" TargetMode="External"/><Relationship Id="rId31" Type="http://schemas.openxmlformats.org/officeDocument/2006/relationships/hyperlink" Target="https://drive.google.com/file/d/1MJieGOF4wwxIyBnxMe-bLgJPZ4wbeakH/view?usp=drivesdk" TargetMode="External"/><Relationship Id="rId180" Type="http://schemas.openxmlformats.org/officeDocument/2006/relationships/hyperlink" Target="https://drive.google.com/open?id=17H8BpI3I7PNYOOKVpWbna3Aj94TINIQ2" TargetMode="External"/><Relationship Id="rId278" Type="http://schemas.openxmlformats.org/officeDocument/2006/relationships/hyperlink" Target="https://drive.google.com/open?id=1EcVxtN9dv15cYho_5juDQU1P4AKGTRNH" TargetMode="External"/><Relationship Id="rId485" Type="http://schemas.openxmlformats.org/officeDocument/2006/relationships/hyperlink" Target="https://drive.google.com/open?id=1qlrbjOcU119dl4GpL70ind_P-vzX9Ge0" TargetMode="External"/><Relationship Id="rId692" Type="http://schemas.openxmlformats.org/officeDocument/2006/relationships/hyperlink" Target="https://drive.google.com/open?id=1r8lhsDsZB1mTBwxbps_rfzhzJYlY8199" TargetMode="External"/><Relationship Id="rId138" Type="http://schemas.openxmlformats.org/officeDocument/2006/relationships/hyperlink" Target="https://drive.google.com/open?id=1AV8wU-YNe_yGftD8P5wsiJAyykQ5iRLO" TargetMode="External"/><Relationship Id="rId345" Type="http://schemas.openxmlformats.org/officeDocument/2006/relationships/hyperlink" Target="https://drive.google.com/open?id=1LobfRd9C-d4R6m55FLZ2DiaRknSg_JLN" TargetMode="External"/><Relationship Id="rId552" Type="http://schemas.openxmlformats.org/officeDocument/2006/relationships/hyperlink" Target="https://drive.google.com/file/d/1Id7shPD4oY2v_qEsybZYZujTjh3Uem9A/view?usp=drivesdk" TargetMode="External"/><Relationship Id="rId997" Type="http://schemas.openxmlformats.org/officeDocument/2006/relationships/hyperlink" Target="https://drive.google.com/file/d/1co6ig5TVUrxO7aP4dVNgxFzs6ZJr5zr2/view?usp=drivesdk" TargetMode="External"/><Relationship Id="rId1182" Type="http://schemas.openxmlformats.org/officeDocument/2006/relationships/hyperlink" Target="https://drive.google.com/open?id=1vm2c4zx5Za49dPebzxegzQoKehnEXg0d" TargetMode="External"/><Relationship Id="rId205" Type="http://schemas.openxmlformats.org/officeDocument/2006/relationships/hyperlink" Target="https://drive.google.com/open?id=1kyerna70AHwNmG87Z_bisjfrWNMZVzeu" TargetMode="External"/><Relationship Id="rId412" Type="http://schemas.openxmlformats.org/officeDocument/2006/relationships/hyperlink" Target="https://drive.google.com/open?id=1_Xw-9Nhgn8-HEoNMEniuarFOQAsw6Hnp" TargetMode="External"/><Relationship Id="rId857" Type="http://schemas.openxmlformats.org/officeDocument/2006/relationships/hyperlink" Target="https://drive.google.com/file/d/1CBZyPiqoyaefum4tdGGlpeqk_2hAB918/view?usp=drivesdk" TargetMode="External"/><Relationship Id="rId1042" Type="http://schemas.openxmlformats.org/officeDocument/2006/relationships/hyperlink" Target="https://drive.google.com/open?id=1Gt5MEh2o2HkoP0bIkceXsnrGiFT_EaT7" TargetMode="External"/><Relationship Id="rId717" Type="http://schemas.openxmlformats.org/officeDocument/2006/relationships/hyperlink" Target="https://drive.google.com/file/d/122Wnl2IaBaRm_dHwwNkaH72w63JJAxnk/view?usp=drivesdk" TargetMode="External"/><Relationship Id="rId924" Type="http://schemas.openxmlformats.org/officeDocument/2006/relationships/hyperlink" Target="https://drive.google.com/open?id=1WrEK4UNDFenAM1abSlOYnyfqYJeTj1Dd" TargetMode="External"/><Relationship Id="rId1347" Type="http://schemas.openxmlformats.org/officeDocument/2006/relationships/hyperlink" Target="https://drive.google.com/open?id=1BTlSI7zkmdicSmW9xaYaeZGswffN4C1B" TargetMode="External"/><Relationship Id="rId53" Type="http://schemas.openxmlformats.org/officeDocument/2006/relationships/hyperlink" Target="https://drive.google.com/file/d/1eGvDWa6C7_9kH4RMz5ZL2s70r6jbMN40/view?usp=drivesdk" TargetMode="External"/><Relationship Id="rId1207" Type="http://schemas.openxmlformats.org/officeDocument/2006/relationships/hyperlink" Target="https://drive.google.com/file/d/1DTXpVX42ET_PpP_KS6YV_tdWlBq9hT3-/view?usp=drivesdk" TargetMode="External"/><Relationship Id="rId1414" Type="http://schemas.openxmlformats.org/officeDocument/2006/relationships/hyperlink" Target="https://drive.google.com/file/d/1gQ2WrkMav1fBFMgDfTcmaGMPxgHFoCTt/view?usp=drivesdk" TargetMode="External"/><Relationship Id="rId367" Type="http://schemas.openxmlformats.org/officeDocument/2006/relationships/hyperlink" Target="https://drive.google.com/file/d/133039foHt4mmsYvKqOXfZy2WLyh74vvu/view?usp=drivesdk" TargetMode="External"/><Relationship Id="rId574" Type="http://schemas.openxmlformats.org/officeDocument/2006/relationships/hyperlink" Target="https://drive.google.com/file/d/15JkxHeXbztKIq-BCbqNcLhFmNthJkpdd/view?usp=drivesdk" TargetMode="External"/><Relationship Id="rId227" Type="http://schemas.openxmlformats.org/officeDocument/2006/relationships/hyperlink" Target="https://drive.google.com/file/d/1803pnVyC2fG5NVyMuxopVMX4w6k-rjma/view?usp=drivesdk" TargetMode="External"/><Relationship Id="rId781" Type="http://schemas.openxmlformats.org/officeDocument/2006/relationships/hyperlink" Target="https://drive.google.com/file/d/10UBkYNjMmMupiHd88Lp-ChWFWzQsvVEY/view?usp=drivesdk" TargetMode="External"/><Relationship Id="rId879" Type="http://schemas.openxmlformats.org/officeDocument/2006/relationships/hyperlink" Target="https://drive.google.com/file/d/1p3KMqiZECervMNmEiig6zLv-RuBBGQbS/view?usp=drivesdk" TargetMode="External"/><Relationship Id="rId434" Type="http://schemas.openxmlformats.org/officeDocument/2006/relationships/hyperlink" Target="https://drive.google.com/file/d/1OkO1v9WonRo9mKweblBAdHpyU1jfukZZ/view?usp=drivesdk" TargetMode="External"/><Relationship Id="rId641" Type="http://schemas.openxmlformats.org/officeDocument/2006/relationships/hyperlink" Target="https://drive.google.com/open?id=1txQzlUvpdkOCWZC9jKSKZ_GltLFJZoW4" TargetMode="External"/><Relationship Id="rId739" Type="http://schemas.openxmlformats.org/officeDocument/2006/relationships/hyperlink" Target="https://drive.google.com/file/d/1s0Xo3OohramT6kLsgGwJ6Z1NpCcvPVBT/view?usp=drivesdk" TargetMode="External"/><Relationship Id="rId1064" Type="http://schemas.openxmlformats.org/officeDocument/2006/relationships/hyperlink" Target="https://drive.google.com/open?id=1MjVdyJkzOMybs9tjNlYU49y5yTHKe-6Z" TargetMode="External"/><Relationship Id="rId1271" Type="http://schemas.openxmlformats.org/officeDocument/2006/relationships/hyperlink" Target="https://drive.google.com/file/d/1ZBhxvDIW-LlFt7WR59y5Oie1cCVPHr5s/view?usp=drivesdk" TargetMode="External"/><Relationship Id="rId1369" Type="http://schemas.openxmlformats.org/officeDocument/2006/relationships/hyperlink" Target="https://drive.google.com/open?id=1mYmulZzSw0-gJLnlR9Ntx2IbrLwO16HU" TargetMode="External"/><Relationship Id="rId501" Type="http://schemas.openxmlformats.org/officeDocument/2006/relationships/hyperlink" Target="https://drive.google.com/file/d/1gWHPQbJElUPbLp8Xp60AnQOHZYE7Ppah/view?usp=drivesdk" TargetMode="External"/><Relationship Id="rId946" Type="http://schemas.openxmlformats.org/officeDocument/2006/relationships/hyperlink" Target="https://drive.google.com/open?id=1iKHQrLbf6cSREyxW8CLecTg2jawcUwjO" TargetMode="External"/><Relationship Id="rId1131" Type="http://schemas.openxmlformats.org/officeDocument/2006/relationships/hyperlink" Target="https://drive.google.com/open?id=1hIdLNfNdZqqL4vGTeSbOyvJjC6ae7B5Z" TargetMode="External"/><Relationship Id="rId1229" Type="http://schemas.openxmlformats.org/officeDocument/2006/relationships/hyperlink" Target="https://drive.google.com/open?id=1rR9btYhPeV5wpVHYvRPTihSyyYmdJ5GA" TargetMode="External"/><Relationship Id="rId75" Type="http://schemas.openxmlformats.org/officeDocument/2006/relationships/hyperlink" Target="https://drive.google.com/open?id=1fTj32WcxxeyU5nhWY4a-9X_-EaZHo-pP" TargetMode="External"/><Relationship Id="rId806" Type="http://schemas.openxmlformats.org/officeDocument/2006/relationships/hyperlink" Target="https://drive.google.com/open?id=1G_He5OSHynRQP8Wm0C2ImyStugSQSFgH" TargetMode="External"/><Relationship Id="rId1436" Type="http://schemas.openxmlformats.org/officeDocument/2006/relationships/hyperlink" Target="https://drive.google.com/file/d/1A30DTdPojmn6nf1ssPe8PXKQzgS1eiz9/view?usp=drivesdk" TargetMode="External"/><Relationship Id="rId291" Type="http://schemas.openxmlformats.org/officeDocument/2006/relationships/hyperlink" Target="https://drive.google.com/open?id=1u1bj1rk4c3u8pkRYovh6WOnimzjb8n3j" TargetMode="External"/><Relationship Id="rId151" Type="http://schemas.openxmlformats.org/officeDocument/2006/relationships/hyperlink" Target="https://drive.google.com/open?id=1JE8mIh0cGpD0DhKj4vpj6aARI95OqJPY" TargetMode="External"/><Relationship Id="rId389" Type="http://schemas.openxmlformats.org/officeDocument/2006/relationships/hyperlink" Target="https://drive.google.com/file/d/1CC5CvThiW4nxeYo-hB-5gGp8lsdTiG5U/view?usp=drivesdk" TargetMode="External"/><Relationship Id="rId596" Type="http://schemas.openxmlformats.org/officeDocument/2006/relationships/hyperlink" Target="https://drive.google.com/file/d/1s1ylbSN1ytg7BJEx7bMJ0Y_VJIvqFq3K/view?usp=drivesdk" TargetMode="External"/><Relationship Id="rId249" Type="http://schemas.openxmlformats.org/officeDocument/2006/relationships/hyperlink" Target="https://drive.google.com/open?id=1wmUTM0rvHM-7jXyPTKyxbLcpLQMnP6lS" TargetMode="External"/><Relationship Id="rId456" Type="http://schemas.openxmlformats.org/officeDocument/2006/relationships/hyperlink" Target="https://drive.google.com/file/d/1QImmnGsxgOPLHavETdFssgqVMXm1DVMC/view?usp=drivesdk" TargetMode="External"/><Relationship Id="rId663" Type="http://schemas.openxmlformats.org/officeDocument/2006/relationships/hyperlink" Target="https://drive.google.com/file/d/1H28NfUdkQZJPZC658PXlqP1IwKwXp6bN/view?usp=drivesdk" TargetMode="External"/><Relationship Id="rId870" Type="http://schemas.openxmlformats.org/officeDocument/2006/relationships/hyperlink" Target="https://drive.google.com/open?id=1myWbsRhU_ktNj0TDvZrEuUS3sikHLfAL" TargetMode="External"/><Relationship Id="rId1086" Type="http://schemas.openxmlformats.org/officeDocument/2006/relationships/hyperlink" Target="https://drive.google.com/open?id=1NrEO5F2lOdkFWudZA-rUAbpEbdGlDhdO" TargetMode="External"/><Relationship Id="rId1293" Type="http://schemas.openxmlformats.org/officeDocument/2006/relationships/hyperlink" Target="https://drive.google.com/file/d/1dRw3yCNiu86GXgDCHmqKB9Fu2vQL3hza/view?usp=drivesdk" TargetMode="External"/><Relationship Id="rId109" Type="http://schemas.openxmlformats.org/officeDocument/2006/relationships/hyperlink" Target="https://drive.google.com/open?id=1cHoPZvGcYBL4SuoKcoGMiXDGZ-46Thgo" TargetMode="External"/><Relationship Id="rId316" Type="http://schemas.openxmlformats.org/officeDocument/2006/relationships/hyperlink" Target="https://drive.google.com/open?id=11-q7WFZ_iGQRQQMYququX2kfb6Svpo1L" TargetMode="External"/><Relationship Id="rId523" Type="http://schemas.openxmlformats.org/officeDocument/2006/relationships/hyperlink" Target="https://drive.google.com/open?id=1cThHgmLdUdrT6OUXXloM8n7WicPhq8om" TargetMode="External"/><Relationship Id="rId968" Type="http://schemas.openxmlformats.org/officeDocument/2006/relationships/hyperlink" Target="https://drive.google.com/open?id=1Nf-7r_K5As7hJs-n0bOPrvfCyz993w6F" TargetMode="External"/><Relationship Id="rId1153" Type="http://schemas.openxmlformats.org/officeDocument/2006/relationships/hyperlink" Target="https://drive.google.com/file/d/1alxoPuHQULI5j6BH8VqkXr7yiK3zNDFs/view?usp=drivesdk" TargetMode="External"/><Relationship Id="rId97" Type="http://schemas.openxmlformats.org/officeDocument/2006/relationships/hyperlink" Target="https://drive.google.com/open?id=14E5FgdJRCNN0IW5-JZpQBrIEikxE3YJ1" TargetMode="External"/><Relationship Id="rId730" Type="http://schemas.openxmlformats.org/officeDocument/2006/relationships/hyperlink" Target="https://drive.google.com/open?id=1fBKnUqC0XMEaa_P4zcbjPYfqPOJT2woe" TargetMode="External"/><Relationship Id="rId828" Type="http://schemas.openxmlformats.org/officeDocument/2006/relationships/hyperlink" Target="https://drive.google.com/open?id=1vq2wnFsl-jKUKCMdj9OJeJ1hpB8T2RWI" TargetMode="External"/><Relationship Id="rId1013" Type="http://schemas.openxmlformats.org/officeDocument/2006/relationships/hyperlink" Target="https://drive.google.com/file/d/1GKl-kFC41-0H-YHkiW20BY6xoEmmpgwc/view?usp=drivesdk" TargetMode="External"/><Relationship Id="rId1360" Type="http://schemas.openxmlformats.org/officeDocument/2006/relationships/hyperlink" Target="https://drive.google.com/file/d/1N1o70VxqtDayf6eKiP14Pm0j6iR4UuMt/view?usp=drivesdk" TargetMode="External"/><Relationship Id="rId1458" Type="http://schemas.openxmlformats.org/officeDocument/2006/relationships/hyperlink" Target="https://drive.google.com/file/d/1LsRNnLFyDI3JX9suchvYUTwUt-dr9-FY/view?usp=drivesdk" TargetMode="External"/><Relationship Id="rId1220" Type="http://schemas.openxmlformats.org/officeDocument/2006/relationships/hyperlink" Target="https://drive.google.com/file/d/13edr77p5hzrDv_swJU1kQXQqOuFdj4rQ/view?usp=drivesdk" TargetMode="External"/><Relationship Id="rId1318" Type="http://schemas.openxmlformats.org/officeDocument/2006/relationships/hyperlink" Target="https://drive.google.com/open?id=1FFPJntYTmZEsarHbLS1MeYCUK2hwCU1B" TargetMode="External"/><Relationship Id="rId24" Type="http://schemas.openxmlformats.org/officeDocument/2006/relationships/hyperlink" Target="https://drive.google.com/open?id=1jOANmbzmyYjUM6tdjRiWi4fMqMz5vD3g" TargetMode="External"/><Relationship Id="rId173" Type="http://schemas.openxmlformats.org/officeDocument/2006/relationships/hyperlink" Target="https://drive.google.com/file/d/17rWNyB45wcf_W7ybeJ8LJQCFPQT12Xrb/view?usp=drivesdk" TargetMode="External"/><Relationship Id="rId380" Type="http://schemas.openxmlformats.org/officeDocument/2006/relationships/hyperlink" Target="https://drive.google.com/open?id=1zycrmF0Jws-Qm6NoB1Uq66zTBrC4saRU" TargetMode="External"/><Relationship Id="rId240" Type="http://schemas.openxmlformats.org/officeDocument/2006/relationships/hyperlink" Target="https://drive.google.com/file/d/1Wwnl1OeNgICQnCnOY-X1hMET8IfZ7ill/view?usp=drivesdk" TargetMode="External"/><Relationship Id="rId478" Type="http://schemas.openxmlformats.org/officeDocument/2006/relationships/hyperlink" Target="https://drive.google.com/open?id=1HZBzVrZd6vM4KTfWt1Hh1ezds4b6hlOT" TargetMode="External"/><Relationship Id="rId685" Type="http://schemas.openxmlformats.org/officeDocument/2006/relationships/hyperlink" Target="https://drive.google.com/file/d/1LfKGrxkrkD2BX2PdyHd626dD3p6C_zVO/view?usp=drivesdk" TargetMode="External"/><Relationship Id="rId892" Type="http://schemas.openxmlformats.org/officeDocument/2006/relationships/hyperlink" Target="https://drive.google.com/open?id=195WNv920caN458qBmae1LIX6JKKn7cOS" TargetMode="External"/><Relationship Id="rId100" Type="http://schemas.openxmlformats.org/officeDocument/2006/relationships/hyperlink" Target="https://drive.google.com/file/d/1d2D3VZ5cR9VXYEmbLc3AhLPyv0yomnPB/view?usp=drivesdk" TargetMode="External"/><Relationship Id="rId338" Type="http://schemas.openxmlformats.org/officeDocument/2006/relationships/hyperlink" Target="https://drive.google.com/file/d/14v34rKK4FNUNT0-N7uVn2z6cJoXRDjMS/view?usp=drivesdk" TargetMode="External"/><Relationship Id="rId545" Type="http://schemas.openxmlformats.org/officeDocument/2006/relationships/hyperlink" Target="https://drive.google.com/open?id=1ao7d19ro3ydUH3jdlCmgkPKtFLnsKzLu" TargetMode="External"/><Relationship Id="rId752" Type="http://schemas.openxmlformats.org/officeDocument/2006/relationships/hyperlink" Target="https://drive.google.com/open?id=1vYC7zWPEJBij68IoSZ1ZKMuzUODu-KAC" TargetMode="External"/><Relationship Id="rId1175" Type="http://schemas.openxmlformats.org/officeDocument/2006/relationships/hyperlink" Target="https://drive.google.com/file/d/1-xnPwAp7M_7zjmG-iAjwmih0lBQvhApo/view?usp=drivesdk" TargetMode="External"/><Relationship Id="rId1382" Type="http://schemas.openxmlformats.org/officeDocument/2006/relationships/hyperlink" Target="https://drive.google.com/file/d/1QPNBIjXDtare-q5R0DDKLMNKR2nqzX0x/view?usp=drivesdk" TargetMode="External"/><Relationship Id="rId405" Type="http://schemas.openxmlformats.org/officeDocument/2006/relationships/hyperlink" Target="https://drive.google.com/file/d/1v0Xr_xh-Qb9VEK3VGuQ0VwmFgdquZG_Y/view?usp=drivesdk" TargetMode="External"/><Relationship Id="rId612" Type="http://schemas.openxmlformats.org/officeDocument/2006/relationships/hyperlink" Target="https://drive.google.com/file/d/1bOhweKqssQD0OHJB9M2czRxjU48wmoU3/view?usp=drivesdk" TargetMode="External"/><Relationship Id="rId1035" Type="http://schemas.openxmlformats.org/officeDocument/2006/relationships/hyperlink" Target="https://drive.google.com/file/d/1xC_i8TlFwTxmyKOQ0Zq4D2pmyTYG9XzE/view?usp=drivesdk" TargetMode="External"/><Relationship Id="rId1242" Type="http://schemas.openxmlformats.org/officeDocument/2006/relationships/hyperlink" Target="https://drive.google.com/open?id=1jZGW3Fe1SVgw4_4_dMnmga0R7gM9nwnF" TargetMode="External"/><Relationship Id="rId917" Type="http://schemas.openxmlformats.org/officeDocument/2006/relationships/hyperlink" Target="https://drive.google.com/file/d/1PIPO7izhmSGOFBKjZeOy4c7J7-p5PjMx/view?usp=drivesdk" TargetMode="External"/><Relationship Id="rId1102" Type="http://schemas.openxmlformats.org/officeDocument/2006/relationships/hyperlink" Target="https://drive.google.com/file/d/127oxAFffrV5OPoqWsKOaumxJ1l5H2mcI/view?usp=drivesdk" TargetMode="External"/><Relationship Id="rId46" Type="http://schemas.openxmlformats.org/officeDocument/2006/relationships/hyperlink" Target="https://drive.google.com/open?id=1buT_gA_8WnR057QnjJcKJGpcqOXcrxpZ" TargetMode="External"/><Relationship Id="rId1407" Type="http://schemas.openxmlformats.org/officeDocument/2006/relationships/hyperlink" Target="https://drive.google.com/open?id=1kzach7pJmCmrY8eEIBogS9y3LHYb50EK" TargetMode="External"/><Relationship Id="rId195" Type="http://schemas.openxmlformats.org/officeDocument/2006/relationships/hyperlink" Target="https://drive.google.com/open?id=11FypsBoZ20PagvxHBS7rWPoyQ1Xdbsja" TargetMode="External"/><Relationship Id="rId262" Type="http://schemas.openxmlformats.org/officeDocument/2006/relationships/hyperlink" Target="https://drive.google.com/open?id=1fiMqF4rjCEHpIgP9NjPirNXbEUQO-CxO" TargetMode="External"/><Relationship Id="rId567" Type="http://schemas.openxmlformats.org/officeDocument/2006/relationships/hyperlink" Target="https://drive.google.com/open?id=1nXHMHWvyt9YmIDP8GFGOndQ_eu4F6tkT" TargetMode="External"/><Relationship Id="rId1197" Type="http://schemas.openxmlformats.org/officeDocument/2006/relationships/hyperlink" Target="https://drive.google.com/file/d/1My3b2gh6fNOcERDutMrlVBVerS1MMZOW/view?usp=drivesdk" TargetMode="External"/><Relationship Id="rId122" Type="http://schemas.openxmlformats.org/officeDocument/2006/relationships/hyperlink" Target="https://drive.google.com/file/d/12IHTULbYcsC76cWMsEuoO6MQjLvxIcN3/view?usp=drivesdk" TargetMode="External"/><Relationship Id="rId774" Type="http://schemas.openxmlformats.org/officeDocument/2006/relationships/hyperlink" Target="https://drive.google.com/open?id=1vx1SZia4zdlYgIbXOiIyE6NYSe4wniNU" TargetMode="External"/><Relationship Id="rId981" Type="http://schemas.openxmlformats.org/officeDocument/2006/relationships/hyperlink" Target="https://drive.google.com/file/d/1ZEgS54tavFteW6GBbEsacDbeKfGVXIdl/view?usp=drivesdk" TargetMode="External"/><Relationship Id="rId1057" Type="http://schemas.openxmlformats.org/officeDocument/2006/relationships/hyperlink" Target="https://drive.google.com/file/d/1R2j0wXUwhgNih4cXKBwj7OpXA8E1UXFg/view?usp=drivesdk" TargetMode="External"/><Relationship Id="rId427" Type="http://schemas.openxmlformats.org/officeDocument/2006/relationships/hyperlink" Target="https://drive.google.com/open?id=10CeIYkOFfe-f5l-mwimPAcv9yLMMjw3I" TargetMode="External"/><Relationship Id="rId634" Type="http://schemas.openxmlformats.org/officeDocument/2006/relationships/hyperlink" Target="https://drive.google.com/file/d/1Mh7b4P8kzGMP64q-1Prn-NCiC_tzbX7V/view?usp=drivesdk" TargetMode="External"/><Relationship Id="rId841" Type="http://schemas.openxmlformats.org/officeDocument/2006/relationships/hyperlink" Target="https://drive.google.com/file/d/1f1xh5P6M7WgBC44DyvTUYn9b26OA0QTS/view?usp=drivesdk" TargetMode="External"/><Relationship Id="rId1264" Type="http://schemas.openxmlformats.org/officeDocument/2006/relationships/hyperlink" Target="https://drive.google.com/open?id=1S2FqMBLHOCCi6wgtVED1SpRZVmZD20gy" TargetMode="External"/><Relationship Id="rId701" Type="http://schemas.openxmlformats.org/officeDocument/2006/relationships/hyperlink" Target="https://drive.google.com/open?id=1Kjg2NoBNKfoV2i1MIyz7dijG9d5HLOWK" TargetMode="External"/><Relationship Id="rId939" Type="http://schemas.openxmlformats.org/officeDocument/2006/relationships/hyperlink" Target="https://drive.google.com/file/d/1nFs2qJUcjkAQELpOrt9F86NZzRgOsmGf/view?usp=drivesdk" TargetMode="External"/><Relationship Id="rId1124" Type="http://schemas.openxmlformats.org/officeDocument/2006/relationships/hyperlink" Target="https://drive.google.com/file/d/1H78Qymttxjdj2-etINEcFrn1IdO7zI0o/view?usp=drivesdk" TargetMode="External"/><Relationship Id="rId1331" Type="http://schemas.openxmlformats.org/officeDocument/2006/relationships/hyperlink" Target="https://drive.google.com/open?id=1COpeh4EWB0aEYgfZzZ_YWXiPb9ypzU6J" TargetMode="External"/><Relationship Id="rId68" Type="http://schemas.openxmlformats.org/officeDocument/2006/relationships/hyperlink" Target="https://drive.google.com/open?id=1yq_ugUBH4_QnKVI9Uqy8Cu1pbDe06m1o" TargetMode="External"/><Relationship Id="rId1429" Type="http://schemas.openxmlformats.org/officeDocument/2006/relationships/hyperlink" Target="https://drive.google.com/open?id=1f7rwE94E-ff2budS4zo8gYAP9BnUkjmb" TargetMode="External"/><Relationship Id="rId284" Type="http://schemas.openxmlformats.org/officeDocument/2006/relationships/hyperlink" Target="https://drive.google.com/file/d/1iwolZcju0b8ZiA_DQdVULPRJVy6C7rt3/view?usp=drivesdk" TargetMode="External"/><Relationship Id="rId491" Type="http://schemas.openxmlformats.org/officeDocument/2006/relationships/hyperlink" Target="https://drive.google.com/open?id=1I9npCVa3mjeNHt88jRaWRzpy9JFIAGGh" TargetMode="External"/><Relationship Id="rId144" Type="http://schemas.openxmlformats.org/officeDocument/2006/relationships/hyperlink" Target="https://drive.google.com/open?id=1FiF3M-8WVtIfL6AGStRP7BZ-LKca63R1" TargetMode="External"/><Relationship Id="rId589" Type="http://schemas.openxmlformats.org/officeDocument/2006/relationships/hyperlink" Target="https://drive.google.com/open?id=1VrlskstDc4qBThiFEYUpZRoXn_aw3a6h" TargetMode="External"/><Relationship Id="rId796" Type="http://schemas.openxmlformats.org/officeDocument/2006/relationships/hyperlink" Target="https://drive.google.com/open?id=1SvWmwKQtYLGqhi0Dcvzefz2g6t1Z35OM" TargetMode="External"/><Relationship Id="rId351" Type="http://schemas.openxmlformats.org/officeDocument/2006/relationships/hyperlink" Target="https://drive.google.com/open?id=1W11jGX14LZWtZo8oFwITXzqliRT8g1bU" TargetMode="External"/><Relationship Id="rId449" Type="http://schemas.openxmlformats.org/officeDocument/2006/relationships/hyperlink" Target="https://drive.google.com/open?id=1V7IM3hVBNjHd1Q2j6wHLmSnti2rRBv8Y" TargetMode="External"/><Relationship Id="rId656" Type="http://schemas.openxmlformats.org/officeDocument/2006/relationships/hyperlink" Target="https://drive.google.com/open?id=1xIZnTtRqa7qHNzrd872C9wt4ec5uk5NJ" TargetMode="External"/><Relationship Id="rId863" Type="http://schemas.openxmlformats.org/officeDocument/2006/relationships/hyperlink" Target="https://drive.google.com/file/d/1ULetW-l1a9R-NYq5ovKEUf7_-b4KfJAT/view?usp=drivesdk" TargetMode="External"/><Relationship Id="rId1079" Type="http://schemas.openxmlformats.org/officeDocument/2006/relationships/hyperlink" Target="https://drive.google.com/file/d/132gBIXVqz28_fBucIbg0_bqJnDxCu9SP/view?usp=drivesdk" TargetMode="External"/><Relationship Id="rId1286" Type="http://schemas.openxmlformats.org/officeDocument/2006/relationships/hyperlink" Target="https://drive.google.com/open?id=1ccXozhfqS2Kp52CnkQZ9uqZ7vmtD1ho6" TargetMode="External"/><Relationship Id="rId211" Type="http://schemas.openxmlformats.org/officeDocument/2006/relationships/hyperlink" Target="https://drive.google.com/file/d/1eHMv7ucysTe3aakAi_asZ6bXNnteY7fv/view?usp=drivesdk" TargetMode="External"/><Relationship Id="rId309" Type="http://schemas.openxmlformats.org/officeDocument/2006/relationships/hyperlink" Target="https://drive.google.com/open?id=1b0DqOxuKwEtzMrEENH483VhJK-B7jxb3" TargetMode="External"/><Relationship Id="rId516" Type="http://schemas.openxmlformats.org/officeDocument/2006/relationships/hyperlink" Target="https://drive.google.com/open?id=17umxgk7rPMRCjTRzb8LYF2113V4z9yzc" TargetMode="External"/><Relationship Id="rId1146" Type="http://schemas.openxmlformats.org/officeDocument/2006/relationships/hyperlink" Target="https://drive.google.com/open?id=11LYuXkfDIwVnZ3AlO9HDN3ZxDSNjCLtM" TargetMode="External"/><Relationship Id="rId723" Type="http://schemas.openxmlformats.org/officeDocument/2006/relationships/hyperlink" Target="https://drive.google.com/file/d/12aZMPf1D_MeDn9BkArXfPv7K6yBt1XSz/view?usp=drivesdk" TargetMode="External"/><Relationship Id="rId930" Type="http://schemas.openxmlformats.org/officeDocument/2006/relationships/hyperlink" Target="https://drive.google.com/open?id=1VXbyU23nCnXc-Ab28-lcnUQXQGgyfGsD" TargetMode="External"/><Relationship Id="rId1006" Type="http://schemas.openxmlformats.org/officeDocument/2006/relationships/hyperlink" Target="https://drive.google.com/open?id=1erQSZ0TCxfDwZ29-vBv9IJWH8VNhbYyg" TargetMode="External"/><Relationship Id="rId1353" Type="http://schemas.openxmlformats.org/officeDocument/2006/relationships/hyperlink" Target="https://drive.google.com/open?id=1D27M3i-GPciu2hNaki5fRmMSsFgxCQvY" TargetMode="External"/><Relationship Id="rId1213" Type="http://schemas.openxmlformats.org/officeDocument/2006/relationships/hyperlink" Target="https://drive.google.com/file/d/12LuNqv6yWR6P5_OupMgVJiUde8iPSm96/view?usp=drivesdk" TargetMode="External"/><Relationship Id="rId1420" Type="http://schemas.openxmlformats.org/officeDocument/2006/relationships/hyperlink" Target="https://drive.google.com/file/d/1ltzR8vB8T7kLVcJx1GkpYZiulj8MIdlU/view?usp=drivesdk" TargetMode="External"/><Relationship Id="rId17" Type="http://schemas.openxmlformats.org/officeDocument/2006/relationships/hyperlink" Target="https://drive.google.com/file/d/1kd4F2IwGWQ2a0pKywjKyKjQDpOyfseEK/view?usp=drivesdk" TargetMode="External"/><Relationship Id="rId166" Type="http://schemas.openxmlformats.org/officeDocument/2006/relationships/hyperlink" Target="https://drive.google.com/open?id=1YoB_LfvFSJkdRfIgNvEHJrJ82JJVtzLq" TargetMode="External"/><Relationship Id="rId373" Type="http://schemas.openxmlformats.org/officeDocument/2006/relationships/hyperlink" Target="https://drive.google.com/file/d/1kt3aPGCZUgw66w1p1OfK-HwAurQ8rMVr/view?usp=drivesdk" TargetMode="External"/><Relationship Id="rId580" Type="http://schemas.openxmlformats.org/officeDocument/2006/relationships/hyperlink" Target="https://drive.google.com/open?id=1mw3KWhB1O7rqyRfmPs2K06b33KhqrgMd" TargetMode="External"/><Relationship Id="rId1" Type="http://schemas.openxmlformats.org/officeDocument/2006/relationships/hyperlink" Target="https://drive.google.com/open?id=1mrEM8U6G0fnxB_WTM_uGprNxAl7eOq0e" TargetMode="External"/><Relationship Id="rId233" Type="http://schemas.openxmlformats.org/officeDocument/2006/relationships/hyperlink" Target="https://drive.google.com/open?id=1UioJKr_Hrfyr4IllR2rPV0vqyFw7Cfx5" TargetMode="External"/><Relationship Id="rId440" Type="http://schemas.openxmlformats.org/officeDocument/2006/relationships/hyperlink" Target="https://drive.google.com/open?id=1GzNRaw6UpD3g5dYm_5sv7a9KyeGdaieo" TargetMode="External"/><Relationship Id="rId678" Type="http://schemas.openxmlformats.org/officeDocument/2006/relationships/hyperlink" Target="https://drive.google.com/open?id=1u4o_UvKvF0x01zSTBUeEJEoT5rrIyOlJ" TargetMode="External"/><Relationship Id="rId885" Type="http://schemas.openxmlformats.org/officeDocument/2006/relationships/hyperlink" Target="https://drive.google.com/file/d/1LzPwAa6aJnuzASz23zo-N_T9onU7lPDV/view?usp=drivesdk" TargetMode="External"/><Relationship Id="rId1070" Type="http://schemas.openxmlformats.org/officeDocument/2006/relationships/hyperlink" Target="https://drive.google.com/open?id=1mXLX3Cq3FiNeoLr6kiBq9RAdAgEHrBq-" TargetMode="External"/><Relationship Id="rId300" Type="http://schemas.openxmlformats.org/officeDocument/2006/relationships/hyperlink" Target="https://drive.google.com/open?id=18B_Z97IlJVJdaBXZBwvpSgpgIy1h6OAF" TargetMode="External"/><Relationship Id="rId538" Type="http://schemas.openxmlformats.org/officeDocument/2006/relationships/hyperlink" Target="https://drive.google.com/file/d/1PYaF00dohZ9ACj23uuxZlnYAKbLoV4Bw/view?usp=drivesdk" TargetMode="External"/><Relationship Id="rId745" Type="http://schemas.openxmlformats.org/officeDocument/2006/relationships/hyperlink" Target="https://drive.google.com/file/d/1O1cdxE8fw9pN4YEOIFSAaVti_K6ZQJ3q/view?usp=drivesdk" TargetMode="External"/><Relationship Id="rId952" Type="http://schemas.openxmlformats.org/officeDocument/2006/relationships/hyperlink" Target="https://drive.google.com/open?id=1fiNE20ENYa7RYsO5bygF7FGxWr6WkXRT" TargetMode="External"/><Relationship Id="rId1168" Type="http://schemas.openxmlformats.org/officeDocument/2006/relationships/hyperlink" Target="https://drive.google.com/open?id=1iLtOKGSyFLh_XqA3qy-Nl1vf68VppvIk" TargetMode="External"/><Relationship Id="rId1375" Type="http://schemas.openxmlformats.org/officeDocument/2006/relationships/hyperlink" Target="https://drive.google.com/open?id=1FxeerDplWKg_BdTrGEkAElx608Gem-H1" TargetMode="External"/><Relationship Id="rId81" Type="http://schemas.openxmlformats.org/officeDocument/2006/relationships/hyperlink" Target="https://drive.google.com/open?id=1ScalFEZn28SCwSvF1URw2lzAg2dTrZcW" TargetMode="External"/><Relationship Id="rId605" Type="http://schemas.openxmlformats.org/officeDocument/2006/relationships/hyperlink" Target="https://drive.google.com/open?id=1-azh_PMnNpC7nwzFdhRYNIX-ShE0M-FG" TargetMode="External"/><Relationship Id="rId812" Type="http://schemas.openxmlformats.org/officeDocument/2006/relationships/hyperlink" Target="https://drive.google.com/open?id=1pw2Lj5vlUCSdaKrMqQg86DCGLJw--yGQ" TargetMode="External"/><Relationship Id="rId1028" Type="http://schemas.openxmlformats.org/officeDocument/2006/relationships/hyperlink" Target="https://drive.google.com/open?id=1Qnpyz5KPTJrRw8Ye02itD81qD7Y2wwiK" TargetMode="External"/><Relationship Id="rId1235" Type="http://schemas.openxmlformats.org/officeDocument/2006/relationships/hyperlink" Target="https://drive.google.com/open?id=1nyS1r9jjTWbHbUORraGVEEESa782-h-5" TargetMode="External"/><Relationship Id="rId1442" Type="http://schemas.openxmlformats.org/officeDocument/2006/relationships/hyperlink" Target="https://drive.google.com/file/d/1LV6Cmxa1ccKP7pwS7Vci4RGuNfSDfw3B/view?usp=drivesdk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-JlOBkhsUxG-7ImEr68jtIx3WRFUWzE9" TargetMode="External"/><Relationship Id="rId671" Type="http://schemas.openxmlformats.org/officeDocument/2006/relationships/hyperlink" Target="https://drive.google.com/open?id=1abGO91-Vh3-KDwyK13YB-ukzK30YHhTi" TargetMode="External"/><Relationship Id="rId769" Type="http://schemas.openxmlformats.org/officeDocument/2006/relationships/hyperlink" Target="https://drive.google.com/file/d/1Hc_PXE3KSltFSYinW7cWkK8pjvTAVlqm/view?usp=drivesdk" TargetMode="External"/><Relationship Id="rId21" Type="http://schemas.openxmlformats.org/officeDocument/2006/relationships/hyperlink" Target="https://drive.google.com/file/d/1gt_POAXQ21jIiShA8tSKzkmzmGd0Kr9g/view?usp=drivesdk" TargetMode="External"/><Relationship Id="rId324" Type="http://schemas.openxmlformats.org/officeDocument/2006/relationships/hyperlink" Target="https://drive.google.com/file/d/13wPwUfth8YqGAiuXal5eNfOk5331XZ33/view?usp=drivesdk" TargetMode="External"/><Relationship Id="rId531" Type="http://schemas.openxmlformats.org/officeDocument/2006/relationships/hyperlink" Target="https://drive.google.com/file/d/1MqEIHa6xN_4kdYW5Amc9dlH5NJahBWFa/view?usp=drivesdk" TargetMode="External"/><Relationship Id="rId629" Type="http://schemas.openxmlformats.org/officeDocument/2006/relationships/hyperlink" Target="https://drive.google.com/file/d/1Id_GSYWaVLKuW7iv4Oi0_96S9hezjEN1/view?usp=drivesdk" TargetMode="External"/><Relationship Id="rId170" Type="http://schemas.openxmlformats.org/officeDocument/2006/relationships/hyperlink" Target="https://drive.google.com/open?id=1gPOJCOuwVVOrMQGPpLhV2Cba2Nyb-mam" TargetMode="External"/><Relationship Id="rId268" Type="http://schemas.openxmlformats.org/officeDocument/2006/relationships/hyperlink" Target="https://drive.google.com/open?id=1DFWKlq5FAH56c_FhB8BVJRa8FTWttKNz" TargetMode="External"/><Relationship Id="rId475" Type="http://schemas.openxmlformats.org/officeDocument/2006/relationships/hyperlink" Target="https://drive.google.com/open?id=1_OYkOBXq3Gu5uFzLRptUyU3tqBmgPsOa" TargetMode="External"/><Relationship Id="rId682" Type="http://schemas.openxmlformats.org/officeDocument/2006/relationships/hyperlink" Target="https://drive.google.com/file/d/1eI1z8pcpeNBW8K1fB0ieF8FePqiLFyvC/view?usp=drivesdk" TargetMode="External"/><Relationship Id="rId32" Type="http://schemas.openxmlformats.org/officeDocument/2006/relationships/hyperlink" Target="https://drive.google.com/open?id=1XJn7exgblE_C0cdVs8mVs4BYmXENPaed" TargetMode="External"/><Relationship Id="rId128" Type="http://schemas.openxmlformats.org/officeDocument/2006/relationships/hyperlink" Target="https://drive.google.com/file/d/1emSs0Wb-vszNXcXUTm7_Nm5uuZ0C2W9A/view?usp=drivesdk" TargetMode="External"/><Relationship Id="rId335" Type="http://schemas.openxmlformats.org/officeDocument/2006/relationships/hyperlink" Target="https://drive.google.com/open?id=1ORvOngVtfUlG-9CyHLyc3bC7UIS6pAKp" TargetMode="External"/><Relationship Id="rId542" Type="http://schemas.openxmlformats.org/officeDocument/2006/relationships/hyperlink" Target="https://drive.google.com/open?id=1YpCQGMANhSLSjMsw1A0cVwOqeDu9wnsf" TargetMode="External"/><Relationship Id="rId181" Type="http://schemas.openxmlformats.org/officeDocument/2006/relationships/hyperlink" Target="https://drive.google.com/file/d/1OfSxwisVVx10Lewjhn3Jx8Rr2FjObqHA/view?usp=drivesdk" TargetMode="External"/><Relationship Id="rId402" Type="http://schemas.openxmlformats.org/officeDocument/2006/relationships/hyperlink" Target="https://drive.google.com/open?id=10sI4Qo06dxQQtAtCQUyzSp52whnhIFz5" TargetMode="External"/><Relationship Id="rId279" Type="http://schemas.openxmlformats.org/officeDocument/2006/relationships/hyperlink" Target="https://drive.google.com/open?id=1EcVxtN9dv15cYho_5juDQU1P4AKGTRNH" TargetMode="External"/><Relationship Id="rId486" Type="http://schemas.openxmlformats.org/officeDocument/2006/relationships/hyperlink" Target="https://drive.google.com/open?id=1qlrbjOcU119dl4GpL70ind_P-vzX9Ge0" TargetMode="External"/><Relationship Id="rId693" Type="http://schemas.openxmlformats.org/officeDocument/2006/relationships/hyperlink" Target="https://drive.google.com/open?id=1r8lhsDsZB1mTBwxbps_rfzhzJYlY8199" TargetMode="External"/><Relationship Id="rId707" Type="http://schemas.openxmlformats.org/officeDocument/2006/relationships/hyperlink" Target="https://drive.google.com/open?id=1GMtyusqJkZjBNItQPrvTSobxl9PJc--3" TargetMode="External"/><Relationship Id="rId43" Type="http://schemas.openxmlformats.org/officeDocument/2006/relationships/hyperlink" Target="https://drive.google.com/file/d/1_SujYlKbyvK7wiJSAKSl8u8zn_EMD8ZY/view?usp=drivesdk" TargetMode="External"/><Relationship Id="rId139" Type="http://schemas.openxmlformats.org/officeDocument/2006/relationships/hyperlink" Target="https://drive.google.com/open?id=1mkmjQL_YPptkRE3hNw4ehb8QdoHrJy5p" TargetMode="External"/><Relationship Id="rId346" Type="http://schemas.openxmlformats.org/officeDocument/2006/relationships/hyperlink" Target="https://drive.google.com/open?id=1LobfRd9C-d4R6m55FLZ2DiaRknSg_JLN" TargetMode="External"/><Relationship Id="rId553" Type="http://schemas.openxmlformats.org/officeDocument/2006/relationships/hyperlink" Target="https://drive.google.com/file/d/1Id7shPD4oY2v_qEsybZYZujTjh3Uem9A/view?usp=drivesdk" TargetMode="External"/><Relationship Id="rId760" Type="http://schemas.openxmlformats.org/officeDocument/2006/relationships/hyperlink" Target="https://drive.google.com/file/d/1LeKHa9S1NtfeRObdlYOcT1DDHkGXUcSf/view?usp=drivesdk" TargetMode="External"/><Relationship Id="rId192" Type="http://schemas.openxmlformats.org/officeDocument/2006/relationships/hyperlink" Target="https://drive.google.com/file/d/1lOzRiMbHi4yiGvzy7cGboHF1lps7CV2A/view?usp=drivesdk" TargetMode="External"/><Relationship Id="rId206" Type="http://schemas.openxmlformats.org/officeDocument/2006/relationships/hyperlink" Target="https://drive.google.com/open?id=1B0pqri8k2E8kFPMNGbPuens5AiLd-zRk" TargetMode="External"/><Relationship Id="rId413" Type="http://schemas.openxmlformats.org/officeDocument/2006/relationships/hyperlink" Target="https://drive.google.com/open?id=1_Xw-9Nhgn8-HEoNMEniuarFOQAsw6Hnp" TargetMode="External"/><Relationship Id="rId497" Type="http://schemas.openxmlformats.org/officeDocument/2006/relationships/hyperlink" Target="https://drive.google.com/open?id=1jRf8wC0B0RHbg_niDOnQYUg2DRoXdazy" TargetMode="External"/><Relationship Id="rId620" Type="http://schemas.openxmlformats.org/officeDocument/2006/relationships/hyperlink" Target="https://drive.google.com/open?id=1R0xsZ3JB5WgoYfr2w3W-xVpxfuR93nW8" TargetMode="External"/><Relationship Id="rId718" Type="http://schemas.openxmlformats.org/officeDocument/2006/relationships/hyperlink" Target="https://drive.google.com/file/d/122Wnl2IaBaRm_dHwwNkaH72w63JJAxnk/view?usp=drivesdk" TargetMode="External"/><Relationship Id="rId357" Type="http://schemas.openxmlformats.org/officeDocument/2006/relationships/hyperlink" Target="https://drive.google.com/open?id=1yy1-xSodyKoG1L2mee-gtFCVC9QGwDB-" TargetMode="External"/><Relationship Id="rId54" Type="http://schemas.openxmlformats.org/officeDocument/2006/relationships/hyperlink" Target="https://drive.google.com/open?id=1xr_rr_Y7jZ8X2AS0bNQHe3ibHlF8bdy2" TargetMode="External"/><Relationship Id="rId217" Type="http://schemas.openxmlformats.org/officeDocument/2006/relationships/hyperlink" Target="https://drive.google.com/file/d/1m6lizUGKRNkI2JbXIN3IOQDDAZnAAs9a/view?usp=drivesdk" TargetMode="External"/><Relationship Id="rId564" Type="http://schemas.openxmlformats.org/officeDocument/2006/relationships/hyperlink" Target="https://drive.google.com/open?id=1e9cixQcwKZsB2Xyl1fAwFmLlkkuBh9A1" TargetMode="External"/><Relationship Id="rId771" Type="http://schemas.openxmlformats.org/officeDocument/2006/relationships/hyperlink" Target="https://drive.google.com/file/d/1O2uh7X6musbRuEJSmlvXqBYl9FQZKxSO/view?usp=drivesdk" TargetMode="External"/><Relationship Id="rId424" Type="http://schemas.openxmlformats.org/officeDocument/2006/relationships/hyperlink" Target="https://drive.google.com/file/d/1VN8NPiPsKi9E1tP_a-ufkKJxQSo7EdwY/view?usp=drivesdk" TargetMode="External"/><Relationship Id="rId631" Type="http://schemas.openxmlformats.org/officeDocument/2006/relationships/hyperlink" Target="https://drive.google.com/file/d/1c2kj7u07NsxmQR6WHC_GhkdhR6xx2l8-/view?usp=drivesdk" TargetMode="External"/><Relationship Id="rId729" Type="http://schemas.openxmlformats.org/officeDocument/2006/relationships/hyperlink" Target="https://drive.google.com/open?id=1UuDuhLSE3VFFPtxoOqulaoo1fjlxxpzZ" TargetMode="External"/><Relationship Id="rId270" Type="http://schemas.openxmlformats.org/officeDocument/2006/relationships/hyperlink" Target="https://drive.google.com/open?id=1mGRIBvx9UKS6lDNqqyIRdQYPsI6-8IzE" TargetMode="External"/><Relationship Id="rId65" Type="http://schemas.openxmlformats.org/officeDocument/2006/relationships/hyperlink" Target="https://drive.google.com/file/d/1Pvsg3IngayRTExM_QWDU8J9mMJg6jD81/view?usp=drivesdk" TargetMode="External"/><Relationship Id="rId130" Type="http://schemas.openxmlformats.org/officeDocument/2006/relationships/hyperlink" Target="https://drive.google.com/open?id=1UtVdy_RjMIhep5DDkvzLWLhsmyIAbNsL" TargetMode="External"/><Relationship Id="rId368" Type="http://schemas.openxmlformats.org/officeDocument/2006/relationships/hyperlink" Target="https://drive.google.com/file/d/133039foHt4mmsYvKqOXfZy2WLyh74vvu/view?usp=drivesdk" TargetMode="External"/><Relationship Id="rId575" Type="http://schemas.openxmlformats.org/officeDocument/2006/relationships/hyperlink" Target="https://drive.google.com/file/d/15JkxHeXbztKIq-BCbqNcLhFmNthJkpdd/view?usp=drivesdk" TargetMode="External"/><Relationship Id="rId782" Type="http://schemas.openxmlformats.org/officeDocument/2006/relationships/hyperlink" Target="https://drive.google.com/open?id=1_JUM-Dzr0Tv1XNL-uaCLH8CjHS214BKH" TargetMode="External"/><Relationship Id="rId228" Type="http://schemas.openxmlformats.org/officeDocument/2006/relationships/hyperlink" Target="https://drive.google.com/open?id=1mLR8w0ehbTr7JkkjSSgin78J7WinvqIs" TargetMode="External"/><Relationship Id="rId435" Type="http://schemas.openxmlformats.org/officeDocument/2006/relationships/hyperlink" Target="https://drive.google.com/file/d/1OkO1v9WonRo9mKweblBAdHpyU1jfukZZ/view?usp=drivesdk" TargetMode="External"/><Relationship Id="rId642" Type="http://schemas.openxmlformats.org/officeDocument/2006/relationships/hyperlink" Target="https://drive.google.com/open?id=1txQzlUvpdkOCWZC9jKSKZ_GltLFJZoW4" TargetMode="External"/><Relationship Id="rId281" Type="http://schemas.openxmlformats.org/officeDocument/2006/relationships/hyperlink" Target="https://drive.google.com/open?id=1SZNq3ylZ9TDwS_EXoI0YkJcYgGduZzjG" TargetMode="External"/><Relationship Id="rId502" Type="http://schemas.openxmlformats.org/officeDocument/2006/relationships/hyperlink" Target="https://drive.google.com/open?id=1HNbSVz0QdE0ypkrLN5tnA-VkjsrIcsyf" TargetMode="External"/><Relationship Id="rId76" Type="http://schemas.openxmlformats.org/officeDocument/2006/relationships/hyperlink" Target="https://drive.google.com/file/d/1DhGseUBDz8r54aw6wcyydwSL3BTLCH8x/view?usp=drivesdk" TargetMode="External"/><Relationship Id="rId141" Type="http://schemas.openxmlformats.org/officeDocument/2006/relationships/hyperlink" Target="https://drive.google.com/file/d/1NbX6Tlzaihu3k_UpWRg_8KklRm0ONtYd/view?usp=drivesdk" TargetMode="External"/><Relationship Id="rId379" Type="http://schemas.openxmlformats.org/officeDocument/2006/relationships/hyperlink" Target="https://drive.google.com/open?id=1PFmq1RtHXpOEK5VTTSuDNiOOTIPhn5Ug" TargetMode="External"/><Relationship Id="rId586" Type="http://schemas.openxmlformats.org/officeDocument/2006/relationships/hyperlink" Target="https://drive.google.com/open?id=1weVm7GBm0NAZzJ0_OTzx_H9OAo3Cq-FX" TargetMode="External"/><Relationship Id="rId793" Type="http://schemas.openxmlformats.org/officeDocument/2006/relationships/hyperlink" Target="https://drive.google.com/file/d/1kTr8kBIk0dHmQaCCy9eAVozG0HIiS0TP/view?usp=drivesdk" TargetMode="External"/><Relationship Id="rId7" Type="http://schemas.openxmlformats.org/officeDocument/2006/relationships/hyperlink" Target="https://drive.google.com/file/d/1S1EnzUcSIlncCOXIW-y-UYZySpxnWtrK/view?usp=drivesdk" TargetMode="External"/><Relationship Id="rId239" Type="http://schemas.openxmlformats.org/officeDocument/2006/relationships/hyperlink" Target="https://drive.google.com/file/d/1_In3p1BgpcLr1sJAQcF48bDuv0phNnci/view?usp=drivesdk" TargetMode="External"/><Relationship Id="rId446" Type="http://schemas.openxmlformats.org/officeDocument/2006/relationships/hyperlink" Target="https://drive.google.com/open?id=1kOIpkXL2ulXMgtwZo_paD2jgLViTSESS" TargetMode="External"/><Relationship Id="rId653" Type="http://schemas.openxmlformats.org/officeDocument/2006/relationships/hyperlink" Target="https://drive.google.com/open?id=1nYgtEnvBc-2oafr89_vMw6tvhgcnSXE8" TargetMode="External"/><Relationship Id="rId292" Type="http://schemas.openxmlformats.org/officeDocument/2006/relationships/hyperlink" Target="https://drive.google.com/open?id=1u1bj1rk4c3u8pkRYovh6WOnimzjb8n3j" TargetMode="External"/><Relationship Id="rId306" Type="http://schemas.openxmlformats.org/officeDocument/2006/relationships/hyperlink" Target="https://drive.google.com/file/d/1k6IYdYTdDI7dCSqwIsbSdTJCwf5Xx9Rm/view?usp=drivesdk" TargetMode="External"/><Relationship Id="rId87" Type="http://schemas.openxmlformats.org/officeDocument/2006/relationships/hyperlink" Target="https://drive.google.com/file/d/1duWKV1kvFWgFCWKHuZDEt35jKOtxj-wr/view?usp=drivesdk" TargetMode="External"/><Relationship Id="rId513" Type="http://schemas.openxmlformats.org/officeDocument/2006/relationships/hyperlink" Target="https://drive.google.com/open?id=1IugcpSZcfXRQ6-B_CZ-qhWN2AQIL-xft" TargetMode="External"/><Relationship Id="rId597" Type="http://schemas.openxmlformats.org/officeDocument/2006/relationships/hyperlink" Target="https://drive.google.com/file/d/1hiw6WxDPMtUiGVUvBi4T3MDwghQkpmeq/view?usp=drivesdk" TargetMode="External"/><Relationship Id="rId720" Type="http://schemas.openxmlformats.org/officeDocument/2006/relationships/hyperlink" Target="https://drive.google.com/file/d/1CsDHw_Y0ENfNgBeVOAtQExjyf6WmjcdN/view?usp=drivesdk" TargetMode="External"/><Relationship Id="rId152" Type="http://schemas.openxmlformats.org/officeDocument/2006/relationships/hyperlink" Target="https://drive.google.com/open?id=1Mv4i0UoSZcVnknwgkMTt1DAvSDZaKQTi" TargetMode="External"/><Relationship Id="rId457" Type="http://schemas.openxmlformats.org/officeDocument/2006/relationships/hyperlink" Target="https://drive.google.com/file/d/1QImmnGsxgOPLHavETdFssgqVMXm1DVMC/view?usp=drivesdk" TargetMode="External"/><Relationship Id="rId664" Type="http://schemas.openxmlformats.org/officeDocument/2006/relationships/hyperlink" Target="https://drive.google.com/file/d/1H28NfUdkQZJPZC658PXlqP1IwKwXp6bN/view?usp=drivesdk" TargetMode="External"/><Relationship Id="rId14" Type="http://schemas.openxmlformats.org/officeDocument/2006/relationships/hyperlink" Target="https://drive.google.com/open?id=1rW0U4BxDjbyOl2mhyPLhvdRdedM758eF" TargetMode="External"/><Relationship Id="rId317" Type="http://schemas.openxmlformats.org/officeDocument/2006/relationships/hyperlink" Target="https://drive.google.com/open?id=11-q7WFZ_iGQRQQMYququX2kfb6Svpo1L" TargetMode="External"/><Relationship Id="rId524" Type="http://schemas.openxmlformats.org/officeDocument/2006/relationships/hyperlink" Target="https://drive.google.com/open?id=1cThHgmLdUdrT6OUXXloM8n7WicPhq8om" TargetMode="External"/><Relationship Id="rId731" Type="http://schemas.openxmlformats.org/officeDocument/2006/relationships/hyperlink" Target="https://drive.google.com/open?id=1fBKnUqC0XMEaa_P4zcbjPYfqPOJT2woe" TargetMode="External"/><Relationship Id="rId98" Type="http://schemas.openxmlformats.org/officeDocument/2006/relationships/hyperlink" Target="https://drive.google.com/file/d/1kprFT6bfGHlELBKpdd_wHDR2CaFUqKvH/view?usp=drivesdk" TargetMode="External"/><Relationship Id="rId163" Type="http://schemas.openxmlformats.org/officeDocument/2006/relationships/hyperlink" Target="https://drive.google.com/open?id=1iDGuMOJoCZzFnl9NZiwe4w058dODbVqN" TargetMode="External"/><Relationship Id="rId370" Type="http://schemas.openxmlformats.org/officeDocument/2006/relationships/hyperlink" Target="https://drive.google.com/open?id=1yogLy78k-NxyjmNdPW3GXYpDDPjBIrRv" TargetMode="External"/><Relationship Id="rId230" Type="http://schemas.openxmlformats.org/officeDocument/2006/relationships/hyperlink" Target="https://drive.google.com/open?id=1GwkDE1f73cPaXB1PxzaBKpnPtWLzslVJ" TargetMode="External"/><Relationship Id="rId468" Type="http://schemas.openxmlformats.org/officeDocument/2006/relationships/hyperlink" Target="https://drive.google.com/open?id=1rth1SHCJamv8uuCtRVqj9QcQ8Gezf_em" TargetMode="External"/><Relationship Id="rId675" Type="http://schemas.openxmlformats.org/officeDocument/2006/relationships/hyperlink" Target="https://drive.google.com/open?id=1VaSRVgWb3miC8H--K-h_JwfM-7rgSRBQ" TargetMode="External"/><Relationship Id="rId25" Type="http://schemas.openxmlformats.org/officeDocument/2006/relationships/hyperlink" Target="https://drive.google.com/file/d/18qA0XYpW8znmpl-jwf8kLxpd3vcgDhl7/view?usp=drivesdk" TargetMode="External"/><Relationship Id="rId328" Type="http://schemas.openxmlformats.org/officeDocument/2006/relationships/hyperlink" Target="https://drive.google.com/file/d/1QK_EKUmpV0q2IFwILyV9-9SyJ4GttQmE/view?usp=drivesdk" TargetMode="External"/><Relationship Id="rId535" Type="http://schemas.openxmlformats.org/officeDocument/2006/relationships/hyperlink" Target="https://drive.google.com/file/d/1t2wo9aruVhczrzmtW0QLVHAAFStfPhMS/view?usp=drivesdk" TargetMode="External"/><Relationship Id="rId742" Type="http://schemas.openxmlformats.org/officeDocument/2006/relationships/hyperlink" Target="https://drive.google.com/file/d/1GICdCd9BHWGjfh34OvefAzUM-V4_wkIP/view?usp=drivesdk" TargetMode="External"/><Relationship Id="rId174" Type="http://schemas.openxmlformats.org/officeDocument/2006/relationships/hyperlink" Target="https://drive.google.com/open?id=1WS21q1XEXuQ4H7Oqa4KS_Dk5fyaskRON" TargetMode="External"/><Relationship Id="rId381" Type="http://schemas.openxmlformats.org/officeDocument/2006/relationships/hyperlink" Target="https://drive.google.com/open?id=1zycrmF0Jws-Qm6NoB1Uq66zTBrC4saRU" TargetMode="External"/><Relationship Id="rId602" Type="http://schemas.openxmlformats.org/officeDocument/2006/relationships/hyperlink" Target="https://drive.google.com/open?id=17n5HLf7lHtXEvhLZv458DjnRMSJCWPrB" TargetMode="External"/><Relationship Id="rId241" Type="http://schemas.openxmlformats.org/officeDocument/2006/relationships/hyperlink" Target="https://drive.google.com/file/d/1Wwnl1OeNgICQnCnOY-X1hMET8IfZ7ill/view?usp=drivesdk" TargetMode="External"/><Relationship Id="rId479" Type="http://schemas.openxmlformats.org/officeDocument/2006/relationships/hyperlink" Target="https://drive.google.com/open?id=1HZBzVrZd6vM4KTfWt1Hh1ezds4b6hlOT" TargetMode="External"/><Relationship Id="rId686" Type="http://schemas.openxmlformats.org/officeDocument/2006/relationships/hyperlink" Target="https://drive.google.com/file/d/1LfKGrxkrkD2BX2PdyHd626dD3p6C_zVO/view?usp=drivesdk" TargetMode="External"/><Relationship Id="rId36" Type="http://schemas.openxmlformats.org/officeDocument/2006/relationships/hyperlink" Target="https://drive.google.com/open?id=1-1klgcJlXxYe8igSJUmKUGLPBJMEahg1" TargetMode="External"/><Relationship Id="rId339" Type="http://schemas.openxmlformats.org/officeDocument/2006/relationships/hyperlink" Target="https://drive.google.com/file/d/14v34rKK4FNUNT0-N7uVn2z6cJoXRDjMS/view?usp=drivesdk" TargetMode="External"/><Relationship Id="rId546" Type="http://schemas.openxmlformats.org/officeDocument/2006/relationships/hyperlink" Target="https://drive.google.com/open?id=1ao7d19ro3ydUH3jdlCmgkPKtFLnsKzLu" TargetMode="External"/><Relationship Id="rId753" Type="http://schemas.openxmlformats.org/officeDocument/2006/relationships/hyperlink" Target="https://drive.google.com/open?id=1vYC7zWPEJBij68IoSZ1ZKMuzUODu-KAC" TargetMode="External"/><Relationship Id="rId101" Type="http://schemas.openxmlformats.org/officeDocument/2006/relationships/hyperlink" Target="https://drive.google.com/open?id=12S2kwR_D4ywJtsZGWeVh4sFmp_StkTPu" TargetMode="External"/><Relationship Id="rId185" Type="http://schemas.openxmlformats.org/officeDocument/2006/relationships/hyperlink" Target="https://drive.google.com/open?id=1DKyLqwwUWKlOOpL8LSxkwSwAEqYiX60F" TargetMode="External"/><Relationship Id="rId406" Type="http://schemas.openxmlformats.org/officeDocument/2006/relationships/hyperlink" Target="https://drive.google.com/file/d/1v0Xr_xh-Qb9VEK3VGuQ0VwmFgdquZG_Y/view?usp=drivesdk" TargetMode="External"/><Relationship Id="rId392" Type="http://schemas.openxmlformats.org/officeDocument/2006/relationships/hyperlink" Target="https://drive.google.com/open?id=1Uk9egxQzYCVGEgMoJs_WV71GvLt_NNcj" TargetMode="External"/><Relationship Id="rId613" Type="http://schemas.openxmlformats.org/officeDocument/2006/relationships/hyperlink" Target="https://drive.google.com/file/d/1bOhweKqssQD0OHJB9M2czRxjU48wmoU3/view?usp=drivesdk" TargetMode="External"/><Relationship Id="rId697" Type="http://schemas.openxmlformats.org/officeDocument/2006/relationships/hyperlink" Target="https://drive.google.com/open?id=1xiPHUd-AYsmLkgJlurmJ6UkGhOcqwcl4" TargetMode="External"/><Relationship Id="rId252" Type="http://schemas.openxmlformats.org/officeDocument/2006/relationships/hyperlink" Target="https://drive.google.com/open?id=1W-cXwOG8OqdNQxHSrT752MHA7xtjA3FM" TargetMode="External"/><Relationship Id="rId47" Type="http://schemas.openxmlformats.org/officeDocument/2006/relationships/hyperlink" Target="https://drive.google.com/file/d/1KVgyd-obhzgpGt-U48murLpfF7pvj7ju/view?usp=drivesdk" TargetMode="External"/><Relationship Id="rId112" Type="http://schemas.openxmlformats.org/officeDocument/2006/relationships/hyperlink" Target="https://drive.google.com/open?id=1dyGM06YqSkXm9kVYE3yx83iJ5QNzesKx" TargetMode="External"/><Relationship Id="rId557" Type="http://schemas.openxmlformats.org/officeDocument/2006/relationships/hyperlink" Target="https://drive.google.com/file/d/1At9EcQbg9jU54n54r5qAlWbIsdL27Pih/view?usp=drivesdk" TargetMode="External"/><Relationship Id="rId764" Type="http://schemas.openxmlformats.org/officeDocument/2006/relationships/hyperlink" Target="https://drive.google.com/open?id=1pFgjdgoxMfjk_REH_0YQSmdNpOZAJvXq" TargetMode="External"/><Relationship Id="rId196" Type="http://schemas.openxmlformats.org/officeDocument/2006/relationships/hyperlink" Target="https://drive.google.com/file/d/1TmYgnt11tLuW-wd-fpUJNNongLZLtIsK/view?usp=drivesdk" TargetMode="External"/><Relationship Id="rId417" Type="http://schemas.openxmlformats.org/officeDocument/2006/relationships/hyperlink" Target="https://drive.google.com/file/d/1_cAlzYXAFK1AxG2cBg8g3vv6pyI0jQZ3/view?usp=drivesdk" TargetMode="External"/><Relationship Id="rId624" Type="http://schemas.openxmlformats.org/officeDocument/2006/relationships/hyperlink" Target="https://drive.google.com/open?id=1WA6TavhVWEYgnmj9N0J01Or5UW5QfLll" TargetMode="External"/><Relationship Id="rId263" Type="http://schemas.openxmlformats.org/officeDocument/2006/relationships/hyperlink" Target="https://drive.google.com/open?id=1fiMqF4rjCEHpIgP9NjPirNXbEUQO-CxO" TargetMode="External"/><Relationship Id="rId470" Type="http://schemas.openxmlformats.org/officeDocument/2006/relationships/hyperlink" Target="https://drive.google.com/file/d/1mvn9-EAEzq0z4QLIpFiGpmajGtKn5_rI/view?usp=drivesdk" TargetMode="External"/><Relationship Id="rId58" Type="http://schemas.openxmlformats.org/officeDocument/2006/relationships/hyperlink" Target="https://drive.google.com/open?id=1Tu4b8lvkyu7hGhMCpg7MCjrutLBpI3EX" TargetMode="External"/><Relationship Id="rId123" Type="http://schemas.openxmlformats.org/officeDocument/2006/relationships/hyperlink" Target="https://drive.google.com/open?id=1psFhggJNjW0Q06-AS_03545oWNwba2eD" TargetMode="External"/><Relationship Id="rId330" Type="http://schemas.openxmlformats.org/officeDocument/2006/relationships/hyperlink" Target="https://drive.google.com/file/d/1usDt59Cgi2rRoJLgURJFDVlb0drIIGEh/view?usp=drivesdk" TargetMode="External"/><Relationship Id="rId568" Type="http://schemas.openxmlformats.org/officeDocument/2006/relationships/hyperlink" Target="https://drive.google.com/open?id=1nXHMHWvyt9YmIDP8GFGOndQ_eu4F6tkT" TargetMode="External"/><Relationship Id="rId775" Type="http://schemas.openxmlformats.org/officeDocument/2006/relationships/hyperlink" Target="https://drive.google.com/file/d/1XPS8zMAis3p5vvwdzccfvWnr6yiYeogy/view?usp=drivesdk" TargetMode="External"/><Relationship Id="rId428" Type="http://schemas.openxmlformats.org/officeDocument/2006/relationships/hyperlink" Target="https://drive.google.com/open?id=10CeIYkOFfe-f5l-mwimPAcv9yLMMjw3I" TargetMode="External"/><Relationship Id="rId635" Type="http://schemas.openxmlformats.org/officeDocument/2006/relationships/hyperlink" Target="https://drive.google.com/file/d/1Mh7b4P8kzGMP64q-1Prn-NCiC_tzbX7V/view?usp=drivesdk" TargetMode="External"/><Relationship Id="rId274" Type="http://schemas.openxmlformats.org/officeDocument/2006/relationships/hyperlink" Target="https://drive.google.com/open?id=15KPKdG4wq3Wh6E19DLdwydqER8W_jniE" TargetMode="External"/><Relationship Id="rId481" Type="http://schemas.openxmlformats.org/officeDocument/2006/relationships/hyperlink" Target="https://drive.google.com/open?id=1kKmYTDDn61MhOUXcIXuWC4-WqxFbzU3r" TargetMode="External"/><Relationship Id="rId702" Type="http://schemas.openxmlformats.org/officeDocument/2006/relationships/hyperlink" Target="https://drive.google.com/open?id=1Kjg2NoBNKfoV2i1MIyz7dijG9d5HLOWK" TargetMode="External"/><Relationship Id="rId69" Type="http://schemas.openxmlformats.org/officeDocument/2006/relationships/hyperlink" Target="https://drive.google.com/file/d/19At_hqHHeLD00n2QWQ19sm3Ww1lDCDDF/view?usp=drivesdk" TargetMode="External"/><Relationship Id="rId134" Type="http://schemas.openxmlformats.org/officeDocument/2006/relationships/hyperlink" Target="https://drive.google.com/open?id=1aI69pndUZux8CwDJQVcz5ZtFAQi4_bT-" TargetMode="External"/><Relationship Id="rId579" Type="http://schemas.openxmlformats.org/officeDocument/2006/relationships/hyperlink" Target="https://drive.google.com/open?id=1oD5RMKBf-q8gzacX9aouecnOWQ9zenSX" TargetMode="External"/><Relationship Id="rId786" Type="http://schemas.openxmlformats.org/officeDocument/2006/relationships/hyperlink" Target="https://drive.google.com/open?id=1qGm-QRWyqDsIZkhML52S6NH-RwMvUYiy" TargetMode="External"/><Relationship Id="rId341" Type="http://schemas.openxmlformats.org/officeDocument/2006/relationships/hyperlink" Target="https://drive.google.com/file/d/1phIm0J3RqqWePREkK0HGvWDSBvyA7kOc/view?usp=drivesdk" TargetMode="External"/><Relationship Id="rId439" Type="http://schemas.openxmlformats.org/officeDocument/2006/relationships/hyperlink" Target="https://drive.google.com/file/d/12I6nINnR1TUIN8braGQJywCe9f7YBc3l/view?usp=drivesdk" TargetMode="External"/><Relationship Id="rId646" Type="http://schemas.openxmlformats.org/officeDocument/2006/relationships/hyperlink" Target="https://drive.google.com/file/d/1O-DgJaRKCCsDwlj1i_IRj347P4LEPcc-/view?usp=drivesdk" TargetMode="External"/><Relationship Id="rId201" Type="http://schemas.openxmlformats.org/officeDocument/2006/relationships/hyperlink" Target="https://drive.google.com/open?id=1oqDaHJlZc3VToA6Q-Y17OqwwUbRmPbCU" TargetMode="External"/><Relationship Id="rId285" Type="http://schemas.openxmlformats.org/officeDocument/2006/relationships/hyperlink" Target="https://drive.google.com/file/d/1iwolZcju0b8ZiA_DQdVULPRJVy6C7rt3/view?usp=drivesdk" TargetMode="External"/><Relationship Id="rId506" Type="http://schemas.openxmlformats.org/officeDocument/2006/relationships/hyperlink" Target="https://drive.google.com/file/d/1Xy22Lfw_pdHxT75ZqFYwGEpiZK9BY2oz/view?usp=drivesdk" TargetMode="External"/><Relationship Id="rId492" Type="http://schemas.openxmlformats.org/officeDocument/2006/relationships/hyperlink" Target="https://drive.google.com/open?id=1I9npCVa3mjeNHt88jRaWRzpy9JFIAGGh" TargetMode="External"/><Relationship Id="rId713" Type="http://schemas.openxmlformats.org/officeDocument/2006/relationships/hyperlink" Target="https://drive.google.com/open?id=13UyoU7zCk1_R1tJt1zYLj4CTywMkRv76" TargetMode="External"/><Relationship Id="rId145" Type="http://schemas.openxmlformats.org/officeDocument/2006/relationships/hyperlink" Target="https://drive.google.com/open?id=1f2z06ZFSyxfm_E9nDGHGfKUhpzgPTpgk" TargetMode="External"/><Relationship Id="rId352" Type="http://schemas.openxmlformats.org/officeDocument/2006/relationships/hyperlink" Target="https://drive.google.com/open?id=1W11jGX14LZWtZo8oFwITXzqliRT8g1bU" TargetMode="External"/><Relationship Id="rId212" Type="http://schemas.openxmlformats.org/officeDocument/2006/relationships/hyperlink" Target="https://drive.google.com/open?id=1Om7L15XSVeATyE78Laydz51DpDJKaSRv" TargetMode="External"/><Relationship Id="rId657" Type="http://schemas.openxmlformats.org/officeDocument/2006/relationships/hyperlink" Target="https://drive.google.com/open?id=1xIZnTtRqa7qHNzrd872C9wt4ec5uk5NJ" TargetMode="External"/><Relationship Id="rId296" Type="http://schemas.openxmlformats.org/officeDocument/2006/relationships/hyperlink" Target="https://drive.google.com/open?id=1P1Afwbbzzxn2TS1v11nxu3tE1BP0L9Wg" TargetMode="External"/><Relationship Id="rId517" Type="http://schemas.openxmlformats.org/officeDocument/2006/relationships/hyperlink" Target="https://drive.google.com/open?id=17umxgk7rPMRCjTRzb8LYF2113V4z9yzc" TargetMode="External"/><Relationship Id="rId724" Type="http://schemas.openxmlformats.org/officeDocument/2006/relationships/hyperlink" Target="https://drive.google.com/file/d/12aZMPf1D_MeDn9BkArXfPv7K6yBt1XSz/view?usp=drivesdk" TargetMode="External"/><Relationship Id="rId60" Type="http://schemas.openxmlformats.org/officeDocument/2006/relationships/hyperlink" Target="https://drive.google.com/open?id=1XW61HOHCK0XVrUP7ANRL0eoOSASYPHQr" TargetMode="External"/><Relationship Id="rId156" Type="http://schemas.openxmlformats.org/officeDocument/2006/relationships/hyperlink" Target="https://drive.google.com/file/d/1JeTSfIoT2Bu8fbTVducfIgtAfmr10xQ5/view?usp=drivesdk" TargetMode="External"/><Relationship Id="rId363" Type="http://schemas.openxmlformats.org/officeDocument/2006/relationships/hyperlink" Target="https://drive.google.com/open?id=12n3ov0CAYFSq04FJB28OYl7qV4cUhr-m" TargetMode="External"/><Relationship Id="rId570" Type="http://schemas.openxmlformats.org/officeDocument/2006/relationships/hyperlink" Target="https://drive.google.com/open?id=1YYDFIi29fo8jY-j96grI__XEXtD14fIl" TargetMode="External"/><Relationship Id="rId223" Type="http://schemas.openxmlformats.org/officeDocument/2006/relationships/hyperlink" Target="https://drive.google.com/open?id=1-NLujXjWJiioKGQu1ONTF_WtZE1cMUB6" TargetMode="External"/><Relationship Id="rId430" Type="http://schemas.openxmlformats.org/officeDocument/2006/relationships/hyperlink" Target="https://drive.google.com/open?id=1COIy77-1FsJw2v86mK3Xwvqd6bJ7XbKA" TargetMode="External"/><Relationship Id="rId668" Type="http://schemas.openxmlformats.org/officeDocument/2006/relationships/hyperlink" Target="https://drive.google.com/file/d/1GogZmVaxY1Vy6oh8uF1Sqoo99jU1oNS5/view?usp=drivesdk" TargetMode="External"/><Relationship Id="rId18" Type="http://schemas.openxmlformats.org/officeDocument/2006/relationships/hyperlink" Target="https://drive.google.com/open?id=1TWXX2Dc3Rz4kjWJ-tCJAgX26qkrP6gvh" TargetMode="External"/><Relationship Id="rId528" Type="http://schemas.openxmlformats.org/officeDocument/2006/relationships/hyperlink" Target="https://drive.google.com/open?id=1Hb2OwP-RnB7aRdFN4PsoNrSjsVGYluRI" TargetMode="External"/><Relationship Id="rId735" Type="http://schemas.openxmlformats.org/officeDocument/2006/relationships/hyperlink" Target="https://drive.google.com/open?id=1au1cQBQKh_a-niAevp2l-HwqFUeVMdZP" TargetMode="External"/><Relationship Id="rId167" Type="http://schemas.openxmlformats.org/officeDocument/2006/relationships/hyperlink" Target="https://drive.google.com/file/d/1M92y7cSXlms9YYiXePQQBplnBiWpgOZP/view?usp=drivesdk" TargetMode="External"/><Relationship Id="rId374" Type="http://schemas.openxmlformats.org/officeDocument/2006/relationships/hyperlink" Target="https://drive.google.com/file/d/1kt3aPGCZUgw66w1p1OfK-HwAurQ8rMVr/view?usp=drivesdk" TargetMode="External"/><Relationship Id="rId581" Type="http://schemas.openxmlformats.org/officeDocument/2006/relationships/hyperlink" Target="https://drive.google.com/open?id=1mw3KWhB1O7rqyRfmPs2K06b33KhqrgMd" TargetMode="External"/><Relationship Id="rId71" Type="http://schemas.openxmlformats.org/officeDocument/2006/relationships/hyperlink" Target="https://drive.google.com/file/d/1RG0r7j_f1DRlXA34orDGNeYRKGuwmreQ/view?usp=drivesdk" TargetMode="External"/><Relationship Id="rId234" Type="http://schemas.openxmlformats.org/officeDocument/2006/relationships/hyperlink" Target="https://drive.google.com/file/d/1hovBP7tfxX0IOfaopzQUo-qJmabKM-sI/view?usp=drivesdk" TargetMode="External"/><Relationship Id="rId679" Type="http://schemas.openxmlformats.org/officeDocument/2006/relationships/hyperlink" Target="https://drive.google.com/open?id=1u4o_UvKvF0x01zSTBUeEJEoT5rrIyOlJ" TargetMode="External"/><Relationship Id="rId2" Type="http://schemas.openxmlformats.org/officeDocument/2006/relationships/hyperlink" Target="https://drive.google.com/open?id=1CxbLWtvE5o0cP9rqTU94xgy6vevWYehK" TargetMode="External"/><Relationship Id="rId29" Type="http://schemas.openxmlformats.org/officeDocument/2006/relationships/hyperlink" Target="https://drive.google.com/file/d/1dY4k05JvqvcBF8ClydSxowkheonBbuYU/view?usp=drivesdk" TargetMode="External"/><Relationship Id="rId441" Type="http://schemas.openxmlformats.org/officeDocument/2006/relationships/hyperlink" Target="https://drive.google.com/open?id=1GzNRaw6UpD3g5dYm_5sv7a9KyeGdaieo" TargetMode="External"/><Relationship Id="rId539" Type="http://schemas.openxmlformats.org/officeDocument/2006/relationships/hyperlink" Target="https://drive.google.com/file/d/1PYaF00dohZ9ACj23uuxZlnYAKbLoV4Bw/view?usp=drivesdk" TargetMode="External"/><Relationship Id="rId746" Type="http://schemas.openxmlformats.org/officeDocument/2006/relationships/hyperlink" Target="https://drive.google.com/file/d/1giyxwh-sKDBs1rYCfz2YM0cUdB0jteO9/view?usp=drivesdk" TargetMode="External"/><Relationship Id="rId178" Type="http://schemas.openxmlformats.org/officeDocument/2006/relationships/hyperlink" Target="https://drive.google.com/file/d/1DWZFOXTZAqDplh3IJnCE_0acd3Zg6KoV/view?usp=drivesdk" TargetMode="External"/><Relationship Id="rId301" Type="http://schemas.openxmlformats.org/officeDocument/2006/relationships/hyperlink" Target="https://drive.google.com/open?id=18B_Z97IlJVJdaBXZBwvpSgpgIy1h6OAF" TargetMode="External"/><Relationship Id="rId82" Type="http://schemas.openxmlformats.org/officeDocument/2006/relationships/hyperlink" Target="https://drive.google.com/open?id=15osqENtLHUOcWDqiYr-GyV9HvWcOgpFL" TargetMode="External"/><Relationship Id="rId385" Type="http://schemas.openxmlformats.org/officeDocument/2006/relationships/hyperlink" Target="https://drive.google.com/open?id=1eGgqh2DHwwpKmf7RJkf4ynfd8uWwfkjm" TargetMode="External"/><Relationship Id="rId592" Type="http://schemas.openxmlformats.org/officeDocument/2006/relationships/hyperlink" Target="https://drive.google.com/open?id=1VrlskstDc4qBThiFEYUpZRoXn_aw3a6h" TargetMode="External"/><Relationship Id="rId606" Type="http://schemas.openxmlformats.org/officeDocument/2006/relationships/hyperlink" Target="https://drive.google.com/open?id=1-azh_PMnNpC7nwzFdhRYNIX-ShE0M-FG" TargetMode="External"/><Relationship Id="rId245" Type="http://schemas.openxmlformats.org/officeDocument/2006/relationships/hyperlink" Target="https://drive.google.com/file/d/1BLm7kfOxQCOjESwlxACpjHB2BHJwMeOb/view?usp=drivesdk" TargetMode="External"/><Relationship Id="rId452" Type="http://schemas.openxmlformats.org/officeDocument/2006/relationships/hyperlink" Target="https://drive.google.com/open?id=1awg5Q4Rs41mKxnrkPwvO7j8RNEdNu57d" TargetMode="External"/><Relationship Id="rId105" Type="http://schemas.openxmlformats.org/officeDocument/2006/relationships/hyperlink" Target="https://drive.google.com/open?id=1pOsKMAA76XvfpEVBXDNLQ8i4PUMEGwjQ" TargetMode="External"/><Relationship Id="rId312" Type="http://schemas.openxmlformats.org/officeDocument/2006/relationships/hyperlink" Target="https://drive.google.com/file/d/1uj1SHcU5zJ4wZbQ20VgKQlBQHjoMyoyo/view?usp=drivesdk" TargetMode="External"/><Relationship Id="rId757" Type="http://schemas.openxmlformats.org/officeDocument/2006/relationships/hyperlink" Target="https://drive.google.com/open?id=1AoCJLhewAol6sezv9cRMmYs2yAysKd3A" TargetMode="External"/><Relationship Id="rId93" Type="http://schemas.openxmlformats.org/officeDocument/2006/relationships/hyperlink" Target="https://drive.google.com/open?id=1GVSfUtAd-VG7N2w11azVOuPqlJ_pNFuw" TargetMode="External"/><Relationship Id="rId189" Type="http://schemas.openxmlformats.org/officeDocument/2006/relationships/hyperlink" Target="https://drive.google.com/open?id=1PamQCl-1UGrXJd_GL2PdCKSX88P26c5V" TargetMode="External"/><Relationship Id="rId396" Type="http://schemas.openxmlformats.org/officeDocument/2006/relationships/hyperlink" Target="https://drive.google.com/open?id=13fUAYJdt--jm7lkanOAbLCMv9FhK4D08" TargetMode="External"/><Relationship Id="rId617" Type="http://schemas.openxmlformats.org/officeDocument/2006/relationships/hyperlink" Target="https://drive.google.com/file/d/1-9sdDMY34Tg1qhqFRzSka0ayWmf0f4Vw/view?usp=drivesdk" TargetMode="External"/><Relationship Id="rId256" Type="http://schemas.openxmlformats.org/officeDocument/2006/relationships/hyperlink" Target="https://drive.google.com/open?id=1oRoMTuJa_7WoQIdgTJXbBcifqlIuqGJu" TargetMode="External"/><Relationship Id="rId463" Type="http://schemas.openxmlformats.org/officeDocument/2006/relationships/hyperlink" Target="https://drive.google.com/file/d/1_XRTarNZTaZnK-5mAmzrt6yt-8fqV4KQ/view?usp=drivesdk" TargetMode="External"/><Relationship Id="rId670" Type="http://schemas.openxmlformats.org/officeDocument/2006/relationships/hyperlink" Target="https://drive.google.com/file/d/12KDmX_5wDltqDuUhoRfqjx3ItsllNDLx/view?usp=drivesdk" TargetMode="External"/><Relationship Id="rId116" Type="http://schemas.openxmlformats.org/officeDocument/2006/relationships/hyperlink" Target="https://drive.google.com/file/d/1z9CRczk6X-5xmflZmSDZmACM7ovFdclX/view?usp=drivesdk" TargetMode="External"/><Relationship Id="rId323" Type="http://schemas.openxmlformats.org/officeDocument/2006/relationships/hyperlink" Target="https://drive.google.com/open?id=1HMNapIA9MdAtlgclld8U5yRKJsM_RxHo" TargetMode="External"/><Relationship Id="rId530" Type="http://schemas.openxmlformats.org/officeDocument/2006/relationships/hyperlink" Target="https://drive.google.com/open?id=1gpIO81XFXelIA31Y9dwAX3Qfyzr7lSGs" TargetMode="External"/><Relationship Id="rId768" Type="http://schemas.openxmlformats.org/officeDocument/2006/relationships/hyperlink" Target="https://drive.google.com/open?id=1C51UXKX1Af2XhYpo4kzWo5odMfbe8247" TargetMode="External"/><Relationship Id="rId20" Type="http://schemas.openxmlformats.org/officeDocument/2006/relationships/hyperlink" Target="https://drive.google.com/open?id=1kV7426-pZepQwruh-h4gakwsSJ1VIWc1" TargetMode="External"/><Relationship Id="rId628" Type="http://schemas.openxmlformats.org/officeDocument/2006/relationships/hyperlink" Target="https://drive.google.com/open?id=1pvXPtOnEAwCBwi01-KFmIaxOsIQfROM8" TargetMode="External"/><Relationship Id="rId267" Type="http://schemas.openxmlformats.org/officeDocument/2006/relationships/hyperlink" Target="https://drive.google.com/file/d/1PiW4wgkQUxH-stP1a3E-gSE2P4VckBx5/view?usp=drivesdk" TargetMode="External"/><Relationship Id="rId474" Type="http://schemas.openxmlformats.org/officeDocument/2006/relationships/hyperlink" Target="https://drive.google.com/open?id=1SVX1_SScFpNhhfcDT7_TMPFti_qex5il" TargetMode="External"/><Relationship Id="rId127" Type="http://schemas.openxmlformats.org/officeDocument/2006/relationships/hyperlink" Target="https://drive.google.com/open?id=1kP52y2Rm7ZGrAQVe9fX6z0qCNskgdVEC" TargetMode="External"/><Relationship Id="rId681" Type="http://schemas.openxmlformats.org/officeDocument/2006/relationships/hyperlink" Target="https://drive.google.com/open?id=1NZZ2C8X3giFgUCE8E2ulCsyV9HT7d124" TargetMode="External"/><Relationship Id="rId779" Type="http://schemas.openxmlformats.org/officeDocument/2006/relationships/hyperlink" Target="https://drive.google.com/file/d/1HpOqoVtPRgYDHfz9rJnAmVzN_m404Yv2/view?usp=drivesdk" TargetMode="External"/><Relationship Id="rId31" Type="http://schemas.openxmlformats.org/officeDocument/2006/relationships/hyperlink" Target="https://drive.google.com/file/d/1MJieGOF4wwxIyBnxMe-bLgJPZ4wbeakH/view?usp=drivesdk" TargetMode="External"/><Relationship Id="rId334" Type="http://schemas.openxmlformats.org/officeDocument/2006/relationships/hyperlink" Target="https://drive.google.com/open?id=1rsZs2C51Q-gaY6LItyqBK7AzKezP-9Hl" TargetMode="External"/><Relationship Id="rId541" Type="http://schemas.openxmlformats.org/officeDocument/2006/relationships/hyperlink" Target="https://drive.google.com/file/d/1QFqX6O1t62dsGKVlH8X-8Umz7fX-k7he/view?usp=drivesdk" TargetMode="External"/><Relationship Id="rId639" Type="http://schemas.openxmlformats.org/officeDocument/2006/relationships/hyperlink" Target="https://drive.google.com/file/d/14fqoOLUK5poJzqy2f8on0oeXQy9XjakX/view?usp=drivesdk" TargetMode="External"/><Relationship Id="rId180" Type="http://schemas.openxmlformats.org/officeDocument/2006/relationships/hyperlink" Target="https://drive.google.com/open?id=17H8BpI3I7PNYOOKVpWbna3Aj94TINIQ2" TargetMode="External"/><Relationship Id="rId278" Type="http://schemas.openxmlformats.org/officeDocument/2006/relationships/hyperlink" Target="https://drive.google.com/file/d/1Edo6jt2F-1BCqLKHEyxzOormB8cs_Q5V/view?usp=drivesdk" TargetMode="External"/><Relationship Id="rId401" Type="http://schemas.openxmlformats.org/officeDocument/2006/relationships/hyperlink" Target="https://drive.google.com/open?id=1IOY6ekAGFWJdI8WquJy2UGIkaHvsP0st" TargetMode="External"/><Relationship Id="rId485" Type="http://schemas.openxmlformats.org/officeDocument/2006/relationships/hyperlink" Target="https://drive.google.com/file/d/1GxCb77GSB-bV8mzVkBMWcbsJy_CcDkla/view?usp=drivesdk" TargetMode="External"/><Relationship Id="rId692" Type="http://schemas.openxmlformats.org/officeDocument/2006/relationships/hyperlink" Target="https://drive.google.com/file/d/1AOq3_i6jevT58N2p3rhb4ClpsXoDxGwq/view?usp=drivesdk" TargetMode="External"/><Relationship Id="rId706" Type="http://schemas.openxmlformats.org/officeDocument/2006/relationships/hyperlink" Target="https://drive.google.com/file/d/1XLqS-qxRGn3ITe-SMnlvv2igpXOWpXck/view?usp=drivesdk" TargetMode="External"/><Relationship Id="rId42" Type="http://schemas.openxmlformats.org/officeDocument/2006/relationships/hyperlink" Target="https://drive.google.com/open?id=1IcjIiVs_nkbDbfGNy7mcGkVSrvHSPOKD" TargetMode="External"/><Relationship Id="rId138" Type="http://schemas.openxmlformats.org/officeDocument/2006/relationships/hyperlink" Target="https://drive.google.com/open?id=1AV8wU-YNe_yGftD8P5wsiJAyykQ5iRLO" TargetMode="External"/><Relationship Id="rId345" Type="http://schemas.openxmlformats.org/officeDocument/2006/relationships/hyperlink" Target="https://drive.google.com/file/d/1jJvT8cruurvC-WHiESdjXT18_HTQmgpJ/view?usp=drivesdk" TargetMode="External"/><Relationship Id="rId552" Type="http://schemas.openxmlformats.org/officeDocument/2006/relationships/hyperlink" Target="https://drive.google.com/open?id=1zSmJe3HzMDNLdQTVLtW72K7A2qNqW78n" TargetMode="External"/><Relationship Id="rId191" Type="http://schemas.openxmlformats.org/officeDocument/2006/relationships/hyperlink" Target="https://drive.google.com/open?id=1XmpuYd11stQ5C_wlAWa_xbpTyXXu7_-A" TargetMode="External"/><Relationship Id="rId205" Type="http://schemas.openxmlformats.org/officeDocument/2006/relationships/hyperlink" Target="https://drive.google.com/open?id=1kyerna70AHwNmG87Z_bisjfrWNMZVzeu" TargetMode="External"/><Relationship Id="rId412" Type="http://schemas.openxmlformats.org/officeDocument/2006/relationships/hyperlink" Target="https://drive.google.com/file/d/1-Ysgi2ciM2V0iON2jYxl4mvvjEtav6tH/view?usp=drivesdk" TargetMode="External"/><Relationship Id="rId289" Type="http://schemas.openxmlformats.org/officeDocument/2006/relationships/hyperlink" Target="https://drive.google.com/file/d/1QjkQlodkc7o0jtVv-c6J9bErTpri_rBI/view?usp=drivesdk" TargetMode="External"/><Relationship Id="rId496" Type="http://schemas.openxmlformats.org/officeDocument/2006/relationships/hyperlink" Target="https://drive.google.com/file/d/1cuudD7Q8u-nWyivQJxG15A6Fq1iUMnrg/view?usp=drivesdk" TargetMode="External"/><Relationship Id="rId717" Type="http://schemas.openxmlformats.org/officeDocument/2006/relationships/hyperlink" Target="https://drive.google.com/open?id=1LQ3SXlZFH3Kriut1xpptlTEswZCHq4A0" TargetMode="External"/><Relationship Id="rId53" Type="http://schemas.openxmlformats.org/officeDocument/2006/relationships/hyperlink" Target="https://drive.google.com/file/d/1eGvDWa6C7_9kH4RMz5ZL2s70r6jbMN40/view?usp=drivesdk" TargetMode="External"/><Relationship Id="rId149" Type="http://schemas.openxmlformats.org/officeDocument/2006/relationships/hyperlink" Target="https://drive.google.com/open?id=1zJxeD9iN9seXb_L27garPAey51BnnRwZ" TargetMode="External"/><Relationship Id="rId356" Type="http://schemas.openxmlformats.org/officeDocument/2006/relationships/hyperlink" Target="https://drive.google.com/file/d/1BqZ8JiJ-qyY9xIvcQnOlvHicDCZL-Iuu/view?usp=drivesdk" TargetMode="External"/><Relationship Id="rId563" Type="http://schemas.openxmlformats.org/officeDocument/2006/relationships/hyperlink" Target="https://drive.google.com/file/d/1YNXnwzv-lbrovlU5CdbLgWcbJXtB8TtD/view?usp=drivesdk" TargetMode="External"/><Relationship Id="rId770" Type="http://schemas.openxmlformats.org/officeDocument/2006/relationships/hyperlink" Target="https://drive.google.com/open?id=17R178bEH6_2S7-9jSMjX57QObAXF9FYp" TargetMode="External"/><Relationship Id="rId216" Type="http://schemas.openxmlformats.org/officeDocument/2006/relationships/hyperlink" Target="https://drive.google.com/open?id=1Sr8nUMFBiAw6xopvWbLeb_RZtjiFSJDs" TargetMode="External"/><Relationship Id="rId423" Type="http://schemas.openxmlformats.org/officeDocument/2006/relationships/hyperlink" Target="https://drive.google.com/open?id=1kRUWl1R8YywkvxG2zUpjy5_zEHsUUard" TargetMode="External"/><Relationship Id="rId630" Type="http://schemas.openxmlformats.org/officeDocument/2006/relationships/hyperlink" Target="https://drive.google.com/open?id=12yHrHAz5OSXb2f38MZIUG3hR-7iY8eQQ" TargetMode="External"/><Relationship Id="rId728" Type="http://schemas.openxmlformats.org/officeDocument/2006/relationships/hyperlink" Target="https://drive.google.com/file/d/1cOkk7ohpzAlDfo11IwqL871lsIpiXIjl/view?usp=drivesdk" TargetMode="External"/><Relationship Id="rId22" Type="http://schemas.openxmlformats.org/officeDocument/2006/relationships/hyperlink" Target="https://drive.google.com/open?id=1w25YpuRXIefDgcDRiGW1VWfusl3lFqcR" TargetMode="External"/><Relationship Id="rId64" Type="http://schemas.openxmlformats.org/officeDocument/2006/relationships/hyperlink" Target="https://drive.google.com/open?id=1aqjkZhGHrKUqN5F-HA9Sm6tyIra27jA1" TargetMode="External"/><Relationship Id="rId118" Type="http://schemas.openxmlformats.org/officeDocument/2006/relationships/hyperlink" Target="https://drive.google.com/file/d/1zVHCpf7hCF1zawQMUuDp2eiYApv0aJ89/view?usp=drivesdk" TargetMode="External"/><Relationship Id="rId325" Type="http://schemas.openxmlformats.org/officeDocument/2006/relationships/hyperlink" Target="https://drive.google.com/open?id=1vaWjclMaWugPDboHC8WMwhvGBiiK6SXT" TargetMode="External"/><Relationship Id="rId367" Type="http://schemas.openxmlformats.org/officeDocument/2006/relationships/hyperlink" Target="https://drive.google.com/open?id=1u1PzpWAcf0evR5ZaPxhQDNPtadNNkRKY" TargetMode="External"/><Relationship Id="rId532" Type="http://schemas.openxmlformats.org/officeDocument/2006/relationships/hyperlink" Target="https://drive.google.com/open?id=1nBuIzjY6i0mpTQ9uN-CcO6Yn7XRXVbQL" TargetMode="External"/><Relationship Id="rId574" Type="http://schemas.openxmlformats.org/officeDocument/2006/relationships/hyperlink" Target="https://drive.google.com/open?id=1UT88Nr9gAjurJoltSo9keEuHIaBBX0h4" TargetMode="External"/><Relationship Id="rId171" Type="http://schemas.openxmlformats.org/officeDocument/2006/relationships/hyperlink" Target="https://drive.google.com/file/d/1_tiW0fHkk5MlTbxPfg66umBokEwoZP3q/view?usp=drivesdk" TargetMode="External"/><Relationship Id="rId227" Type="http://schemas.openxmlformats.org/officeDocument/2006/relationships/hyperlink" Target="https://drive.google.com/file/d/1803pnVyC2fG5NVyMuxopVMX4w6k-rjma/view?usp=drivesdk" TargetMode="External"/><Relationship Id="rId781" Type="http://schemas.openxmlformats.org/officeDocument/2006/relationships/hyperlink" Target="https://drive.google.com/file/d/10UBkYNjMmMupiHd88Lp-ChWFWzQsvVEY/view?usp=drivesdk" TargetMode="External"/><Relationship Id="rId269" Type="http://schemas.openxmlformats.org/officeDocument/2006/relationships/hyperlink" Target="https://drive.google.com/open?id=16Jn1kZooIo5kByuYX73esDGZsK1V0sq5" TargetMode="External"/><Relationship Id="rId434" Type="http://schemas.openxmlformats.org/officeDocument/2006/relationships/hyperlink" Target="https://drive.google.com/open?id=1GE6IWI5lnSqGI4PhbSe1vx9D8syO0T-1" TargetMode="External"/><Relationship Id="rId476" Type="http://schemas.openxmlformats.org/officeDocument/2006/relationships/hyperlink" Target="https://drive.google.com/file/d/12TD2WANXJcvkAN0oAz_0LCbHPuN8G-J-/view?usp=drivesdk" TargetMode="External"/><Relationship Id="rId641" Type="http://schemas.openxmlformats.org/officeDocument/2006/relationships/hyperlink" Target="https://drive.google.com/file/d/1R08SfpJkGOeLP7gmXEZeMNvroyEkkhJU/view?usp=drivesdk" TargetMode="External"/><Relationship Id="rId683" Type="http://schemas.openxmlformats.org/officeDocument/2006/relationships/hyperlink" Target="https://drive.google.com/open?id=1WuLxVsmZxqmlO2r8yhCAaEYATodtYX6q" TargetMode="External"/><Relationship Id="rId739" Type="http://schemas.openxmlformats.org/officeDocument/2006/relationships/hyperlink" Target="https://drive.google.com/open?id=1tUfGXcLZa4jQWUzq1GWUpokTJAFkpHm5" TargetMode="External"/><Relationship Id="rId33" Type="http://schemas.openxmlformats.org/officeDocument/2006/relationships/hyperlink" Target="https://drive.google.com/file/d/1cbHWiV1ECKjSNILLkpgHmEvEytlXiwoI/view?usp=drivesdk" TargetMode="External"/><Relationship Id="rId129" Type="http://schemas.openxmlformats.org/officeDocument/2006/relationships/hyperlink" Target="https://drive.google.com/open?id=1xq6-KrEMMLVtaP7VGdOphzl6VRW8AS_w" TargetMode="External"/><Relationship Id="rId280" Type="http://schemas.openxmlformats.org/officeDocument/2006/relationships/hyperlink" Target="https://drive.google.com/file/d/1ECRWuo-DI3xAc4uC7Zbt1AtHDHMov4zZ/view?usp=drivesdk" TargetMode="External"/><Relationship Id="rId336" Type="http://schemas.openxmlformats.org/officeDocument/2006/relationships/hyperlink" Target="https://drive.google.com/file/d/1TgnmMnCqcAuU8I4rvK91KfVXLc0iM8_f/view?usp=drivesdk" TargetMode="External"/><Relationship Id="rId501" Type="http://schemas.openxmlformats.org/officeDocument/2006/relationships/hyperlink" Target="https://drive.google.com/file/d/1gWHPQbJElUPbLp8Xp60AnQOHZYE7Ppah/view?usp=drivesdk" TargetMode="External"/><Relationship Id="rId543" Type="http://schemas.openxmlformats.org/officeDocument/2006/relationships/hyperlink" Target="https://drive.google.com/file/d/1MTrrSPbvNcTlb4QvVgff6pI5TUFVL_O4/view?usp=drivesdk" TargetMode="External"/><Relationship Id="rId75" Type="http://schemas.openxmlformats.org/officeDocument/2006/relationships/hyperlink" Target="https://drive.google.com/open?id=1fTj32WcxxeyU5nhWY4a-9X_-EaZHo-pP" TargetMode="External"/><Relationship Id="rId140" Type="http://schemas.openxmlformats.org/officeDocument/2006/relationships/hyperlink" Target="https://drive.google.com/open?id=1p-87wUAweFz5djzE2NGcW9_WcQULwH6t" TargetMode="External"/><Relationship Id="rId182" Type="http://schemas.openxmlformats.org/officeDocument/2006/relationships/hyperlink" Target="https://drive.google.com/open?id=1NamK3-RoRoqoHltzOfEB5hpZlZSZiJmj" TargetMode="External"/><Relationship Id="rId378" Type="http://schemas.openxmlformats.org/officeDocument/2006/relationships/hyperlink" Target="https://drive.google.com/file/d/1Cqs9d0VyIDejE3rx80GKmIQo2hcFUyzw/view?usp=drivesdk" TargetMode="External"/><Relationship Id="rId403" Type="http://schemas.openxmlformats.org/officeDocument/2006/relationships/hyperlink" Target="https://drive.google.com/open?id=10dIxDPoiBWrpY6v7ZSlDxQNVKNg2SJNh" TargetMode="External"/><Relationship Id="rId585" Type="http://schemas.openxmlformats.org/officeDocument/2006/relationships/hyperlink" Target="https://drive.google.com/file/d/1XTWFNmmM96rsFIiQBAVX_Y1tOlOmh-ep/view?usp=drivesdk" TargetMode="External"/><Relationship Id="rId750" Type="http://schemas.openxmlformats.org/officeDocument/2006/relationships/hyperlink" Target="https://drive.google.com/file/d/1skeix2YqZrp9ZHzm80SIk29DTLzLvMbr/view?usp=drivesdk" TargetMode="External"/><Relationship Id="rId792" Type="http://schemas.openxmlformats.org/officeDocument/2006/relationships/hyperlink" Target="https://drive.google.com/open?id=1nn756TM-dmwy_vlAElZroHFSu_vzEI64" TargetMode="External"/><Relationship Id="rId6" Type="http://schemas.openxmlformats.org/officeDocument/2006/relationships/hyperlink" Target="https://drive.google.com/open?id=1f5SwUGtvDG6QgH4U3gKJlQTxwe1MwDIH" TargetMode="External"/><Relationship Id="rId238" Type="http://schemas.openxmlformats.org/officeDocument/2006/relationships/hyperlink" Target="https://drive.google.com/open?id=1u8XFJ_tgVD9qwbNyNI5em7YtaKUhjQh7" TargetMode="External"/><Relationship Id="rId445" Type="http://schemas.openxmlformats.org/officeDocument/2006/relationships/hyperlink" Target="https://drive.google.com/open?id=1gj9zs7do8UXzut3Ok8t7iB5u3qKntN9Z" TargetMode="External"/><Relationship Id="rId487" Type="http://schemas.openxmlformats.org/officeDocument/2006/relationships/hyperlink" Target="https://drive.google.com/file/d/1Rzf9rM9QUaNyHIpSFbwm4bmAAqU7Rsg1/view?usp=drivesdk" TargetMode="External"/><Relationship Id="rId610" Type="http://schemas.openxmlformats.org/officeDocument/2006/relationships/hyperlink" Target="https://drive.google.com/open?id=1k6CPck_egtgsFgyIKgKMHj0BsQbLRMNu" TargetMode="External"/><Relationship Id="rId652" Type="http://schemas.openxmlformats.org/officeDocument/2006/relationships/hyperlink" Target="https://drive.google.com/file/d/1sYmmRWmLoKzekkidkkFpdPIU1WGlGZEX/view?usp=drivesdk" TargetMode="External"/><Relationship Id="rId694" Type="http://schemas.openxmlformats.org/officeDocument/2006/relationships/hyperlink" Target="https://drive.google.com/file/d/1_G3dVgQT0XgbYp49Gl0xbP79ZTtsMyKu/view?usp=drivesdk" TargetMode="External"/><Relationship Id="rId708" Type="http://schemas.openxmlformats.org/officeDocument/2006/relationships/hyperlink" Target="https://drive.google.com/file/d/1IA62g2trTXkyTD5TEusZw6uADjcWIfS9/view?usp=drivesdk" TargetMode="External"/><Relationship Id="rId291" Type="http://schemas.openxmlformats.org/officeDocument/2006/relationships/hyperlink" Target="https://drive.google.com/file/d/19x_zQXrjnZk25fRkYSVANO2aeg34BHgU/view?usp=drivesdk" TargetMode="External"/><Relationship Id="rId305" Type="http://schemas.openxmlformats.org/officeDocument/2006/relationships/hyperlink" Target="https://drive.google.com/open?id=1HEx10enPo6frq_AJPHc6-IeeM418wL9I" TargetMode="External"/><Relationship Id="rId347" Type="http://schemas.openxmlformats.org/officeDocument/2006/relationships/hyperlink" Target="https://drive.google.com/open?id=1xvKEaV02CpJrgInKmAa00qjPdob5aDkF" TargetMode="External"/><Relationship Id="rId512" Type="http://schemas.openxmlformats.org/officeDocument/2006/relationships/hyperlink" Target="https://drive.google.com/open?id=1-zYzU9JyF_-gWgANjzrNY9HqlGtQNaQo" TargetMode="External"/><Relationship Id="rId44" Type="http://schemas.openxmlformats.org/officeDocument/2006/relationships/hyperlink" Target="https://drive.google.com/open?id=1kNPXsNr8cpoppYLSIGFQo63l2eJbOOpM" TargetMode="External"/><Relationship Id="rId86" Type="http://schemas.openxmlformats.org/officeDocument/2006/relationships/hyperlink" Target="https://drive.google.com/open?id=1EursjyoKVsOOdaX7_nmRhOD_sLJ_Xqpf" TargetMode="External"/><Relationship Id="rId151" Type="http://schemas.openxmlformats.org/officeDocument/2006/relationships/hyperlink" Target="https://drive.google.com/open?id=1JE8mIh0cGpD0DhKj4vpj6aARI95OqJPY" TargetMode="External"/><Relationship Id="rId389" Type="http://schemas.openxmlformats.org/officeDocument/2006/relationships/hyperlink" Target="https://drive.google.com/open?id=1bdUOW5ScMg8ioSXF0QowkLzkV1tZ4rnZ" TargetMode="External"/><Relationship Id="rId554" Type="http://schemas.openxmlformats.org/officeDocument/2006/relationships/hyperlink" Target="https://drive.google.com/open?id=1Z_7Ml9vUkfMkAtcyrmWpLOerH5FOjLx3" TargetMode="External"/><Relationship Id="rId596" Type="http://schemas.openxmlformats.org/officeDocument/2006/relationships/hyperlink" Target="https://drive.google.com/open?id=1GAroFSRp1Ii272XDhixMhAwsta8qjBNM" TargetMode="External"/><Relationship Id="rId761" Type="http://schemas.openxmlformats.org/officeDocument/2006/relationships/hyperlink" Target="https://drive.google.com/open?id=1pZwQocX9IoH3o6w2MyuDxY9YAms8XtTJ" TargetMode="External"/><Relationship Id="rId193" Type="http://schemas.openxmlformats.org/officeDocument/2006/relationships/hyperlink" Target="https://drive.google.com/open?id=1_NhMO69_Op17fTUS3dtet3fqctPIUw-k" TargetMode="External"/><Relationship Id="rId207" Type="http://schemas.openxmlformats.org/officeDocument/2006/relationships/hyperlink" Target="https://drive.google.com/open?id=1C6CP4pGdOgpC5NVs35jsftwgFDePmnAD" TargetMode="External"/><Relationship Id="rId249" Type="http://schemas.openxmlformats.org/officeDocument/2006/relationships/hyperlink" Target="https://drive.google.com/file/d/1jUDzXnQVdzPqo51YONdEqEDHg5y7BDkA/view?usp=drivesdk" TargetMode="External"/><Relationship Id="rId414" Type="http://schemas.openxmlformats.org/officeDocument/2006/relationships/hyperlink" Target="https://drive.google.com/file/d/1hmIWvG04QG_045nd-P6uCWXEgoVy1epk/view?usp=drivesdk" TargetMode="External"/><Relationship Id="rId456" Type="http://schemas.openxmlformats.org/officeDocument/2006/relationships/hyperlink" Target="https://drive.google.com/open?id=1fflhU_tgOyx1h1tVrNbv5Gj5Iy0wVPM_" TargetMode="External"/><Relationship Id="rId498" Type="http://schemas.openxmlformats.org/officeDocument/2006/relationships/hyperlink" Target="https://drive.google.com/open?id=1ZDCJ1HKa6b-hpN78HJ6vEX4a7mf69e6L" TargetMode="External"/><Relationship Id="rId621" Type="http://schemas.openxmlformats.org/officeDocument/2006/relationships/hyperlink" Target="https://drive.google.com/file/d/1nOKb34Iz4DiUQHhNLfti0Gs8KIp9mNEX/view?usp=drivesdk" TargetMode="External"/><Relationship Id="rId663" Type="http://schemas.openxmlformats.org/officeDocument/2006/relationships/hyperlink" Target="https://drive.google.com/open?id=1SDaqqz8FjmLECG_PwZoqNVbdvUH_ztDm" TargetMode="External"/><Relationship Id="rId13" Type="http://schemas.openxmlformats.org/officeDocument/2006/relationships/hyperlink" Target="https://drive.google.com/file/d/1sYSdtjmuBXfAU8eS9sDn2m_a-iJScwgf/view?usp=drivesdk" TargetMode="External"/><Relationship Id="rId109" Type="http://schemas.openxmlformats.org/officeDocument/2006/relationships/hyperlink" Target="https://drive.google.com/open?id=1cHoPZvGcYBL4SuoKcoGMiXDGZ-46Thgo" TargetMode="External"/><Relationship Id="rId260" Type="http://schemas.openxmlformats.org/officeDocument/2006/relationships/hyperlink" Target="https://drive.google.com/open?id=1lgLhF1xR0UF8WCyY91C4lmIvYwz_QRP4" TargetMode="External"/><Relationship Id="rId316" Type="http://schemas.openxmlformats.org/officeDocument/2006/relationships/hyperlink" Target="https://drive.google.com/file/d/1GgZ2ljhoUNlCk_pbYLpfXAPhQiBNha1C/view?usp=drivesdk" TargetMode="External"/><Relationship Id="rId523" Type="http://schemas.openxmlformats.org/officeDocument/2006/relationships/hyperlink" Target="https://drive.google.com/file/d/1U7AIDoL7H6pSACJMZrUPOaiLyHAkIctC/view?usp=drivesdk" TargetMode="External"/><Relationship Id="rId719" Type="http://schemas.openxmlformats.org/officeDocument/2006/relationships/hyperlink" Target="https://drive.google.com/open?id=1YWO7rWiFVnhn0tRv8W3X-a00y4gtsNI4" TargetMode="External"/><Relationship Id="rId55" Type="http://schemas.openxmlformats.org/officeDocument/2006/relationships/hyperlink" Target="https://drive.google.com/file/d/1wL6LkDyYPpv7TkkhIgM9FGUcQgJmMuul/view?usp=drivesdk" TargetMode="External"/><Relationship Id="rId97" Type="http://schemas.openxmlformats.org/officeDocument/2006/relationships/hyperlink" Target="https://drive.google.com/open?id=14E5FgdJRCNN0IW5-JZpQBrIEikxE3YJ1" TargetMode="External"/><Relationship Id="rId120" Type="http://schemas.openxmlformats.org/officeDocument/2006/relationships/hyperlink" Target="https://drive.google.com/file/d/1dDIoKvzN_f43pjEfi6KxLn0omD4PRiLe/view?usp=drivesdk" TargetMode="External"/><Relationship Id="rId358" Type="http://schemas.openxmlformats.org/officeDocument/2006/relationships/hyperlink" Target="https://drive.google.com/open?id=1hSmvXMsLfh92U9xMwaXm002KnN854ZSi" TargetMode="External"/><Relationship Id="rId565" Type="http://schemas.openxmlformats.org/officeDocument/2006/relationships/hyperlink" Target="https://drive.google.com/file/d/1nHkLhvl7oSQRM1yT0-doOsY_L-Z9DupR/view?usp=drivesdk" TargetMode="External"/><Relationship Id="rId730" Type="http://schemas.openxmlformats.org/officeDocument/2006/relationships/hyperlink" Target="https://drive.google.com/file/d/1pyxPcMEsmkmC-PWY3tuoRbAT_zDFXA29/view?usp=drivesdk" TargetMode="External"/><Relationship Id="rId772" Type="http://schemas.openxmlformats.org/officeDocument/2006/relationships/hyperlink" Target="https://drive.google.com/open?id=1wL3CWr0Gn9cLKlyE0U8bGtu8WY7vXviv" TargetMode="External"/><Relationship Id="rId162" Type="http://schemas.openxmlformats.org/officeDocument/2006/relationships/hyperlink" Target="https://drive.google.com/file/d/1i3dolt8FHQwFzMWIJsHijpnr_Ys1ZxfI/view?usp=drivesdk" TargetMode="External"/><Relationship Id="rId218" Type="http://schemas.openxmlformats.org/officeDocument/2006/relationships/hyperlink" Target="https://drive.google.com/open?id=1TEK3hrYk_wIEGw34OFhGY_Y2hzllf80q" TargetMode="External"/><Relationship Id="rId425" Type="http://schemas.openxmlformats.org/officeDocument/2006/relationships/hyperlink" Target="https://drive.google.com/open?id=1ztR_lC3vsPK0_7QgtvlbYis6cEjN7R0K" TargetMode="External"/><Relationship Id="rId467" Type="http://schemas.openxmlformats.org/officeDocument/2006/relationships/hyperlink" Target="https://drive.google.com/file/d/1bHFJ0sVNlBLeOX1JdVQGKEhssATJ-ZVz/view?usp=drivesdk" TargetMode="External"/><Relationship Id="rId632" Type="http://schemas.openxmlformats.org/officeDocument/2006/relationships/hyperlink" Target="https://drive.google.com/open?id=18k_P7IhYuPq8plhp9TXs38WGbeDxELxT" TargetMode="External"/><Relationship Id="rId271" Type="http://schemas.openxmlformats.org/officeDocument/2006/relationships/hyperlink" Target="https://drive.google.com/file/d/1lHH5pn-w98WjEzDrWY0ZU5cP3yBiJ3L5/view?usp=drivesdk" TargetMode="External"/><Relationship Id="rId674" Type="http://schemas.openxmlformats.org/officeDocument/2006/relationships/hyperlink" Target="https://drive.google.com/file/d/1YoqmdvxOtMZ9NyoU5S-fmJHZiIabmgTM/view?usp=drivesdk" TargetMode="External"/><Relationship Id="rId24" Type="http://schemas.openxmlformats.org/officeDocument/2006/relationships/hyperlink" Target="https://drive.google.com/open?id=1jOANmbzmyYjUM6tdjRiWi4fMqMz5vD3g" TargetMode="External"/><Relationship Id="rId66" Type="http://schemas.openxmlformats.org/officeDocument/2006/relationships/hyperlink" Target="https://drive.google.com/open?id=1e2rBLAZACsO2SMhgH2S8GJi_c6fm7A4Q" TargetMode="External"/><Relationship Id="rId131" Type="http://schemas.openxmlformats.org/officeDocument/2006/relationships/hyperlink" Target="https://drive.google.com/file/d/1g-3eOYAH1AGZPHfctQq0PPRTmCge4lsA/view?usp=drivesdk" TargetMode="External"/><Relationship Id="rId327" Type="http://schemas.openxmlformats.org/officeDocument/2006/relationships/hyperlink" Target="https://drive.google.com/open?id=19NZ1rz8cBzk5zPi05Nh1yyix6FImK0cf" TargetMode="External"/><Relationship Id="rId369" Type="http://schemas.openxmlformats.org/officeDocument/2006/relationships/hyperlink" Target="https://drive.google.com/open?id=1hMZVAv_c1Z7CIDsbM9WJ9xLLxUlwGGMP" TargetMode="External"/><Relationship Id="rId534" Type="http://schemas.openxmlformats.org/officeDocument/2006/relationships/hyperlink" Target="https://drive.google.com/open?id=1yefzqLQFpzpNv6RhFf9fm5kZStIAO1S4" TargetMode="External"/><Relationship Id="rId576" Type="http://schemas.openxmlformats.org/officeDocument/2006/relationships/hyperlink" Target="https://drive.google.com/open?id=1HEJjEvUb5co52PwsVGxVETT4gaPn9W9Q" TargetMode="External"/><Relationship Id="rId741" Type="http://schemas.openxmlformats.org/officeDocument/2006/relationships/hyperlink" Target="https://drive.google.com/open?id=1iURd4lcjNBGmgI-l0WHVizzNBPupjdyW" TargetMode="External"/><Relationship Id="rId783" Type="http://schemas.openxmlformats.org/officeDocument/2006/relationships/hyperlink" Target="https://drive.google.com/file/d/1BIY-42IHaoybpCnvyDTXx9ffobySPEKH/view?usp=drivesdk" TargetMode="External"/><Relationship Id="rId173" Type="http://schemas.openxmlformats.org/officeDocument/2006/relationships/hyperlink" Target="https://drive.google.com/file/d/17rWNyB45wcf_W7ybeJ8LJQCFPQT12Xrb/view?usp=drivesdk" TargetMode="External"/><Relationship Id="rId229" Type="http://schemas.openxmlformats.org/officeDocument/2006/relationships/hyperlink" Target="https://drive.google.com/file/d/1Xs8WeFsejVz2hJMNOmso4j5cfZkrUIX1/view?usp=drivesdk" TargetMode="External"/><Relationship Id="rId380" Type="http://schemas.openxmlformats.org/officeDocument/2006/relationships/hyperlink" Target="https://drive.google.com/file/d/1UNhIEiT-uz8NCkWTMcsDQwPg7laDRRoi/view?usp=drivesdk" TargetMode="External"/><Relationship Id="rId436" Type="http://schemas.openxmlformats.org/officeDocument/2006/relationships/hyperlink" Target="https://drive.google.com/open?id=1j1K8zCbMjJ21h0FYgZZzW28mVEBwtP4c" TargetMode="External"/><Relationship Id="rId601" Type="http://schemas.openxmlformats.org/officeDocument/2006/relationships/hyperlink" Target="https://drive.google.com/file/d/1bqcc5Knn1OuY6J0bCg1_KxzRsl0o3d57/view?usp=drivesdk" TargetMode="External"/><Relationship Id="rId643" Type="http://schemas.openxmlformats.org/officeDocument/2006/relationships/hyperlink" Target="https://drive.google.com/open?id=1tFoJpj6pK6hU2W-sxDNKY36wp7NxdJqZ" TargetMode="External"/><Relationship Id="rId240" Type="http://schemas.openxmlformats.org/officeDocument/2006/relationships/hyperlink" Target="https://drive.google.com/open?id=1T8zere1wiyP9t9N8zj2PMGiLGAp3hbap" TargetMode="External"/><Relationship Id="rId478" Type="http://schemas.openxmlformats.org/officeDocument/2006/relationships/hyperlink" Target="https://drive.google.com/file/d/1IWKb9q6lkwA56Ekr6y93wqwMdFEVq1L2/view?usp=drivesdk" TargetMode="External"/><Relationship Id="rId685" Type="http://schemas.openxmlformats.org/officeDocument/2006/relationships/hyperlink" Target="https://drive.google.com/open?id=1YZ9e9PPnxhhRTdxq8SbsoqfdkKubDF4l" TargetMode="External"/><Relationship Id="rId35" Type="http://schemas.openxmlformats.org/officeDocument/2006/relationships/hyperlink" Target="https://drive.google.com/file/d/1JqkXfnzZ951QZZHAdPiUfB2ZNo53xQDz/view?usp=drivesdk" TargetMode="External"/><Relationship Id="rId77" Type="http://schemas.openxmlformats.org/officeDocument/2006/relationships/hyperlink" Target="https://drive.google.com/open?id=1sdEp7nkHPIHNea7-o8dNU9j0J6t_RvVp" TargetMode="External"/><Relationship Id="rId100" Type="http://schemas.openxmlformats.org/officeDocument/2006/relationships/hyperlink" Target="https://drive.google.com/file/d/1d2D3VZ5cR9VXYEmbLc3AhLPyv0yomnPB/view?usp=drivesdk" TargetMode="External"/><Relationship Id="rId282" Type="http://schemas.openxmlformats.org/officeDocument/2006/relationships/hyperlink" Target="https://drive.google.com/file/d/1G_nSBvixchnnd6DOC4WOFzOORDoiejNV/view?usp=drivesdk" TargetMode="External"/><Relationship Id="rId338" Type="http://schemas.openxmlformats.org/officeDocument/2006/relationships/hyperlink" Target="https://drive.google.com/open?id=13qnGaVPoUt2U5qU_cuxssBrfE4M4CJ9M" TargetMode="External"/><Relationship Id="rId503" Type="http://schemas.openxmlformats.org/officeDocument/2006/relationships/hyperlink" Target="https://drive.google.com/open?id=1BO4s6AEONzKHFq05x2dlUTBJsVCuwyxf" TargetMode="External"/><Relationship Id="rId545" Type="http://schemas.openxmlformats.org/officeDocument/2006/relationships/hyperlink" Target="https://drive.google.com/file/d/1Rql8Lz6Ia3H8q4_Tp0itA4WllkQTyny_/view?usp=drivesdk" TargetMode="External"/><Relationship Id="rId587" Type="http://schemas.openxmlformats.org/officeDocument/2006/relationships/hyperlink" Target="https://drive.google.com/file/d/1_6Ad1oFUwT8tZ9vp29k-RjmYu38dBjeB/view?usp=drivesdk" TargetMode="External"/><Relationship Id="rId710" Type="http://schemas.openxmlformats.org/officeDocument/2006/relationships/hyperlink" Target="https://drive.google.com/file/d/1fMvsu3v0peBMxDkyzu509DS69ZbMNC18/view?usp=drivesdk" TargetMode="External"/><Relationship Id="rId752" Type="http://schemas.openxmlformats.org/officeDocument/2006/relationships/hyperlink" Target="https://drive.google.com/file/d/1eBdFMC2B2BHDwOR-228jvhmpsygi-EOk/view?usp=drivesdk" TargetMode="External"/><Relationship Id="rId8" Type="http://schemas.openxmlformats.org/officeDocument/2006/relationships/hyperlink" Target="https://drive.google.com/open?id=1x0WjMDp1vEONPYIFlWgEEhmV92TyO6i0" TargetMode="External"/><Relationship Id="rId142" Type="http://schemas.openxmlformats.org/officeDocument/2006/relationships/hyperlink" Target="https://drive.google.com/open?id=1fjnLwl7zpSjF3dSoFHhtmPVmJLK07gAh" TargetMode="External"/><Relationship Id="rId184" Type="http://schemas.openxmlformats.org/officeDocument/2006/relationships/hyperlink" Target="https://drive.google.com/open?id=1MlnSIhIqnoxxdlSDZ-VDqpTu8S2Kjliw" TargetMode="External"/><Relationship Id="rId391" Type="http://schemas.openxmlformats.org/officeDocument/2006/relationships/hyperlink" Target="https://drive.google.com/open?id=1B3-6WtPzNYojRDyXxUferphqoMfWDvWJ" TargetMode="External"/><Relationship Id="rId405" Type="http://schemas.openxmlformats.org/officeDocument/2006/relationships/hyperlink" Target="https://drive.google.com/open?id=148l4GZJT0CpuZgYJijkSFp3y-ljoEFzl" TargetMode="External"/><Relationship Id="rId447" Type="http://schemas.openxmlformats.org/officeDocument/2006/relationships/hyperlink" Target="https://drive.google.com/file/d/12vPXXXnFyO3EwG_kkMOyhTkMBRaYU01R/view?usp=drivesdk" TargetMode="External"/><Relationship Id="rId612" Type="http://schemas.openxmlformats.org/officeDocument/2006/relationships/hyperlink" Target="https://drive.google.com/open?id=1yYTRdIV125RZJY4BplagxgL82RBMdfzW" TargetMode="External"/><Relationship Id="rId794" Type="http://schemas.openxmlformats.org/officeDocument/2006/relationships/hyperlink" Target="https://drive.google.com/open?id=1F8MIBE1jWqJ_Ber50MYdKCiiWSUHzjgF" TargetMode="External"/><Relationship Id="rId251" Type="http://schemas.openxmlformats.org/officeDocument/2006/relationships/hyperlink" Target="https://drive.google.com/file/d/1NGNBthihSUaJ2LFhlNPTO12fbtapFURO/view?usp=drivesdk" TargetMode="External"/><Relationship Id="rId489" Type="http://schemas.openxmlformats.org/officeDocument/2006/relationships/hyperlink" Target="https://drive.google.com/file/d/15jOFQibLrzBZO_HbjvRgJKsByIVun8ze/view?usp=drivesdk" TargetMode="External"/><Relationship Id="rId654" Type="http://schemas.openxmlformats.org/officeDocument/2006/relationships/hyperlink" Target="https://drive.google.com/file/d/1dUDJLQ1cEuydrQdfhoDzfWPB5b1vpKIh/view?usp=drivesdk" TargetMode="External"/><Relationship Id="rId696" Type="http://schemas.openxmlformats.org/officeDocument/2006/relationships/hyperlink" Target="https://drive.google.com/file/d/1AcKw0cfTPcdoM7EUz1iQ66_5IThYDzCv/view?usp=drivesdk" TargetMode="External"/><Relationship Id="rId46" Type="http://schemas.openxmlformats.org/officeDocument/2006/relationships/hyperlink" Target="https://drive.google.com/open?id=1buT_gA_8WnR057QnjJcKJGpcqOXcrxpZ" TargetMode="External"/><Relationship Id="rId293" Type="http://schemas.openxmlformats.org/officeDocument/2006/relationships/hyperlink" Target="https://drive.google.com/file/d/12jDAlKQfneu84j0KCyopA_4FsYaK2PcN/view?usp=drivesdk" TargetMode="External"/><Relationship Id="rId307" Type="http://schemas.openxmlformats.org/officeDocument/2006/relationships/hyperlink" Target="https://drive.google.com/open?id=1W7_6GMiU0BgfIp9jZXWDFB6P5RZkfhWl" TargetMode="External"/><Relationship Id="rId349" Type="http://schemas.openxmlformats.org/officeDocument/2006/relationships/hyperlink" Target="https://drive.google.com/open?id=1b6U5P3xkP9RJEtKRfOPxqeUDNchC2oTK" TargetMode="External"/><Relationship Id="rId514" Type="http://schemas.openxmlformats.org/officeDocument/2006/relationships/hyperlink" Target="https://drive.google.com/open?id=1dp725lqG2HD5XNfFAGLdJRf4M6zDAb1L" TargetMode="External"/><Relationship Id="rId556" Type="http://schemas.openxmlformats.org/officeDocument/2006/relationships/hyperlink" Target="https://drive.google.com/open?id=1G7LLiMpgialJ4vzWFcAIUnxUcDR3JcAy" TargetMode="External"/><Relationship Id="rId721" Type="http://schemas.openxmlformats.org/officeDocument/2006/relationships/hyperlink" Target="https://drive.google.com/open?id=1Us9NmwNeMDot6NKD1jcBov-79KpCK0LS" TargetMode="External"/><Relationship Id="rId763" Type="http://schemas.openxmlformats.org/officeDocument/2006/relationships/hyperlink" Target="https://drive.google.com/file/d/1m-O6-5kcKBDoqwsDf8IQX6qmFfCUozhC/view?usp=drivesdk" TargetMode="External"/><Relationship Id="rId88" Type="http://schemas.openxmlformats.org/officeDocument/2006/relationships/hyperlink" Target="https://drive.google.com/open?id=1lXJ91qEoINauEsJBwCjp9JHhk5opuCoa" TargetMode="External"/><Relationship Id="rId111" Type="http://schemas.openxmlformats.org/officeDocument/2006/relationships/hyperlink" Target="https://drive.google.com/open?id=1AlDt9UVWXT0HsGIrAGBrLDKIExqgKZX0" TargetMode="External"/><Relationship Id="rId153" Type="http://schemas.openxmlformats.org/officeDocument/2006/relationships/hyperlink" Target="https://drive.google.com/open?id=1-aglZ5zUK6B09y6R7-hE-K_k8DG9BqS5" TargetMode="External"/><Relationship Id="rId195" Type="http://schemas.openxmlformats.org/officeDocument/2006/relationships/hyperlink" Target="https://drive.google.com/open?id=11FypsBoZ20PagvxHBS7rWPoyQ1Xdbsja" TargetMode="External"/><Relationship Id="rId209" Type="http://schemas.openxmlformats.org/officeDocument/2006/relationships/hyperlink" Target="https://drive.google.com/file/d/1T4HhspTzQg2byJsP1XqKiH9eTZ4lh2gs/view?usp=drivesdk" TargetMode="External"/><Relationship Id="rId360" Type="http://schemas.openxmlformats.org/officeDocument/2006/relationships/hyperlink" Target="https://drive.google.com/file/d/1KVJXyVB8D5Q5YINHbL92hcDbcZCItrwL/view?usp=drivesdk" TargetMode="External"/><Relationship Id="rId416" Type="http://schemas.openxmlformats.org/officeDocument/2006/relationships/hyperlink" Target="https://drive.google.com/open?id=1evWGcubq1mcotQC4YSPGYIhrhmSCV5rT" TargetMode="External"/><Relationship Id="rId598" Type="http://schemas.openxmlformats.org/officeDocument/2006/relationships/hyperlink" Target="https://drive.google.com/open?id=1eKQb--k7XUYz34bRM6aSan9SC7CiJnhu" TargetMode="External"/><Relationship Id="rId220" Type="http://schemas.openxmlformats.org/officeDocument/2006/relationships/hyperlink" Target="https://drive.google.com/open?id=1J4oLPFyDpTSEcOGncacZfpBlUfcTO5Dg" TargetMode="External"/><Relationship Id="rId458" Type="http://schemas.openxmlformats.org/officeDocument/2006/relationships/hyperlink" Target="https://drive.google.com/open?id=1764U-OIxKv5F1ynKHXbbcns1LlREkFMf" TargetMode="External"/><Relationship Id="rId623" Type="http://schemas.openxmlformats.org/officeDocument/2006/relationships/hyperlink" Target="https://drive.google.com/file/d/1wxDXPwXZMSIj-AdZZJGQz6_Dy66eeSpp/view?usp=drivesdk" TargetMode="External"/><Relationship Id="rId665" Type="http://schemas.openxmlformats.org/officeDocument/2006/relationships/hyperlink" Target="https://drive.google.com/open?id=1v3uFzgCsuNhOmq-aFsJ1259Jm-89zvTg" TargetMode="External"/><Relationship Id="rId15" Type="http://schemas.openxmlformats.org/officeDocument/2006/relationships/hyperlink" Target="https://drive.google.com/file/d/1lud1iW1ZfaSG2vQU33r5nidI79TTuo11/view?usp=drivesdk" TargetMode="External"/><Relationship Id="rId57" Type="http://schemas.openxmlformats.org/officeDocument/2006/relationships/hyperlink" Target="https://drive.google.com/file/d/1rtNIUlhFUOTgp0t5NPNnKGM2NBJuQB-U/view?usp=drivesdk" TargetMode="External"/><Relationship Id="rId262" Type="http://schemas.openxmlformats.org/officeDocument/2006/relationships/hyperlink" Target="https://drive.google.com/file/d/1CeAhQTfNQmjC5b0R_sjETkUtmwTiTUW_/view?usp=drivesdk" TargetMode="External"/><Relationship Id="rId318" Type="http://schemas.openxmlformats.org/officeDocument/2006/relationships/hyperlink" Target="https://drive.google.com/file/d/1Nn47CebmMF0tgw1vm3pD4OcXf01s5Gpf/view?usp=drivesdk" TargetMode="External"/><Relationship Id="rId525" Type="http://schemas.openxmlformats.org/officeDocument/2006/relationships/hyperlink" Target="https://drive.google.com/open?id=1gw7KsSsUdWtryaIcqlg2R-PuYHK_G9Mk" TargetMode="External"/><Relationship Id="rId567" Type="http://schemas.openxmlformats.org/officeDocument/2006/relationships/hyperlink" Target="https://drive.google.com/file/d/1oQ5RmXLrko0XgwzBO5xhtv1APECGmQRI/view?usp=drivesdk" TargetMode="External"/><Relationship Id="rId732" Type="http://schemas.openxmlformats.org/officeDocument/2006/relationships/hyperlink" Target="https://drive.google.com/file/d/1lIn5O6aDebTB0wydzoTIBob6OQKwOw1R/view?usp=drivesdk" TargetMode="External"/><Relationship Id="rId99" Type="http://schemas.openxmlformats.org/officeDocument/2006/relationships/hyperlink" Target="https://drive.google.com/open?id=1lIcEYP_y7vtj35IiBeu0Avjean_3jfWO" TargetMode="External"/><Relationship Id="rId122" Type="http://schemas.openxmlformats.org/officeDocument/2006/relationships/hyperlink" Target="https://drive.google.com/file/d/12IHTULbYcsC76cWMsEuoO6MQjLvxIcN3/view?usp=drivesdk" TargetMode="External"/><Relationship Id="rId164" Type="http://schemas.openxmlformats.org/officeDocument/2006/relationships/hyperlink" Target="https://drive.google.com/file/d/1ZSXqU6vxNag-BNj3AAUQtn7mzKYPQ0Ny/view?usp=drivesdk" TargetMode="External"/><Relationship Id="rId371" Type="http://schemas.openxmlformats.org/officeDocument/2006/relationships/hyperlink" Target="https://drive.google.com/file/d/1d_izbss7J62Lx0JFNQKxHfegmUQa2cyD/view?usp=drivesdk" TargetMode="External"/><Relationship Id="rId774" Type="http://schemas.openxmlformats.org/officeDocument/2006/relationships/hyperlink" Target="https://drive.google.com/open?id=1vx1SZia4zdlYgIbXOiIyE6NYSe4wniNU" TargetMode="External"/><Relationship Id="rId427" Type="http://schemas.openxmlformats.org/officeDocument/2006/relationships/hyperlink" Target="https://drive.google.com/open?id=1zsmkmA1GltvtKLHGK-zfi-hyTpjX8WYB" TargetMode="External"/><Relationship Id="rId469" Type="http://schemas.openxmlformats.org/officeDocument/2006/relationships/hyperlink" Target="https://drive.google.com/open?id=1kuLGYXpfP3yoIdCxrwnFe8SoMAlebxCY" TargetMode="External"/><Relationship Id="rId634" Type="http://schemas.openxmlformats.org/officeDocument/2006/relationships/hyperlink" Target="https://drive.google.com/open?id=1sVPaoIzv_WwImY1oN05cJ9EDB_iv6lY1" TargetMode="External"/><Relationship Id="rId676" Type="http://schemas.openxmlformats.org/officeDocument/2006/relationships/hyperlink" Target="https://drive.google.com/file/d/1zeMhn21c6RbK8zH6gLhq3gpwe8B2omjT/view?usp=drivesdk" TargetMode="External"/><Relationship Id="rId26" Type="http://schemas.openxmlformats.org/officeDocument/2006/relationships/hyperlink" Target="https://drive.google.com/open?id=1pRMvhhPakWHk3JmmvYk6b40bAoByDjzA" TargetMode="External"/><Relationship Id="rId231" Type="http://schemas.openxmlformats.org/officeDocument/2006/relationships/hyperlink" Target="https://drive.google.com/file/d/1SCdMn_UGSX4bZHv_rM83h98gKpygeIyM/view?usp=drivesdk" TargetMode="External"/><Relationship Id="rId273" Type="http://schemas.openxmlformats.org/officeDocument/2006/relationships/hyperlink" Target="https://drive.google.com/file/d/1jfODzgWBhHvqfquvBWdBTT9WcQQxkOWk/view?usp=drivesdk" TargetMode="External"/><Relationship Id="rId329" Type="http://schemas.openxmlformats.org/officeDocument/2006/relationships/hyperlink" Target="https://drive.google.com/open?id=1gWIVFU1YCDJ53Al-OwhEhKoInuFD3ho-" TargetMode="External"/><Relationship Id="rId480" Type="http://schemas.openxmlformats.org/officeDocument/2006/relationships/hyperlink" Target="https://drive.google.com/file/d/1SO034f_EeKP9bn5uXvNll6vZMp7hVZQm/view?usp=drivesdk" TargetMode="External"/><Relationship Id="rId536" Type="http://schemas.openxmlformats.org/officeDocument/2006/relationships/hyperlink" Target="https://drive.google.com/open?id=1sdVoBqMnL7bN-8VFdYKP26hZE78NbrU9" TargetMode="External"/><Relationship Id="rId701" Type="http://schemas.openxmlformats.org/officeDocument/2006/relationships/hyperlink" Target="https://drive.google.com/file/d/1tpeDR6XoTipGNbYDWG5zw2tAiRzaV4lB/view?usp=drivesdk" TargetMode="External"/><Relationship Id="rId68" Type="http://schemas.openxmlformats.org/officeDocument/2006/relationships/hyperlink" Target="https://drive.google.com/open?id=1yq_ugUBH4_QnKVI9Uqy8Cu1pbDe06m1o" TargetMode="External"/><Relationship Id="rId133" Type="http://schemas.openxmlformats.org/officeDocument/2006/relationships/hyperlink" Target="https://drive.google.com/open?id=14pqDV13WIuvBrYa7A0CbccGzFQL2Mp1R" TargetMode="External"/><Relationship Id="rId175" Type="http://schemas.openxmlformats.org/officeDocument/2006/relationships/hyperlink" Target="https://drive.google.com/open?id=1BYanQ6byneB71NGnFyyfhABnxalIDwiS" TargetMode="External"/><Relationship Id="rId340" Type="http://schemas.openxmlformats.org/officeDocument/2006/relationships/hyperlink" Target="https://drive.google.com/open?id=1jIOLT4sNZf7Dz6KVhnsV-UfBNjQk7XkL" TargetMode="External"/><Relationship Id="rId578" Type="http://schemas.openxmlformats.org/officeDocument/2006/relationships/hyperlink" Target="https://drive.google.com/file/d/1TxIx5NFyqScidj3aPDqKubVhsKMaeREP/view?usp=drivesdk" TargetMode="External"/><Relationship Id="rId743" Type="http://schemas.openxmlformats.org/officeDocument/2006/relationships/hyperlink" Target="https://drive.google.com/open?id=1OSwr--wZbaOeJ4mFlei6nEBW6QBxfB4d" TargetMode="External"/><Relationship Id="rId785" Type="http://schemas.openxmlformats.org/officeDocument/2006/relationships/hyperlink" Target="https://drive.google.com/file/d/1IGvhQBwoOJ68Foh7GTkPKEJaSji_J8Bc/view?usp=drivesdk" TargetMode="External"/><Relationship Id="rId200" Type="http://schemas.openxmlformats.org/officeDocument/2006/relationships/hyperlink" Target="https://drive.google.com/file/d/12caEkVjYU8s6bOYfREMOk5MnAGkqKkjK/view?usp=drivesdk" TargetMode="External"/><Relationship Id="rId382" Type="http://schemas.openxmlformats.org/officeDocument/2006/relationships/hyperlink" Target="https://drive.google.com/file/d/1xO66ppLwnTcM9zl24b8t3b8YWhXDmHMM/view?usp=drivesdk" TargetMode="External"/><Relationship Id="rId438" Type="http://schemas.openxmlformats.org/officeDocument/2006/relationships/hyperlink" Target="https://drive.google.com/open?id=18Vk3aDpt3h0-9itKl1-HO2GA7Ni7f4nO" TargetMode="External"/><Relationship Id="rId603" Type="http://schemas.openxmlformats.org/officeDocument/2006/relationships/hyperlink" Target="https://drive.google.com/file/d/1KFP3bc9t-_dbVHAb5ujfjihEVKbC0CAC/view?usp=drivesdk" TargetMode="External"/><Relationship Id="rId645" Type="http://schemas.openxmlformats.org/officeDocument/2006/relationships/hyperlink" Target="https://drive.google.com/open?id=1Jx620ujq3Ugn4RFLzGQiEeOhi_82ckrx" TargetMode="External"/><Relationship Id="rId687" Type="http://schemas.openxmlformats.org/officeDocument/2006/relationships/hyperlink" Target="https://drive.google.com/open?id=1CckfZso7-BJicw2OcIQLahyCc-77vABh" TargetMode="External"/><Relationship Id="rId242" Type="http://schemas.openxmlformats.org/officeDocument/2006/relationships/hyperlink" Target="https://drive.google.com/open?id=1mO5EK9-skUEQrBOhYJw0jBGKgiB_306I" TargetMode="External"/><Relationship Id="rId284" Type="http://schemas.openxmlformats.org/officeDocument/2006/relationships/hyperlink" Target="https://drive.google.com/open?id=1uZQ6ntngk9SPDYe9TxTh_ij7lLABP9UZ" TargetMode="External"/><Relationship Id="rId491" Type="http://schemas.openxmlformats.org/officeDocument/2006/relationships/hyperlink" Target="https://drive.google.com/open?id=178RWWghzlb0FnZDGKxNz9Tap6MIp9HdJ" TargetMode="External"/><Relationship Id="rId505" Type="http://schemas.openxmlformats.org/officeDocument/2006/relationships/hyperlink" Target="https://drive.google.com/open?id=1Owhoin3K3DnyrBCOLiwuxWDHRivygNUz" TargetMode="External"/><Relationship Id="rId712" Type="http://schemas.openxmlformats.org/officeDocument/2006/relationships/hyperlink" Target="https://drive.google.com/file/d/1nGhJibZ-gDxZZkwNLq-B2JGvVBWvOPR9/view?usp=drivesdk" TargetMode="External"/><Relationship Id="rId37" Type="http://schemas.openxmlformats.org/officeDocument/2006/relationships/hyperlink" Target="https://drive.google.com/file/d/1eyISSuHTIJsKbD3-okOjioatG6FRhuKy/view?usp=drivesdk" TargetMode="External"/><Relationship Id="rId79" Type="http://schemas.openxmlformats.org/officeDocument/2006/relationships/hyperlink" Target="https://drive.google.com/open?id=1J6hgh25lrq6QxILNjyQ0YHMzEyONzlLz" TargetMode="External"/><Relationship Id="rId102" Type="http://schemas.openxmlformats.org/officeDocument/2006/relationships/hyperlink" Target="https://drive.google.com/file/d/15bukjPSIKhtn074THOHOpcBmOU0pC7KY/view?usp=drivesdk" TargetMode="External"/><Relationship Id="rId144" Type="http://schemas.openxmlformats.org/officeDocument/2006/relationships/hyperlink" Target="https://drive.google.com/open?id=1FiF3M-8WVtIfL6AGStRP7BZ-LKca63R1" TargetMode="External"/><Relationship Id="rId547" Type="http://schemas.openxmlformats.org/officeDocument/2006/relationships/hyperlink" Target="https://drive.google.com/file/d/1647wQGDca6NEML6rlhZts6xWFI4LbKTf/view?usp=drivesdk" TargetMode="External"/><Relationship Id="rId589" Type="http://schemas.openxmlformats.org/officeDocument/2006/relationships/hyperlink" Target="https://drive.google.com/file/d/12TsS8-bZxuHCH8rxLDcZHSSgTzoDvYdr/view?usp=drivesdk" TargetMode="External"/><Relationship Id="rId754" Type="http://schemas.openxmlformats.org/officeDocument/2006/relationships/hyperlink" Target="https://drive.google.com/file/d/1wKRtS2BsZSAy0DiElzNhbOMf4BpguDUz/view?usp=drivesdk" TargetMode="External"/><Relationship Id="rId796" Type="http://schemas.openxmlformats.org/officeDocument/2006/relationships/printerSettings" Target="../printerSettings/printerSettings4.bin"/><Relationship Id="rId90" Type="http://schemas.openxmlformats.org/officeDocument/2006/relationships/hyperlink" Target="https://drive.google.com/open?id=1KZ3BdpHkZJ91SxoNy2OxucX875ogiOMT" TargetMode="External"/><Relationship Id="rId186" Type="http://schemas.openxmlformats.org/officeDocument/2006/relationships/hyperlink" Target="https://drive.google.com/open?id=1NmOKzD-K_aekyGzoIbckTSlsGQ8_1xt4" TargetMode="External"/><Relationship Id="rId351" Type="http://schemas.openxmlformats.org/officeDocument/2006/relationships/hyperlink" Target="https://drive.google.com/open?id=15GxfuE8yt78v2Ku6o4KmSJGqXjzYrO6c" TargetMode="External"/><Relationship Id="rId393" Type="http://schemas.openxmlformats.org/officeDocument/2006/relationships/hyperlink" Target="https://drive.google.com/open?id=1-v4DYZXmayNezOuDv2parTy_XzIvxd4p" TargetMode="External"/><Relationship Id="rId407" Type="http://schemas.openxmlformats.org/officeDocument/2006/relationships/hyperlink" Target="https://drive.google.com/open?id=1FiI0pxDMo7HkdQiBOhrfGK9ZLA2f-d_-" TargetMode="External"/><Relationship Id="rId449" Type="http://schemas.openxmlformats.org/officeDocument/2006/relationships/hyperlink" Target="https://drive.google.com/file/d/1Ity3z9w9_tk4G8NDj445aAeEU0yYVXDu/view?usp=drivesdk" TargetMode="External"/><Relationship Id="rId614" Type="http://schemas.openxmlformats.org/officeDocument/2006/relationships/hyperlink" Target="https://drive.google.com/open?id=1pHYUsyyg3T8q2sOl-NkVp7ux3ZIAssQp" TargetMode="External"/><Relationship Id="rId656" Type="http://schemas.openxmlformats.org/officeDocument/2006/relationships/hyperlink" Target="https://drive.google.com/file/d/1qi-vv_6z7GqG663FLwk0avfQMoAO2zer/view?usp=drivesdk" TargetMode="External"/><Relationship Id="rId211" Type="http://schemas.openxmlformats.org/officeDocument/2006/relationships/hyperlink" Target="https://drive.google.com/file/d/1eHMv7ucysTe3aakAi_asZ6bXNnteY7fv/view?usp=drivesdk" TargetMode="External"/><Relationship Id="rId253" Type="http://schemas.openxmlformats.org/officeDocument/2006/relationships/hyperlink" Target="https://drive.google.com/file/d/1Mh_Rgew4my73qbLkgGSAfapBLqDdXw5W/view?usp=drivesdk" TargetMode="External"/><Relationship Id="rId295" Type="http://schemas.openxmlformats.org/officeDocument/2006/relationships/hyperlink" Target="https://drive.google.com/file/d/1k0gSSYDudJmjSWeAJq95XoQW9LBEMFle/view?usp=drivesdk" TargetMode="External"/><Relationship Id="rId309" Type="http://schemas.openxmlformats.org/officeDocument/2006/relationships/hyperlink" Target="https://drive.google.com/file/d/1lMWrx9-L3t7GFshX_LhJfnVwlCggsaOO/view?usp=drivesdk" TargetMode="External"/><Relationship Id="rId460" Type="http://schemas.openxmlformats.org/officeDocument/2006/relationships/hyperlink" Target="https://drive.google.com/open?id=1rVvxTI7p72ndf6u_QUS5CzuLoSefv9yk" TargetMode="External"/><Relationship Id="rId516" Type="http://schemas.openxmlformats.org/officeDocument/2006/relationships/hyperlink" Target="https://drive.google.com/open?id=1_W-bSUPpxs6ZFjvlblFGTxIJeDVmQ1bB" TargetMode="External"/><Relationship Id="rId698" Type="http://schemas.openxmlformats.org/officeDocument/2006/relationships/hyperlink" Target="https://drive.google.com/file/d/11KKCOZC5zpOUUjVBDIOTTapoxVh7SC70/view?usp=drivesdk" TargetMode="External"/><Relationship Id="rId48" Type="http://schemas.openxmlformats.org/officeDocument/2006/relationships/hyperlink" Target="https://drive.google.com/open?id=1Xt-4eR2om8sAeCpB37kBVM4OgqhVozBT" TargetMode="External"/><Relationship Id="rId113" Type="http://schemas.openxmlformats.org/officeDocument/2006/relationships/hyperlink" Target="https://drive.google.com/file/d/1IXwBZI99q9Ydgem9QzT__Uy8GtLVLtO5/view?usp=drivesdk" TargetMode="External"/><Relationship Id="rId320" Type="http://schemas.openxmlformats.org/officeDocument/2006/relationships/hyperlink" Target="https://drive.google.com/file/d/1KyVe3dDw8jnaOt4v9gRW5LEc6wwmFXmC/view?usp=drivesdk" TargetMode="External"/><Relationship Id="rId558" Type="http://schemas.openxmlformats.org/officeDocument/2006/relationships/hyperlink" Target="https://drive.google.com/open?id=1FMCv-OTNjtD4cu_4XJfLIvrcqilIeQyx" TargetMode="External"/><Relationship Id="rId723" Type="http://schemas.openxmlformats.org/officeDocument/2006/relationships/hyperlink" Target="https://drive.google.com/open?id=1W8hDgK5sI05j5MzPA1OqlLedyPVaqiKk" TargetMode="External"/><Relationship Id="rId765" Type="http://schemas.openxmlformats.org/officeDocument/2006/relationships/hyperlink" Target="https://drive.google.com/file/d/1Bnl1Imldaqdy3W8VGMo5BJNtPEUGDenT/view?usp=drivesdk" TargetMode="External"/><Relationship Id="rId155" Type="http://schemas.openxmlformats.org/officeDocument/2006/relationships/hyperlink" Target="https://drive.google.com/open?id=1S9itZYo6XSJP8cAl3eLy7ahkuJw1QHqN" TargetMode="External"/><Relationship Id="rId197" Type="http://schemas.openxmlformats.org/officeDocument/2006/relationships/hyperlink" Target="https://drive.google.com/open?id=1tUsY2TeNRJhqNEOji5FiwEefPIZFoaIE" TargetMode="External"/><Relationship Id="rId362" Type="http://schemas.openxmlformats.org/officeDocument/2006/relationships/hyperlink" Target="https://drive.google.com/open?id=1kpER2N3kGTEa9xyRy4TZIvbahJyCUCaP" TargetMode="External"/><Relationship Id="rId418" Type="http://schemas.openxmlformats.org/officeDocument/2006/relationships/hyperlink" Target="https://drive.google.com/open?id=1DJVq2Jmyu0aHFInLuL8zqCoyTr62JAUu" TargetMode="External"/><Relationship Id="rId625" Type="http://schemas.openxmlformats.org/officeDocument/2006/relationships/hyperlink" Target="https://drive.google.com/file/d/1fJsyLE7_gUGfnUWmTmnqvCKlyeZ1gwD-/view?usp=drivesdk" TargetMode="External"/><Relationship Id="rId222" Type="http://schemas.openxmlformats.org/officeDocument/2006/relationships/hyperlink" Target="https://drive.google.com/open?id=100He4QTc7DOJHz-wdWkwQrJ95Bgb5X6F" TargetMode="External"/><Relationship Id="rId264" Type="http://schemas.openxmlformats.org/officeDocument/2006/relationships/hyperlink" Target="https://drive.google.com/file/d/14jo-MAE6YnYVN34OjMAyutwNFXvgpy-F/view?usp=drivesdk" TargetMode="External"/><Relationship Id="rId471" Type="http://schemas.openxmlformats.org/officeDocument/2006/relationships/hyperlink" Target="https://drive.google.com/open?id=1YORz-w4ZQWL3bh_UhkH20LKY-7TrTthv" TargetMode="External"/><Relationship Id="rId667" Type="http://schemas.openxmlformats.org/officeDocument/2006/relationships/hyperlink" Target="https://drive.google.com/open?id=1sG_U6mFeBOROe3tdr8Ys2ThfZxPdBq44" TargetMode="External"/><Relationship Id="rId17" Type="http://schemas.openxmlformats.org/officeDocument/2006/relationships/hyperlink" Target="https://drive.google.com/file/d/1kd4F2IwGWQ2a0pKywjKyKjQDpOyfseEK/view?usp=drivesdk" TargetMode="External"/><Relationship Id="rId59" Type="http://schemas.openxmlformats.org/officeDocument/2006/relationships/hyperlink" Target="https://drive.google.com/file/d/17N1AozQzDziBCSLN4csM9aI_XeIDBLnk/view?usp=drivesdk" TargetMode="External"/><Relationship Id="rId124" Type="http://schemas.openxmlformats.org/officeDocument/2006/relationships/hyperlink" Target="https://drive.google.com/file/d/1tYqDdTv8EqNUN0WZnu_2Epzf1tel6Eko/view?usp=drivesdk" TargetMode="External"/><Relationship Id="rId527" Type="http://schemas.openxmlformats.org/officeDocument/2006/relationships/hyperlink" Target="https://drive.google.com/file/d/10N9HSptURbE8NgN9WkbLtPgWznObA4wz/view?usp=drivesdk" TargetMode="External"/><Relationship Id="rId569" Type="http://schemas.openxmlformats.org/officeDocument/2006/relationships/hyperlink" Target="https://drive.google.com/file/d/1Qg1LeHp37i40EH-vy-Pvk0bEZw_r63xE/view?usp=drivesdk" TargetMode="External"/><Relationship Id="rId734" Type="http://schemas.openxmlformats.org/officeDocument/2006/relationships/hyperlink" Target="https://drive.google.com/file/d/1RGwhZBsQj0jML7a9Z3btQW29ccA8TPm4/view?usp=drivesdk" TargetMode="External"/><Relationship Id="rId776" Type="http://schemas.openxmlformats.org/officeDocument/2006/relationships/hyperlink" Target="https://drive.google.com/open?id=1shRgiKCJZVHa6Qym8d8BV16gfOpmDnrE" TargetMode="External"/><Relationship Id="rId70" Type="http://schemas.openxmlformats.org/officeDocument/2006/relationships/hyperlink" Target="https://drive.google.com/open?id=1IuqZK1MDvBF-QJCHXfghgBFiYEvoAWbP" TargetMode="External"/><Relationship Id="rId166" Type="http://schemas.openxmlformats.org/officeDocument/2006/relationships/hyperlink" Target="https://drive.google.com/open?id=1YoB_LfvFSJkdRfIgNvEHJrJ82JJVtzLq" TargetMode="External"/><Relationship Id="rId331" Type="http://schemas.openxmlformats.org/officeDocument/2006/relationships/hyperlink" Target="https://drive.google.com/open?id=1KbrS9FqYKOEY24gdTSys6hJZvL0lHer0" TargetMode="External"/><Relationship Id="rId373" Type="http://schemas.openxmlformats.org/officeDocument/2006/relationships/hyperlink" Target="https://drive.google.com/open?id=1ssOviEC2rHbzIwmvvb0kdxv6Rj_LckTk" TargetMode="External"/><Relationship Id="rId429" Type="http://schemas.openxmlformats.org/officeDocument/2006/relationships/hyperlink" Target="https://drive.google.com/open?id=1CY52K6lvFHQUSDPmNzg6D4HhkdZwUidu" TargetMode="External"/><Relationship Id="rId580" Type="http://schemas.openxmlformats.org/officeDocument/2006/relationships/hyperlink" Target="https://drive.google.com/file/d/1ypgHzgwn1bOQJP2Qp8NTxSrA9OG6YAOt/view?usp=drivesdk" TargetMode="External"/><Relationship Id="rId636" Type="http://schemas.openxmlformats.org/officeDocument/2006/relationships/hyperlink" Target="https://drive.google.com/open?id=1GMFtsGVChjWAC9vsEfSXPy0LLBCWgyIx" TargetMode="External"/><Relationship Id="rId1" Type="http://schemas.openxmlformats.org/officeDocument/2006/relationships/hyperlink" Target="https://drive.google.com/open?id=1mrEM8U6G0fnxB_WTM_uGprNxAl7eOq0e" TargetMode="External"/><Relationship Id="rId233" Type="http://schemas.openxmlformats.org/officeDocument/2006/relationships/hyperlink" Target="https://drive.google.com/open?id=1UioJKr_Hrfyr4IllR2rPV0vqyFw7Cfx5" TargetMode="External"/><Relationship Id="rId440" Type="http://schemas.openxmlformats.org/officeDocument/2006/relationships/hyperlink" Target="https://drive.google.com/open?id=1skni7B0X8tRHdyHKcgmM7HI2Ax4-ZzqG" TargetMode="External"/><Relationship Id="rId678" Type="http://schemas.openxmlformats.org/officeDocument/2006/relationships/hyperlink" Target="https://drive.google.com/file/d/1Upms6dZKOHKupBegkfV4ThueOEvlC5Yr/view?usp=drivesdk" TargetMode="External"/><Relationship Id="rId28" Type="http://schemas.openxmlformats.org/officeDocument/2006/relationships/hyperlink" Target="https://drive.google.com/open?id=131vEc_tb2CaI6NiXAmQlVeHz3MaJJZ8c" TargetMode="External"/><Relationship Id="rId275" Type="http://schemas.openxmlformats.org/officeDocument/2006/relationships/hyperlink" Target="https://drive.google.com/open?id=1beiP7KMup0bFo_MyAzV3-Cw9wgF_ykMm" TargetMode="External"/><Relationship Id="rId300" Type="http://schemas.openxmlformats.org/officeDocument/2006/relationships/hyperlink" Target="https://drive.google.com/file/d/1BsTihhjLHNs1UGk6KX2UgG82JMZDPGlh/view?usp=drivesdk" TargetMode="External"/><Relationship Id="rId482" Type="http://schemas.openxmlformats.org/officeDocument/2006/relationships/hyperlink" Target="https://drive.google.com/open?id=1ffyXG6N_WCAowAjons3z0vSUkpyrZzFk" TargetMode="External"/><Relationship Id="rId538" Type="http://schemas.openxmlformats.org/officeDocument/2006/relationships/hyperlink" Target="https://drive.google.com/open?id=1Me8dVHsDyPxsdG-wXNb46kVnrH8-06uY" TargetMode="External"/><Relationship Id="rId703" Type="http://schemas.openxmlformats.org/officeDocument/2006/relationships/hyperlink" Target="https://drive.google.com/file/d/18jxAiUWNxTRJeAnVtJbKSkOtJGgxHpdV/view?usp=drivesdk" TargetMode="External"/><Relationship Id="rId745" Type="http://schemas.openxmlformats.org/officeDocument/2006/relationships/hyperlink" Target="https://drive.google.com/open?id=1gKjQq4N0SGehfUdzHW5rlh6LHXlTQ0Jr" TargetMode="External"/><Relationship Id="rId81" Type="http://schemas.openxmlformats.org/officeDocument/2006/relationships/hyperlink" Target="https://drive.google.com/open?id=1ScalFEZn28SCwSvF1URw2lzAg2dTrZcW" TargetMode="External"/><Relationship Id="rId135" Type="http://schemas.openxmlformats.org/officeDocument/2006/relationships/hyperlink" Target="https://drive.google.com/open?id=1WzteGUUDy3K7Kh7fBgAO8Am3_wKosKnz" TargetMode="External"/><Relationship Id="rId177" Type="http://schemas.openxmlformats.org/officeDocument/2006/relationships/hyperlink" Target="https://drive.google.com/open?id=1UVzijFz4lEmIvBtcNJe6OIS5gcMBpGHv" TargetMode="External"/><Relationship Id="rId342" Type="http://schemas.openxmlformats.org/officeDocument/2006/relationships/hyperlink" Target="https://drive.google.com/open?id=1U15qbKiG5sTqHxPTHywKhgWOvFi8xtZB" TargetMode="External"/><Relationship Id="rId384" Type="http://schemas.openxmlformats.org/officeDocument/2006/relationships/hyperlink" Target="https://drive.google.com/file/d/1TsNAotglyDgb9qvIrMP7sSu5d4kB7lbv/view?usp=drivesdk" TargetMode="External"/><Relationship Id="rId591" Type="http://schemas.openxmlformats.org/officeDocument/2006/relationships/hyperlink" Target="https://drive.google.com/file/d/10IRNt2NtvbJyUDAj40DqyoLnG5XT2Bc3/view?usp=drivesdk" TargetMode="External"/><Relationship Id="rId605" Type="http://schemas.openxmlformats.org/officeDocument/2006/relationships/hyperlink" Target="https://drive.google.com/file/d/1U6aexQfd3y4_dao8fMaHPOi55uTv-42M/view?usp=drivesdk" TargetMode="External"/><Relationship Id="rId787" Type="http://schemas.openxmlformats.org/officeDocument/2006/relationships/hyperlink" Target="https://drive.google.com/file/d/1zZ8pxnQxtGrpfhhcL432hMZK7Q0XstVk/view?usp=drivesdk" TargetMode="External"/><Relationship Id="rId202" Type="http://schemas.openxmlformats.org/officeDocument/2006/relationships/hyperlink" Target="https://drive.google.com/file/d/1SmKXjKU7ZTl6citNG1XTUdLQHI_01s8s/view?usp=drivesdk" TargetMode="External"/><Relationship Id="rId244" Type="http://schemas.openxmlformats.org/officeDocument/2006/relationships/hyperlink" Target="https://drive.google.com/open?id=12k9bHA_DRXTNDzOqxM4jgu_VciwB8nxF" TargetMode="External"/><Relationship Id="rId647" Type="http://schemas.openxmlformats.org/officeDocument/2006/relationships/hyperlink" Target="https://drive.google.com/open?id=1B_HJH0PRRfvahGlTHIphlJs8ld5s2bGC" TargetMode="External"/><Relationship Id="rId689" Type="http://schemas.openxmlformats.org/officeDocument/2006/relationships/hyperlink" Target="https://drive.google.com/open?id=1zydE7SvMfDEOZmT6HIWXthmyDF5c80Zd" TargetMode="External"/><Relationship Id="rId39" Type="http://schemas.openxmlformats.org/officeDocument/2006/relationships/hyperlink" Target="https://drive.google.com/file/d/1SVAkq0Xp0jfLcj6pszMlKZ2xy32aT36N/view?usp=drivesdk" TargetMode="External"/><Relationship Id="rId286" Type="http://schemas.openxmlformats.org/officeDocument/2006/relationships/hyperlink" Target="https://drive.google.com/open?id=1PVxWw_avR8fZT1qucxyQfa0DL5fJRvkx" TargetMode="External"/><Relationship Id="rId451" Type="http://schemas.openxmlformats.org/officeDocument/2006/relationships/hyperlink" Target="https://drive.google.com/file/d/16nVVy5hh84wUtxqgQbGdfU3Sh_-2Qj6K/view?usp=drivesdk" TargetMode="External"/><Relationship Id="rId493" Type="http://schemas.openxmlformats.org/officeDocument/2006/relationships/hyperlink" Target="https://drive.google.com/file/d/1EQ73SivIsq9AHHANGogCswebZVKtEzt1/view?usp=drivesdk" TargetMode="External"/><Relationship Id="rId507" Type="http://schemas.openxmlformats.org/officeDocument/2006/relationships/hyperlink" Target="https://drive.google.com/open?id=1urXGbSOnqcAUDF_2NZO_8Hw8woBQmnIn" TargetMode="External"/><Relationship Id="rId549" Type="http://schemas.openxmlformats.org/officeDocument/2006/relationships/hyperlink" Target="https://drive.google.com/file/d/1aQSJCdp_T5YsEa3fsVFkzGKfQWOcjoIw/view?usp=drivesdk" TargetMode="External"/><Relationship Id="rId714" Type="http://schemas.openxmlformats.org/officeDocument/2006/relationships/hyperlink" Target="https://drive.google.com/file/d/1mYYkvP32wTzTB5CQuivPPNiFh-ja4ER3/view?usp=drivesdk" TargetMode="External"/><Relationship Id="rId756" Type="http://schemas.openxmlformats.org/officeDocument/2006/relationships/hyperlink" Target="https://drive.google.com/file/d/18J9nNY5L8BGqFGsntDvQ6Ruhvdo-U0Xs/view?usp=drivesdk" TargetMode="External"/><Relationship Id="rId50" Type="http://schemas.openxmlformats.org/officeDocument/2006/relationships/hyperlink" Target="https://drive.google.com/open?id=1KiT-i5-qROCkVo4sQQaYNGfYBqDBOklo" TargetMode="External"/><Relationship Id="rId104" Type="http://schemas.openxmlformats.org/officeDocument/2006/relationships/hyperlink" Target="https://drive.google.com/file/d/14jQTZGNIoxylLqXsorOx9I5LHpoFAl3e/view?usp=drivesdk" TargetMode="External"/><Relationship Id="rId146" Type="http://schemas.openxmlformats.org/officeDocument/2006/relationships/hyperlink" Target="https://drive.google.com/file/d/1CkBWbBgvzZQ2yKS-6uMCYiHBq-d0qXAX/view?usp=drivesdk" TargetMode="External"/><Relationship Id="rId188" Type="http://schemas.openxmlformats.org/officeDocument/2006/relationships/hyperlink" Target="https://drive.google.com/file/d/1HcEyh94zKpsfCz-umNAOEo9q1yzpG4KE/view?usp=drivesdk" TargetMode="External"/><Relationship Id="rId311" Type="http://schemas.openxmlformats.org/officeDocument/2006/relationships/hyperlink" Target="https://drive.google.com/open?id=1SqEdAp4mLI3TGWzxn_881Sn1EKvIRWdE" TargetMode="External"/><Relationship Id="rId353" Type="http://schemas.openxmlformats.org/officeDocument/2006/relationships/hyperlink" Target="https://drive.google.com/open?id=1YfqVn0HLFJaAdt4o2Q0VLB43xJ_cwTRJ" TargetMode="External"/><Relationship Id="rId395" Type="http://schemas.openxmlformats.org/officeDocument/2006/relationships/hyperlink" Target="https://drive.google.com/open?id=1lgdTeLYu4GKAZTieHMdp98vhLTCwn72t" TargetMode="External"/><Relationship Id="rId409" Type="http://schemas.openxmlformats.org/officeDocument/2006/relationships/hyperlink" Target="https://drive.google.com/open?id=1hAfHwzP_fB-FZ6KakenKOS8iwjZhQA2V" TargetMode="External"/><Relationship Id="rId560" Type="http://schemas.openxmlformats.org/officeDocument/2006/relationships/hyperlink" Target="https://drive.google.com/open?id=1VnTLp2RssADWEGe-TRFaZFimwy_pyA55" TargetMode="External"/><Relationship Id="rId92" Type="http://schemas.openxmlformats.org/officeDocument/2006/relationships/hyperlink" Target="https://drive.google.com/file/d/1PO8E7oS2ehB8cYadjZVFLTgXGjGQI0Rk/view?usp=drivesdk" TargetMode="External"/><Relationship Id="rId213" Type="http://schemas.openxmlformats.org/officeDocument/2006/relationships/hyperlink" Target="https://drive.google.com/file/d/1oUUxYX_eoof-UP5DrXAuKRs7A1kB_-nw/view?usp=drivesdk" TargetMode="External"/><Relationship Id="rId420" Type="http://schemas.openxmlformats.org/officeDocument/2006/relationships/hyperlink" Target="https://drive.google.com/open?id=18Hnz_M50p9mFjB8Ka7MFGAWKKC_X2Q16" TargetMode="External"/><Relationship Id="rId616" Type="http://schemas.openxmlformats.org/officeDocument/2006/relationships/hyperlink" Target="https://drive.google.com/open?id=1qORfn9hv47dL44H77i3kFw4uX5gvm1W0" TargetMode="External"/><Relationship Id="rId658" Type="http://schemas.openxmlformats.org/officeDocument/2006/relationships/hyperlink" Target="https://drive.google.com/file/d/1gwMc61wfEb1CLtC3MIi4eFww5dFAPvd1/view?usp=drivesdk" TargetMode="External"/><Relationship Id="rId255" Type="http://schemas.openxmlformats.org/officeDocument/2006/relationships/hyperlink" Target="https://drive.google.com/file/d/13rZqOsiZOxqbxy9zarqPCCb0ToKglWNz/view?usp=drivesdk" TargetMode="External"/><Relationship Id="rId297" Type="http://schemas.openxmlformats.org/officeDocument/2006/relationships/hyperlink" Target="https://drive.google.com/file/d/1VeT_nri-I2zmh6YpkklywaUh6ylf-vYF/view?usp=drivesdk" TargetMode="External"/><Relationship Id="rId462" Type="http://schemas.openxmlformats.org/officeDocument/2006/relationships/hyperlink" Target="https://drive.google.com/open?id=1ppJ7QM1vKk6nfbghKfz0Rm4-ZuVGPbjA" TargetMode="External"/><Relationship Id="rId518" Type="http://schemas.openxmlformats.org/officeDocument/2006/relationships/hyperlink" Target="https://drive.google.com/open?id=1xri-0nuBb7_9gUd5lXmNrpSUJJU3zzcg" TargetMode="External"/><Relationship Id="rId725" Type="http://schemas.openxmlformats.org/officeDocument/2006/relationships/hyperlink" Target="https://drive.google.com/open?id=1IVRJ5faXg0lN8iG8XW_QfqFaT5BbkRd6" TargetMode="External"/><Relationship Id="rId115" Type="http://schemas.openxmlformats.org/officeDocument/2006/relationships/hyperlink" Target="https://drive.google.com/open?id=1b-EkNdMS0my60PkWXyCtM8EB8nRmb2ux" TargetMode="External"/><Relationship Id="rId157" Type="http://schemas.openxmlformats.org/officeDocument/2006/relationships/hyperlink" Target="https://drive.google.com/open?id=1sgYIqcVhXv5Gx01W1o8jxjsMHveG6_Cm" TargetMode="External"/><Relationship Id="rId322" Type="http://schemas.openxmlformats.org/officeDocument/2006/relationships/hyperlink" Target="https://drive.google.com/file/d/1OKBEjvL1ALaRGaJrD67AFpjuSAGzBQM_/view?usp=drivesdk" TargetMode="External"/><Relationship Id="rId364" Type="http://schemas.openxmlformats.org/officeDocument/2006/relationships/hyperlink" Target="https://drive.google.com/open?id=1monk98yGQ8NHdndRq-SUO4auuemI7OP9" TargetMode="External"/><Relationship Id="rId767" Type="http://schemas.openxmlformats.org/officeDocument/2006/relationships/hyperlink" Target="https://drive.google.com/open?id=1Ro9nvaVnMZNxKLxEtNagz46U5yQeUeWa" TargetMode="External"/><Relationship Id="rId61" Type="http://schemas.openxmlformats.org/officeDocument/2006/relationships/hyperlink" Target="https://drive.google.com/file/d/1ef8mSGbE_xGVtfujHMuHL9ufAT83Qhhf/view?usp=drivesdk" TargetMode="External"/><Relationship Id="rId199" Type="http://schemas.openxmlformats.org/officeDocument/2006/relationships/hyperlink" Target="https://drive.google.com/open?id=1UQEsF6lhuqU9urCJ-ssDP54oU3blBW1z" TargetMode="External"/><Relationship Id="rId571" Type="http://schemas.openxmlformats.org/officeDocument/2006/relationships/hyperlink" Target="https://drive.google.com/file/d/1jvMRsJs9Z3g9P1xZHyMn3YSurGSqroJ8/view?usp=drivesdk" TargetMode="External"/><Relationship Id="rId627" Type="http://schemas.openxmlformats.org/officeDocument/2006/relationships/hyperlink" Target="https://drive.google.com/file/d/1S-b8hegOSSfjLIdKNCyXyXpHTAY3fKm8/view?usp=drivesdk" TargetMode="External"/><Relationship Id="rId669" Type="http://schemas.openxmlformats.org/officeDocument/2006/relationships/hyperlink" Target="https://drive.google.com/open?id=1AkUa0BS0NAaiUOwB3Xgw-QEgpxLnD-nD" TargetMode="External"/><Relationship Id="rId19" Type="http://schemas.openxmlformats.org/officeDocument/2006/relationships/hyperlink" Target="https://drive.google.com/file/d/15fXGhFlhRT0fllOpTzons26Mhuoo_NQz/view?usp=drivesdk" TargetMode="External"/><Relationship Id="rId224" Type="http://schemas.openxmlformats.org/officeDocument/2006/relationships/hyperlink" Target="https://drive.google.com/open?id=1XaqQYLlRcrkoXcyEIDr0NAg9Zt9Mc-nV" TargetMode="External"/><Relationship Id="rId266" Type="http://schemas.openxmlformats.org/officeDocument/2006/relationships/hyperlink" Target="https://drive.google.com/open?id=1OoWN1rVPEyf8ZlB8Gl8Npld7O2ZYdG6F" TargetMode="External"/><Relationship Id="rId431" Type="http://schemas.openxmlformats.org/officeDocument/2006/relationships/hyperlink" Target="https://drive.google.com/open?id=1Ca2tWg9px9RFnQVUw7AhFWnmHPvir520" TargetMode="External"/><Relationship Id="rId473" Type="http://schemas.openxmlformats.org/officeDocument/2006/relationships/hyperlink" Target="https://drive.google.com/open?id=1Csv2I1THOik7fTjMdDb5gAkw5Znrapqs" TargetMode="External"/><Relationship Id="rId529" Type="http://schemas.openxmlformats.org/officeDocument/2006/relationships/hyperlink" Target="https://drive.google.com/file/d/1-LQTyJcFwOizI6jyLght79IJg5a0wWmj/view?usp=drivesdk" TargetMode="External"/><Relationship Id="rId680" Type="http://schemas.openxmlformats.org/officeDocument/2006/relationships/hyperlink" Target="https://drive.google.com/file/d/1Q9cNyDoOfzPY-luHMgtAriDdcgFoCxTr/view?usp=drivesdk" TargetMode="External"/><Relationship Id="rId736" Type="http://schemas.openxmlformats.org/officeDocument/2006/relationships/hyperlink" Target="https://drive.google.com/file/d/1_buQGgR4lpCs2c0ok1ibd_6jTEPDBPma/view?usp=drivesdk" TargetMode="External"/><Relationship Id="rId30" Type="http://schemas.openxmlformats.org/officeDocument/2006/relationships/hyperlink" Target="https://drive.google.com/open?id=1mffKwhPgMn00z0NCbZVvkfQisa6l1xnB" TargetMode="External"/><Relationship Id="rId126" Type="http://schemas.openxmlformats.org/officeDocument/2006/relationships/hyperlink" Target="https://drive.google.com/file/d/1Q7S0_V5biKLuwb1gcwjgfACk3ZJm-nuE/view?usp=drivesdk" TargetMode="External"/><Relationship Id="rId168" Type="http://schemas.openxmlformats.org/officeDocument/2006/relationships/hyperlink" Target="https://drive.google.com/open?id=1aA0qlxUCYTueZZSSKLcZHWrcO8eknZSY" TargetMode="External"/><Relationship Id="rId333" Type="http://schemas.openxmlformats.org/officeDocument/2006/relationships/hyperlink" Target="https://drive.google.com/open?id=1aVbrSwm3boJBKSU3ogAX4aVnnvwZoCu3" TargetMode="External"/><Relationship Id="rId540" Type="http://schemas.openxmlformats.org/officeDocument/2006/relationships/hyperlink" Target="https://drive.google.com/open?id=1EAW0Ewb3xCjsiMDhPRh4ocoIj9u9qIJj" TargetMode="External"/><Relationship Id="rId778" Type="http://schemas.openxmlformats.org/officeDocument/2006/relationships/hyperlink" Target="https://drive.google.com/open?id=1SuWjRqIfc1qZRW9Yf3GB0-lr5u8jcoPC" TargetMode="External"/><Relationship Id="rId72" Type="http://schemas.openxmlformats.org/officeDocument/2006/relationships/hyperlink" Target="https://drive.google.com/open?id=1Ny17lnfX-4BOT0H8C84w8ILdAaOKAhfk" TargetMode="External"/><Relationship Id="rId375" Type="http://schemas.openxmlformats.org/officeDocument/2006/relationships/hyperlink" Target="https://drive.google.com/open?id=1ktP_6tOSCJf2uvaWleU8Icg0bmVNrfYw" TargetMode="External"/><Relationship Id="rId582" Type="http://schemas.openxmlformats.org/officeDocument/2006/relationships/hyperlink" Target="https://drive.google.com/open?id=1NDy33BI9u5y-ep9kE117w5CE_xNLdRwz" TargetMode="External"/><Relationship Id="rId638" Type="http://schemas.openxmlformats.org/officeDocument/2006/relationships/hyperlink" Target="https://drive.google.com/open?id=1Zn_3k2SjDwwOMG108RGkytC2YJMMqXk7" TargetMode="External"/><Relationship Id="rId3" Type="http://schemas.openxmlformats.org/officeDocument/2006/relationships/hyperlink" Target="https://drive.google.com/file/d/149ZcJWZKRBGgnZcEt-5zAFELzAWTeuhf/view?usp=drivesdk" TargetMode="External"/><Relationship Id="rId235" Type="http://schemas.openxmlformats.org/officeDocument/2006/relationships/hyperlink" Target="https://drive.google.com/open?id=1nrhw_0a66hb_8AGJh4SGNbl1jyEwuIsW" TargetMode="External"/><Relationship Id="rId277" Type="http://schemas.openxmlformats.org/officeDocument/2006/relationships/hyperlink" Target="https://drive.google.com/open?id=1rVSWerSSds2sIBwXetzZDjbcuztf1x9s" TargetMode="External"/><Relationship Id="rId400" Type="http://schemas.openxmlformats.org/officeDocument/2006/relationships/hyperlink" Target="https://drive.google.com/file/d/1rn_IFgN7IsT9uhuz8zX_1osWYVkyhxRd/view?usp=drivesdk" TargetMode="External"/><Relationship Id="rId442" Type="http://schemas.openxmlformats.org/officeDocument/2006/relationships/hyperlink" Target="https://drive.google.com/file/d/1druNz8Gq_rrGc0g06vEMOxp1LbkjfZdf/view?usp=drivesdk" TargetMode="External"/><Relationship Id="rId484" Type="http://schemas.openxmlformats.org/officeDocument/2006/relationships/hyperlink" Target="https://drive.google.com/open?id=14Nw0w4Dx_o1Nq63H-dmu3WFWYHURnRUG" TargetMode="External"/><Relationship Id="rId705" Type="http://schemas.openxmlformats.org/officeDocument/2006/relationships/hyperlink" Target="https://drive.google.com/open?id=1P9GETMCZuDRzZgKdSxk5zWGFoSP12QmI" TargetMode="External"/><Relationship Id="rId137" Type="http://schemas.openxmlformats.org/officeDocument/2006/relationships/hyperlink" Target="https://drive.google.com/open?id=1WsQuosg1RaN-iN512pZRH5a7A3cRrauc" TargetMode="External"/><Relationship Id="rId302" Type="http://schemas.openxmlformats.org/officeDocument/2006/relationships/hyperlink" Target="https://drive.google.com/open?id=1sJka06hz1lTIoo_4WAvZUeqf9CNxRJs6" TargetMode="External"/><Relationship Id="rId344" Type="http://schemas.openxmlformats.org/officeDocument/2006/relationships/hyperlink" Target="https://drive.google.com/open?id=1qxlekTV6tWTxtBl4bqCMQvYr_Pzx9NHe" TargetMode="External"/><Relationship Id="rId691" Type="http://schemas.openxmlformats.org/officeDocument/2006/relationships/hyperlink" Target="https://drive.google.com/open?id=19mJjqDXUjmBh1y045GmmuY0k9O1wG_8x" TargetMode="External"/><Relationship Id="rId747" Type="http://schemas.openxmlformats.org/officeDocument/2006/relationships/hyperlink" Target="https://drive.google.com/open?id=1UO2QMZyQIsuc0KmLlmhAA5JV9kSceoZj" TargetMode="External"/><Relationship Id="rId789" Type="http://schemas.openxmlformats.org/officeDocument/2006/relationships/hyperlink" Target="https://drive.google.com/file/d/1XR-rQsBm3kcgFKBLatpq69wl3kqAvljo/view?usp=drivesdk" TargetMode="External"/><Relationship Id="rId41" Type="http://schemas.openxmlformats.org/officeDocument/2006/relationships/hyperlink" Target="https://drive.google.com/file/d/1fHUlNEFCM7LfXIB1ee_rFSHq6U1QjMcn/view?usp=drivesdk" TargetMode="External"/><Relationship Id="rId83" Type="http://schemas.openxmlformats.org/officeDocument/2006/relationships/hyperlink" Target="https://drive.google.com/open?id=19tCLQWzxYlOb3-WPS90V1hNJ0Hq1rBlO" TargetMode="External"/><Relationship Id="rId179" Type="http://schemas.openxmlformats.org/officeDocument/2006/relationships/hyperlink" Target="https://drive.google.com/open?id=1342vwLcyzMpIzUrphViCK0gn_cHiZeu6" TargetMode="External"/><Relationship Id="rId386" Type="http://schemas.openxmlformats.org/officeDocument/2006/relationships/hyperlink" Target="https://drive.google.com/open?id=17lotDdPqDJzuJzOzODBmVC29HwMDHP-7" TargetMode="External"/><Relationship Id="rId551" Type="http://schemas.openxmlformats.org/officeDocument/2006/relationships/hyperlink" Target="https://drive.google.com/file/d/1-wAfm0Gd8Wg47NhB1HdDqxj226rwNx7o/view?usp=drivesdk" TargetMode="External"/><Relationship Id="rId593" Type="http://schemas.openxmlformats.org/officeDocument/2006/relationships/hyperlink" Target="https://drive.google.com/file/d/1rtlfWWn2xs0Tx-oUFXhdpn-c5dkACWqa/view?usp=drivesdk" TargetMode="External"/><Relationship Id="rId607" Type="http://schemas.openxmlformats.org/officeDocument/2006/relationships/hyperlink" Target="https://drive.google.com/file/d/1ySjsZxT5t7zr7p7f7kgkBCdwipvRm1-C/view?usp=drivesdk" TargetMode="External"/><Relationship Id="rId649" Type="http://schemas.openxmlformats.org/officeDocument/2006/relationships/hyperlink" Target="https://drive.google.com/open?id=1koccTZvq0-DWYxDEU4pijkrtdAMdaxTK" TargetMode="External"/><Relationship Id="rId190" Type="http://schemas.openxmlformats.org/officeDocument/2006/relationships/hyperlink" Target="https://drive.google.com/file/d/1omsxK5rza8yumj28u0mzNAMZGjsEiyT6/view?usp=drivesdk" TargetMode="External"/><Relationship Id="rId204" Type="http://schemas.openxmlformats.org/officeDocument/2006/relationships/hyperlink" Target="https://drive.google.com/file/d/137qR4d-X_zIltXXJA11DYHPLmKiSR1k-/view?usp=drivesdk" TargetMode="External"/><Relationship Id="rId246" Type="http://schemas.openxmlformats.org/officeDocument/2006/relationships/hyperlink" Target="https://drive.google.com/open?id=1m1VLto70ZUnCvPI5Lucug6xuO81QzxJH" TargetMode="External"/><Relationship Id="rId288" Type="http://schemas.openxmlformats.org/officeDocument/2006/relationships/hyperlink" Target="https://drive.google.com/open?id=17HDw2X4bPAcV6aZ_58w_UQXdf1SPztG-" TargetMode="External"/><Relationship Id="rId411" Type="http://schemas.openxmlformats.org/officeDocument/2006/relationships/hyperlink" Target="https://drive.google.com/open?id=1n1bjRQS5DuAlmzN5yOSi2HalNKZ8ykQX" TargetMode="External"/><Relationship Id="rId453" Type="http://schemas.openxmlformats.org/officeDocument/2006/relationships/hyperlink" Target="https://drive.google.com/file/d/121VfRlwUkNgh2B7IXkwJX5UMHDWpxk0v/view?usp=drivesdk" TargetMode="External"/><Relationship Id="rId509" Type="http://schemas.openxmlformats.org/officeDocument/2006/relationships/hyperlink" Target="https://drive.google.com/open?id=1DyILU09kvA1eiqedbfSlVDCp5rm9loHP" TargetMode="External"/><Relationship Id="rId660" Type="http://schemas.openxmlformats.org/officeDocument/2006/relationships/hyperlink" Target="https://drive.google.com/file/d/1QMltR8fXxv3Mb-vfjO56WoVG25rNwxwy/view?usp=drivesdk" TargetMode="External"/><Relationship Id="rId106" Type="http://schemas.openxmlformats.org/officeDocument/2006/relationships/hyperlink" Target="https://drive.google.com/open?id=1JYaLZxWPQGhq2uzPz2Xkuujdbg3s7QwV" TargetMode="External"/><Relationship Id="rId313" Type="http://schemas.openxmlformats.org/officeDocument/2006/relationships/hyperlink" Target="https://drive.google.com/open?id=1f3vhZa5xejSUfprv7TjQ4ioll8ynlKiB" TargetMode="External"/><Relationship Id="rId495" Type="http://schemas.openxmlformats.org/officeDocument/2006/relationships/hyperlink" Target="https://drive.google.com/open?id=1-DdCbENZ896NU6TMcN-luCbTS4eVcul_" TargetMode="External"/><Relationship Id="rId716" Type="http://schemas.openxmlformats.org/officeDocument/2006/relationships/hyperlink" Target="https://drive.google.com/file/d/1BzpDKwXRp0rDo1By5ypTg9IzF4hR9_B9/view?usp=drivesdk" TargetMode="External"/><Relationship Id="rId758" Type="http://schemas.openxmlformats.org/officeDocument/2006/relationships/hyperlink" Target="https://drive.google.com/file/d/101I8bbFR82UBggw7frnqS69f20XyBQoP/view?usp=drivesdk" TargetMode="External"/><Relationship Id="rId10" Type="http://schemas.openxmlformats.org/officeDocument/2006/relationships/hyperlink" Target="https://drive.google.com/open?id=17le2Igs59p_HTSCsAR3GNNJt2RIMSDCY" TargetMode="External"/><Relationship Id="rId52" Type="http://schemas.openxmlformats.org/officeDocument/2006/relationships/hyperlink" Target="https://drive.google.com/open?id=1pwccknEVS32XQVbBan7a8RCs43KKe4SL" TargetMode="External"/><Relationship Id="rId94" Type="http://schemas.openxmlformats.org/officeDocument/2006/relationships/hyperlink" Target="https://drive.google.com/file/d/1DTrIoNS5cMoRVmaf0qupTwwlTE7YxG0M/view?usp=drivesdk" TargetMode="External"/><Relationship Id="rId148" Type="http://schemas.openxmlformats.org/officeDocument/2006/relationships/hyperlink" Target="https://drive.google.com/file/d/1NoYtufkoNRXvUGCMVqEGiw0omjIz6GEb/view?usp=drivesdk" TargetMode="External"/><Relationship Id="rId355" Type="http://schemas.openxmlformats.org/officeDocument/2006/relationships/hyperlink" Target="https://drive.google.com/open?id=1-Ph51Jh-5i3msUlTZ0TZQaW0hBbCjU6B" TargetMode="External"/><Relationship Id="rId397" Type="http://schemas.openxmlformats.org/officeDocument/2006/relationships/hyperlink" Target="https://drive.google.com/open?id=1-L82p4-UYxzh-A4JdR5orE_lCxWq859u" TargetMode="External"/><Relationship Id="rId520" Type="http://schemas.openxmlformats.org/officeDocument/2006/relationships/hyperlink" Target="https://drive.google.com/open?id=1zskTzHs47dnrHFEEzXU9Z7Irot3Ajczm" TargetMode="External"/><Relationship Id="rId562" Type="http://schemas.openxmlformats.org/officeDocument/2006/relationships/hyperlink" Target="https://drive.google.com/open?id=19bPE9ePboSHsz_byAoz0CN4WeHJHzHWe" TargetMode="External"/><Relationship Id="rId618" Type="http://schemas.openxmlformats.org/officeDocument/2006/relationships/hyperlink" Target="https://drive.google.com/open?id=18vn_P_zdAUY6xw7TO7HDwD-3BonY26NF" TargetMode="External"/><Relationship Id="rId215" Type="http://schemas.openxmlformats.org/officeDocument/2006/relationships/hyperlink" Target="https://drive.google.com/file/d/1lSuzYmu1y6hPoa8AeDqJ1h0gAfAqieDQ/view?usp=drivesdk" TargetMode="External"/><Relationship Id="rId257" Type="http://schemas.openxmlformats.org/officeDocument/2006/relationships/hyperlink" Target="https://drive.google.com/file/d/1VMVBElhk-uDCK2GShzxR4Rtzi9n_n9ji/view?usp=drivesdk" TargetMode="External"/><Relationship Id="rId422" Type="http://schemas.openxmlformats.org/officeDocument/2006/relationships/hyperlink" Target="https://drive.google.com/open?id=1X1aT8TXvkoCxliWzU20eIqfuKa4g4V1x" TargetMode="External"/><Relationship Id="rId464" Type="http://schemas.openxmlformats.org/officeDocument/2006/relationships/hyperlink" Target="https://drive.google.com/open?id=1mpVbfKyCd0thV6Zs5dczECsjI9ykxXWc" TargetMode="External"/><Relationship Id="rId299" Type="http://schemas.openxmlformats.org/officeDocument/2006/relationships/hyperlink" Target="https://drive.google.com/open?id=1bJY29P4Hyr6NOH3T8DfQ_hK_CpWR1CXd" TargetMode="External"/><Relationship Id="rId727" Type="http://schemas.openxmlformats.org/officeDocument/2006/relationships/hyperlink" Target="https://drive.google.com/open?id=16qP1EdfUF3hQWN1rIOzAlO7sHwuvaCnk" TargetMode="External"/><Relationship Id="rId63" Type="http://schemas.openxmlformats.org/officeDocument/2006/relationships/hyperlink" Target="https://drive.google.com/file/d/1ET2-muK3eJ-46EEHm9DAx5JqkL0a1Apv/view?usp=drivesdk" TargetMode="External"/><Relationship Id="rId159" Type="http://schemas.openxmlformats.org/officeDocument/2006/relationships/hyperlink" Target="https://drive.google.com/open?id=1KQuO5b8LJslak9xPO8NLAwAtFV3OIQfx" TargetMode="External"/><Relationship Id="rId366" Type="http://schemas.openxmlformats.org/officeDocument/2006/relationships/hyperlink" Target="https://drive.google.com/file/d/1i6t39B9Ffwzu4D31TUJ__PcOSc-6frsP/view?usp=drivesdk" TargetMode="External"/><Relationship Id="rId573" Type="http://schemas.openxmlformats.org/officeDocument/2006/relationships/hyperlink" Target="https://drive.google.com/file/d/1bv5xsUkhpvuplo9p5E3aTFSWH69EgPIW/view?usp=drivesdk" TargetMode="External"/><Relationship Id="rId780" Type="http://schemas.openxmlformats.org/officeDocument/2006/relationships/hyperlink" Target="https://drive.google.com/open?id=12c4t_m0zza-it1xv_urKVMYoyt7MNKWn" TargetMode="External"/><Relationship Id="rId226" Type="http://schemas.openxmlformats.org/officeDocument/2006/relationships/hyperlink" Target="https://drive.google.com/open?id=1L3WshmBGPE7_6Ska8EkXv7Dk6yofWrNZ" TargetMode="External"/><Relationship Id="rId433" Type="http://schemas.openxmlformats.org/officeDocument/2006/relationships/hyperlink" Target="https://drive.google.com/file/d/1rwG1Ppf_AoT52UiJE1KY8OxPE6DHDzbG/view?usp=drivesdk" TargetMode="External"/><Relationship Id="rId640" Type="http://schemas.openxmlformats.org/officeDocument/2006/relationships/hyperlink" Target="https://drive.google.com/open?id=1dNSX7wG852rmvKA9s5SS8dZEtcxmRmaW" TargetMode="External"/><Relationship Id="rId738" Type="http://schemas.openxmlformats.org/officeDocument/2006/relationships/hyperlink" Target="https://drive.google.com/file/d/1VNpGtzMeokLopOCljdpfLKgtTts5HCgC/view?usp=drivesdk" TargetMode="External"/><Relationship Id="rId74" Type="http://schemas.openxmlformats.org/officeDocument/2006/relationships/hyperlink" Target="https://drive.google.com/file/d/1YZXmYgHoUXIlrQmAIm56xGbOsPn0RHZ8/view?usp=drivesdk" TargetMode="External"/><Relationship Id="rId377" Type="http://schemas.openxmlformats.org/officeDocument/2006/relationships/hyperlink" Target="https://drive.google.com/open?id=1hUMMcxVNvSrF3fTN8STHNMfFPvuoU3s5" TargetMode="External"/><Relationship Id="rId500" Type="http://schemas.openxmlformats.org/officeDocument/2006/relationships/hyperlink" Target="https://drive.google.com/open?id=1L1bJUsrftz_qee2-5uGwvup_ov332w13" TargetMode="External"/><Relationship Id="rId584" Type="http://schemas.openxmlformats.org/officeDocument/2006/relationships/hyperlink" Target="https://drive.google.com/open?id=1C4S2RNHsMXPKdYbhVQIjmJw_8Dhoit7i" TargetMode="External"/><Relationship Id="rId5" Type="http://schemas.openxmlformats.org/officeDocument/2006/relationships/hyperlink" Target="https://drive.google.com/file/d/17FDEWneIX3pFjiXjVZWejPQ5zwFH3zq7/view?usp=drivesdk" TargetMode="External"/><Relationship Id="rId237" Type="http://schemas.openxmlformats.org/officeDocument/2006/relationships/hyperlink" Target="https://drive.google.com/open?id=1LPGdySWPZYFIEcv0Gv0wwXT511YG4QbI" TargetMode="External"/><Relationship Id="rId791" Type="http://schemas.openxmlformats.org/officeDocument/2006/relationships/hyperlink" Target="https://drive.google.com/file/d/16Xdm7j2okEehFxxXyxV9GukW39aSiEwJ/view?usp=drivesdk" TargetMode="External"/><Relationship Id="rId444" Type="http://schemas.openxmlformats.org/officeDocument/2006/relationships/hyperlink" Target="https://drive.google.com/file/d/1237aLo5F3z9AB_O4xSicXeW1Ws-xSv7M/view?usp=drivesdk" TargetMode="External"/><Relationship Id="rId651" Type="http://schemas.openxmlformats.org/officeDocument/2006/relationships/hyperlink" Target="https://drive.google.com/open?id=186C723h2WZsfkzRWWtZDXS_LYxFfxWVV" TargetMode="External"/><Relationship Id="rId749" Type="http://schemas.openxmlformats.org/officeDocument/2006/relationships/hyperlink" Target="https://drive.google.com/open?id=18Czn99TrXSr7EIUVfwuHx-Ugpfom621b" TargetMode="External"/><Relationship Id="rId290" Type="http://schemas.openxmlformats.org/officeDocument/2006/relationships/hyperlink" Target="https://drive.google.com/open?id=1bjZRhMayh79BoKiR5Mq4kPS7h24s3v4M" TargetMode="External"/><Relationship Id="rId304" Type="http://schemas.openxmlformats.org/officeDocument/2006/relationships/hyperlink" Target="https://drive.google.com/open?id=1uROM2cIXkrhQhRvHy_s44W61l1K-kJbB" TargetMode="External"/><Relationship Id="rId388" Type="http://schemas.openxmlformats.org/officeDocument/2006/relationships/hyperlink" Target="https://drive.google.com/open?id=1xIdbG1yfEil4OXmwZTabvXLrEvFx1hh-" TargetMode="External"/><Relationship Id="rId511" Type="http://schemas.openxmlformats.org/officeDocument/2006/relationships/hyperlink" Target="https://drive.google.com/open?id=1p4QAIbnw_Yiiw_C_EY6tkEcDv38cAuJt" TargetMode="External"/><Relationship Id="rId609" Type="http://schemas.openxmlformats.org/officeDocument/2006/relationships/hyperlink" Target="https://drive.google.com/file/d/1XKQ7UvLLYQhRteI2w320ytT0kA_otPa_/view?usp=drivesdk" TargetMode="External"/><Relationship Id="rId85" Type="http://schemas.openxmlformats.org/officeDocument/2006/relationships/hyperlink" Target="https://drive.google.com/open?id=1eZ7LPhPCfn0H3eIXC19-y6wrBpmN9vqK" TargetMode="External"/><Relationship Id="rId150" Type="http://schemas.openxmlformats.org/officeDocument/2006/relationships/hyperlink" Target="https://drive.google.com/file/d/1OuRHfr08yQqGmPH4BV7mUAZ_47xJZGxO/view?usp=drivesdk" TargetMode="External"/><Relationship Id="rId595" Type="http://schemas.openxmlformats.org/officeDocument/2006/relationships/hyperlink" Target="https://drive.google.com/file/d/1l1zxoqtwVIHZfWW-6GM-mA25_WsWyEkU/view?usp=drivesdk" TargetMode="External"/><Relationship Id="rId248" Type="http://schemas.openxmlformats.org/officeDocument/2006/relationships/hyperlink" Target="https://drive.google.com/open?id=1aVt13sJQo4mZSz3HdiEjx7ZeVqj3Ygi_" TargetMode="External"/><Relationship Id="rId455" Type="http://schemas.openxmlformats.org/officeDocument/2006/relationships/hyperlink" Target="https://drive.google.com/file/d/1K6uT2AiVlt3uYsHwfcUsZgkOzjFGVXpO/view?usp=drivesdk" TargetMode="External"/><Relationship Id="rId662" Type="http://schemas.openxmlformats.org/officeDocument/2006/relationships/hyperlink" Target="https://drive.google.com/file/d/1lK2ekCby373-eeArtDC_0H09D7aIvwXp/view?usp=drivesdk" TargetMode="External"/><Relationship Id="rId12" Type="http://schemas.openxmlformats.org/officeDocument/2006/relationships/hyperlink" Target="https://drive.google.com/open?id=11JLbasjtEy0YNiuuHAGDR05kzL8r2mTs" TargetMode="External"/><Relationship Id="rId108" Type="http://schemas.openxmlformats.org/officeDocument/2006/relationships/hyperlink" Target="https://drive.google.com/open?id=1FhWJy2sxBunzCyAWQEWREA6v6ALf73JP" TargetMode="External"/><Relationship Id="rId315" Type="http://schemas.openxmlformats.org/officeDocument/2006/relationships/hyperlink" Target="https://drive.google.com/open?id=1sQdYTT0yUsLUSvldgQvCTuRnH_jBQJJc" TargetMode="External"/><Relationship Id="rId522" Type="http://schemas.openxmlformats.org/officeDocument/2006/relationships/hyperlink" Target="https://drive.google.com/open?id=1HG9CMVqTuHQFWxZIcUjBeWuBLMw1deQB" TargetMode="External"/><Relationship Id="rId96" Type="http://schemas.openxmlformats.org/officeDocument/2006/relationships/hyperlink" Target="https://drive.google.com/file/d/16q53V4Laz3VSZSD_KyTHH57gFohSyxWP/view?usp=drivesdk" TargetMode="External"/><Relationship Id="rId161" Type="http://schemas.openxmlformats.org/officeDocument/2006/relationships/hyperlink" Target="https://drive.google.com/open?id=1UTslcn3OyPqC4-G7Ke2WjORM43S3M58-" TargetMode="External"/><Relationship Id="rId399" Type="http://schemas.openxmlformats.org/officeDocument/2006/relationships/hyperlink" Target="https://drive.google.com/open?id=1v5WoDClZA_ChTqHGN3o4cQt18EkE3ro4" TargetMode="External"/><Relationship Id="rId259" Type="http://schemas.openxmlformats.org/officeDocument/2006/relationships/hyperlink" Target="https://drive.google.com/file/d/1gOXIiCFv5CYq14A0WhPtAshtGjkPQzaT/view?usp=drivesdk" TargetMode="External"/><Relationship Id="rId466" Type="http://schemas.openxmlformats.org/officeDocument/2006/relationships/hyperlink" Target="https://drive.google.com/open?id=1op6XFXUl-XLeGA1GOGMGOgCX_0P8PgTY" TargetMode="External"/><Relationship Id="rId673" Type="http://schemas.openxmlformats.org/officeDocument/2006/relationships/hyperlink" Target="https://drive.google.com/open?id=1jos0UMCfWhQ1fEul2dNebZ7lwgACL_NO" TargetMode="External"/><Relationship Id="rId23" Type="http://schemas.openxmlformats.org/officeDocument/2006/relationships/hyperlink" Target="https://drive.google.com/file/d/1Z8VAly-FHrt4-JIjrjnOWfb91tQRMS3H/view?usp=drivesdk" TargetMode="External"/><Relationship Id="rId119" Type="http://schemas.openxmlformats.org/officeDocument/2006/relationships/hyperlink" Target="https://drive.google.com/open?id=194j5bxf8hHvd58MQybD5WjOwGInexIEl" TargetMode="External"/><Relationship Id="rId326" Type="http://schemas.openxmlformats.org/officeDocument/2006/relationships/hyperlink" Target="https://drive.google.com/file/d/1ZuQFEXLy22vzqIiEuopHtO4ZUFpUT-OE/view?usp=drivesdk" TargetMode="External"/><Relationship Id="rId533" Type="http://schemas.openxmlformats.org/officeDocument/2006/relationships/hyperlink" Target="https://drive.google.com/file/d/1fvYCJwzVLj-wMSwSzhF0u1imkoD7EuDa/view?usp=drivesdk" TargetMode="External"/><Relationship Id="rId740" Type="http://schemas.openxmlformats.org/officeDocument/2006/relationships/hyperlink" Target="https://drive.google.com/file/d/12oBorBhGy_-HQv8GzVrbpXrkmF9LmUXI/view?usp=drivesdk" TargetMode="External"/><Relationship Id="rId172" Type="http://schemas.openxmlformats.org/officeDocument/2006/relationships/hyperlink" Target="https://drive.google.com/open?id=1nmSTzMOPJ44ihLrZxIRF_IZH92i4-LBk" TargetMode="External"/><Relationship Id="rId477" Type="http://schemas.openxmlformats.org/officeDocument/2006/relationships/hyperlink" Target="https://drive.google.com/open?id=1EcfuLoXPo74jdEKA2Rt0FObCjdmkLUYi" TargetMode="External"/><Relationship Id="rId600" Type="http://schemas.openxmlformats.org/officeDocument/2006/relationships/hyperlink" Target="https://drive.google.com/open?id=1eHRt3FrlY1NeyXG2dhZgiq0IxWqyOb-C" TargetMode="External"/><Relationship Id="rId684" Type="http://schemas.openxmlformats.org/officeDocument/2006/relationships/hyperlink" Target="https://drive.google.com/file/d/1oz5zsTM1tlnhQR27zE-IF1K_27Uhezc1/view?usp=drivesdk" TargetMode="External"/><Relationship Id="rId337" Type="http://schemas.openxmlformats.org/officeDocument/2006/relationships/hyperlink" Target="https://drive.google.com/open?id=1H6OzlTiqKhlBdrqvkBMDjPEy6-MD9AiM" TargetMode="External"/><Relationship Id="rId34" Type="http://schemas.openxmlformats.org/officeDocument/2006/relationships/hyperlink" Target="https://drive.google.com/open?id=1E4csb5W-STQOw9FRg38eiP_P5pJUcJB4" TargetMode="External"/><Relationship Id="rId544" Type="http://schemas.openxmlformats.org/officeDocument/2006/relationships/hyperlink" Target="https://drive.google.com/open?id=1iGR_E4Z2vsNTTwrRZsBbdEgDmyD4JhcB" TargetMode="External"/><Relationship Id="rId751" Type="http://schemas.openxmlformats.org/officeDocument/2006/relationships/hyperlink" Target="https://drive.google.com/open?id=1Eyl5581CqGS3Hj1msDx0A94BZoOjVC6q" TargetMode="External"/><Relationship Id="rId183" Type="http://schemas.openxmlformats.org/officeDocument/2006/relationships/hyperlink" Target="https://drive.google.com/file/d/18z_AfrrI-iNwrYNgVLaSe4p7I4VdjRa4/view?usp=drivesdk" TargetMode="External"/><Relationship Id="rId390" Type="http://schemas.openxmlformats.org/officeDocument/2006/relationships/hyperlink" Target="https://drive.google.com/file/d/1CC5CvThiW4nxeYo-hB-5gGp8lsdTiG5U/view?usp=drivesdk" TargetMode="External"/><Relationship Id="rId404" Type="http://schemas.openxmlformats.org/officeDocument/2006/relationships/hyperlink" Target="https://drive.google.com/file/d/1duuAWDlZpCgvEFCrLDQ8Mwm5RiysIC5p/view?usp=drivesdk" TargetMode="External"/><Relationship Id="rId611" Type="http://schemas.openxmlformats.org/officeDocument/2006/relationships/hyperlink" Target="https://drive.google.com/file/d/1YQPERGCutZUqxiOJdtK3wk_Ju3yKqJmf/view?usp=drivesdk" TargetMode="External"/><Relationship Id="rId250" Type="http://schemas.openxmlformats.org/officeDocument/2006/relationships/hyperlink" Target="https://drive.google.com/open?id=1wmUTM0rvHM-7jXyPTKyxbLcpLQMnP6lS" TargetMode="External"/><Relationship Id="rId488" Type="http://schemas.openxmlformats.org/officeDocument/2006/relationships/hyperlink" Target="https://drive.google.com/open?id=11i5SNi8Fk71_QGJrzNtHYrXx2qx-PwUm" TargetMode="External"/><Relationship Id="rId695" Type="http://schemas.openxmlformats.org/officeDocument/2006/relationships/hyperlink" Target="https://drive.google.com/open?id=1D5tgK1E82bRTm8T1knCzTBRR-IuL5QYv" TargetMode="External"/><Relationship Id="rId709" Type="http://schemas.openxmlformats.org/officeDocument/2006/relationships/hyperlink" Target="https://drive.google.com/open?id=1Lzf6ghUkVjUvHWLDIb15qz2rKm_cixOv" TargetMode="External"/><Relationship Id="rId45" Type="http://schemas.openxmlformats.org/officeDocument/2006/relationships/hyperlink" Target="https://drive.google.com/file/d/1GnF5Jq5SgHl1wbOSotYT7yuCup9iQd5t/view?usp=drivesdk" TargetMode="External"/><Relationship Id="rId110" Type="http://schemas.openxmlformats.org/officeDocument/2006/relationships/hyperlink" Target="https://drive.google.com/open?id=16ATLLsdFV7EGPJqNlMV2ejRLfBkT65_D" TargetMode="External"/><Relationship Id="rId348" Type="http://schemas.openxmlformats.org/officeDocument/2006/relationships/hyperlink" Target="https://drive.google.com/file/d/1H4KTzG-IsOEjt7IHYKcCvumlZ2BtSUqk/view?usp=drivesdk" TargetMode="External"/><Relationship Id="rId555" Type="http://schemas.openxmlformats.org/officeDocument/2006/relationships/hyperlink" Target="https://drive.google.com/file/d/1gpyr4lRptJSTQmlwgHPi8ylxwcA3NpEC/view?usp=drivesdk" TargetMode="External"/><Relationship Id="rId762" Type="http://schemas.openxmlformats.org/officeDocument/2006/relationships/hyperlink" Target="https://drive.google.com/open?id=1Rx5fGMwMiaqW2Q80l9Q5c5-1lFEwKeO2" TargetMode="External"/><Relationship Id="rId194" Type="http://schemas.openxmlformats.org/officeDocument/2006/relationships/hyperlink" Target="https://drive.google.com/file/d/1dAwqXUclQLlI1T8jyA5r6B0ASSlr5YON/view?usp=drivesdk" TargetMode="External"/><Relationship Id="rId208" Type="http://schemas.openxmlformats.org/officeDocument/2006/relationships/hyperlink" Target="https://drive.google.com/open?id=11nEfu10yfIuIviluH4OzlFUgCGZHMsOL" TargetMode="External"/><Relationship Id="rId415" Type="http://schemas.openxmlformats.org/officeDocument/2006/relationships/hyperlink" Target="https://drive.google.com/open?id=14GCOM5Aw53Svsvr2vnbt4_dbBgEdbQus" TargetMode="External"/><Relationship Id="rId622" Type="http://schemas.openxmlformats.org/officeDocument/2006/relationships/hyperlink" Target="https://drive.google.com/open?id=1lBR22H6Kh9foh2TwlomEsKXkxHnNVU09" TargetMode="External"/><Relationship Id="rId261" Type="http://schemas.openxmlformats.org/officeDocument/2006/relationships/hyperlink" Target="https://drive.google.com/open?id=1BDO8IPQOWKgJlnGrduSKmy9kJVd-dJo9" TargetMode="External"/><Relationship Id="rId499" Type="http://schemas.openxmlformats.org/officeDocument/2006/relationships/hyperlink" Target="https://drive.google.com/file/d/1Ct_0eeEUa854FYw7d5cfek8hDE-DKM51/view?usp=drivesdk" TargetMode="External"/><Relationship Id="rId56" Type="http://schemas.openxmlformats.org/officeDocument/2006/relationships/hyperlink" Target="https://drive.google.com/open?id=1QEkp6U6e4u90Z3X-3aINY58kKwgjuygn" TargetMode="External"/><Relationship Id="rId359" Type="http://schemas.openxmlformats.org/officeDocument/2006/relationships/hyperlink" Target="https://drive.google.com/open?id=1ToQh-zRpk_WlpucmnutVYAyqHT-2h9kZ" TargetMode="External"/><Relationship Id="rId566" Type="http://schemas.openxmlformats.org/officeDocument/2006/relationships/hyperlink" Target="https://drive.google.com/open?id=1-phvnA5_MRRGhwPjZ73q6a5fcZoIDBEZ" TargetMode="External"/><Relationship Id="rId773" Type="http://schemas.openxmlformats.org/officeDocument/2006/relationships/hyperlink" Target="https://drive.google.com/file/d/1g59-xYPD4M9jXt-0yqUI_-3uexGOs9I9/view?usp=drivesdk" TargetMode="External"/><Relationship Id="rId121" Type="http://schemas.openxmlformats.org/officeDocument/2006/relationships/hyperlink" Target="https://drive.google.com/open?id=1ZlGNkOiVxAQSBR6l42nD-P2b9zftDtG2" TargetMode="External"/><Relationship Id="rId219" Type="http://schemas.openxmlformats.org/officeDocument/2006/relationships/hyperlink" Target="https://drive.google.com/file/d/1HP0l_egnqc4UswCHQdxGq-r7iQJQjX7N/view?usp=drivesdk" TargetMode="External"/><Relationship Id="rId426" Type="http://schemas.openxmlformats.org/officeDocument/2006/relationships/hyperlink" Target="https://drive.google.com/open?id=1dqwBQ0AtNXq-PV8kdPMpNsoGdGrbtiS1" TargetMode="External"/><Relationship Id="rId633" Type="http://schemas.openxmlformats.org/officeDocument/2006/relationships/hyperlink" Target="https://drive.google.com/file/d/1ksdcDJeEpqsgL1snJX-LWKcGjWX6thI7/view?usp=drivesdk" TargetMode="External"/><Relationship Id="rId67" Type="http://schemas.openxmlformats.org/officeDocument/2006/relationships/hyperlink" Target="https://drive.google.com/file/d/1U_QujdmXAUYZRz5C_KkUXTzwAeG5Fztp/view?usp=drivesdk" TargetMode="External"/><Relationship Id="rId272" Type="http://schemas.openxmlformats.org/officeDocument/2006/relationships/hyperlink" Target="https://drive.google.com/open?id=1F5xhdxkZ1OYz04cwXEkq0VT_tjdy7IPB" TargetMode="External"/><Relationship Id="rId577" Type="http://schemas.openxmlformats.org/officeDocument/2006/relationships/hyperlink" Target="https://drive.google.com/open?id=12UeDth3DStHJ72tvNn0HIviqxSD5qtXQ" TargetMode="External"/><Relationship Id="rId700" Type="http://schemas.openxmlformats.org/officeDocument/2006/relationships/hyperlink" Target="https://drive.google.com/open?id=1cZpxA5P2RE8_b3_XQbvPIWvKwors5WZ9" TargetMode="External"/><Relationship Id="rId132" Type="http://schemas.openxmlformats.org/officeDocument/2006/relationships/hyperlink" Target="https://drive.google.com/open?id=1DuN6bIsbuOiOuR1ATblM_dNgkdF3_jLy" TargetMode="External"/><Relationship Id="rId784" Type="http://schemas.openxmlformats.org/officeDocument/2006/relationships/hyperlink" Target="https://drive.google.com/open?id=1_j6DB0qigK7AJj42gAozVSyhEnB1eZva" TargetMode="External"/><Relationship Id="rId437" Type="http://schemas.openxmlformats.org/officeDocument/2006/relationships/hyperlink" Target="https://drive.google.com/file/d/19OdAnLYvPW-dLPjkNA5t-uHC4ObGqY4v/view?usp=drivesdk" TargetMode="External"/><Relationship Id="rId644" Type="http://schemas.openxmlformats.org/officeDocument/2006/relationships/hyperlink" Target="https://drive.google.com/file/d/1r6LS7F60SC8Hqb0GkXSxwmrncdFNd3b3/view?usp=drivesdk" TargetMode="External"/><Relationship Id="rId283" Type="http://schemas.openxmlformats.org/officeDocument/2006/relationships/hyperlink" Target="https://drive.google.com/open?id=1Cmbz5_COEacOd6-Wypa2pRLHw6o52ipm" TargetMode="External"/><Relationship Id="rId490" Type="http://schemas.openxmlformats.org/officeDocument/2006/relationships/hyperlink" Target="https://drive.google.com/open?id=1BYSsLWcDgxLqm7upDuOqiOKO9a_X27lp" TargetMode="External"/><Relationship Id="rId504" Type="http://schemas.openxmlformats.org/officeDocument/2006/relationships/hyperlink" Target="https://drive.google.com/file/d/1vwutWX-JwrIwAvW8VEDbWdMOOu3A9VK1/view?usp=drivesdk" TargetMode="External"/><Relationship Id="rId711" Type="http://schemas.openxmlformats.org/officeDocument/2006/relationships/hyperlink" Target="https://drive.google.com/open?id=190xC0WIqWzmJZwg1TkvfD4K9ymXWFXiw" TargetMode="External"/><Relationship Id="rId78" Type="http://schemas.openxmlformats.org/officeDocument/2006/relationships/hyperlink" Target="https://drive.google.com/open?id=1b7iLYDeTO2_GAwCfNxeuWQ4j5H8DrQ6f" TargetMode="External"/><Relationship Id="rId143" Type="http://schemas.openxmlformats.org/officeDocument/2006/relationships/hyperlink" Target="https://drive.google.com/file/d/1xuj1HhYsAZrJ2PolUk50qChSzoagT21m/view?usp=drivesdk" TargetMode="External"/><Relationship Id="rId350" Type="http://schemas.openxmlformats.org/officeDocument/2006/relationships/hyperlink" Target="https://drive.google.com/open?id=1D0xtIGib75JpcOeL7shhVxICaRjPgXTk" TargetMode="External"/><Relationship Id="rId588" Type="http://schemas.openxmlformats.org/officeDocument/2006/relationships/hyperlink" Target="https://drive.google.com/open?id=1rQRHN3sbdFM66X4KHudoOxzm69DvRer_" TargetMode="External"/><Relationship Id="rId795" Type="http://schemas.openxmlformats.org/officeDocument/2006/relationships/hyperlink" Target="https://drive.google.com/file/d/1TxhObEI3PcOCPunU0XgpCQFg5-Y63BLH/view?usp=drivesdk" TargetMode="External"/><Relationship Id="rId9" Type="http://schemas.openxmlformats.org/officeDocument/2006/relationships/hyperlink" Target="https://drive.google.com/file/d/1EvjlRBAVrIAOWUp1uoIG7LEz7ATejl9R/view?usp=drivesdk" TargetMode="External"/><Relationship Id="rId210" Type="http://schemas.openxmlformats.org/officeDocument/2006/relationships/hyperlink" Target="https://drive.google.com/open?id=1tnaOxZIXH5-IOreFXinQx6csJ4z-K9X4" TargetMode="External"/><Relationship Id="rId448" Type="http://schemas.openxmlformats.org/officeDocument/2006/relationships/hyperlink" Target="https://drive.google.com/open?id=1aQRJut4ZvaBFlvYoBKxCyeoLnSXN-DjR" TargetMode="External"/><Relationship Id="rId655" Type="http://schemas.openxmlformats.org/officeDocument/2006/relationships/hyperlink" Target="https://drive.google.com/open?id=1YxamQuGn0RJyCNFoEPZglloBjiyHVl6i" TargetMode="External"/><Relationship Id="rId294" Type="http://schemas.openxmlformats.org/officeDocument/2006/relationships/hyperlink" Target="https://drive.google.com/open?id=1B3VwmhE21LWC-Dm2hDYjTys1S6pAxSFF" TargetMode="External"/><Relationship Id="rId308" Type="http://schemas.openxmlformats.org/officeDocument/2006/relationships/hyperlink" Target="https://drive.google.com/open?id=17EEc6CzR6prbfFv1kleglCFLB_hCsxhR" TargetMode="External"/><Relationship Id="rId515" Type="http://schemas.openxmlformats.org/officeDocument/2006/relationships/hyperlink" Target="https://drive.google.com/open?id=1c4Dw9hIpXdxOmn9wGM0Pck7lkwmKjxLA" TargetMode="External"/><Relationship Id="rId722" Type="http://schemas.openxmlformats.org/officeDocument/2006/relationships/hyperlink" Target="https://drive.google.com/file/d/12bgeSg1D0jwQYKdANzZqhao6jrBa5rj1/view?usp=drivesdk" TargetMode="External"/><Relationship Id="rId89" Type="http://schemas.openxmlformats.org/officeDocument/2006/relationships/hyperlink" Target="https://drive.google.com/open?id=1Z73nzZVBDsXoeelvZ2Obqnt6XdhGo7pk" TargetMode="External"/><Relationship Id="rId154" Type="http://schemas.openxmlformats.org/officeDocument/2006/relationships/hyperlink" Target="https://drive.google.com/open?id=1-GtHLQMJpr-K1oJW_SXclPMmbXXYi-jK" TargetMode="External"/><Relationship Id="rId361" Type="http://schemas.openxmlformats.org/officeDocument/2006/relationships/hyperlink" Target="https://drive.google.com/open?id=1K2fnXVTXvZFKykQ57a1RBsivMqywfVJF" TargetMode="External"/><Relationship Id="rId599" Type="http://schemas.openxmlformats.org/officeDocument/2006/relationships/hyperlink" Target="https://drive.google.com/file/d/1s1ylbSN1ytg7BJEx7bMJ0Y_VJIvqFq3K/view?usp=drivesdk" TargetMode="External"/><Relationship Id="rId459" Type="http://schemas.openxmlformats.org/officeDocument/2006/relationships/hyperlink" Target="https://drive.google.com/file/d/1B8dIfsqMv0IX4jF0Wp0Qb1SxXx0dy5Zm/view?usp=drivesdk" TargetMode="External"/><Relationship Id="rId666" Type="http://schemas.openxmlformats.org/officeDocument/2006/relationships/hyperlink" Target="https://drive.google.com/file/d/1cPNFgrpmF69LA468p-bgOBu2jNYCitPM/view?usp=drivesdk" TargetMode="External"/><Relationship Id="rId16" Type="http://schemas.openxmlformats.org/officeDocument/2006/relationships/hyperlink" Target="https://drive.google.com/open?id=1JNVvb5MHz_uR3Se5WpFia029sUNc5CvC" TargetMode="External"/><Relationship Id="rId221" Type="http://schemas.openxmlformats.org/officeDocument/2006/relationships/hyperlink" Target="https://drive.google.com/open?id=1lXl8mcbKrrf6D8qCxW53exOrMsD3-msY" TargetMode="External"/><Relationship Id="rId319" Type="http://schemas.openxmlformats.org/officeDocument/2006/relationships/hyperlink" Target="https://drive.google.com/open?id=1k8ueO6yCN0DWKilhfSP32GfeoWfsDvqW" TargetMode="External"/><Relationship Id="rId526" Type="http://schemas.openxmlformats.org/officeDocument/2006/relationships/hyperlink" Target="https://drive.google.com/open?id=1jwli2HKtzrip8zRQSIquq0dNbrSxqyMO" TargetMode="External"/><Relationship Id="rId733" Type="http://schemas.openxmlformats.org/officeDocument/2006/relationships/hyperlink" Target="https://drive.google.com/open?id=1eXEfsAklstE_jVUK6fyojjB_qt0hV13_" TargetMode="External"/><Relationship Id="rId165" Type="http://schemas.openxmlformats.org/officeDocument/2006/relationships/hyperlink" Target="https://drive.google.com/open?id=1XJd3VVyk8QxGnJMeU9hqWR1103vycfpc" TargetMode="External"/><Relationship Id="rId372" Type="http://schemas.openxmlformats.org/officeDocument/2006/relationships/hyperlink" Target="https://drive.google.com/open?id=1kcJHnRSTYfZkr3B9l28pszDODgZTNPl1" TargetMode="External"/><Relationship Id="rId677" Type="http://schemas.openxmlformats.org/officeDocument/2006/relationships/hyperlink" Target="https://drive.google.com/open?id=1FD9n6dhUmQoGov9-o_FlaRGjjYa0GNuH" TargetMode="External"/><Relationship Id="rId232" Type="http://schemas.openxmlformats.org/officeDocument/2006/relationships/hyperlink" Target="https://drive.google.com/open?id=1HfC19LdDd8dOFq6VALCq6kjBPVzshWwJ" TargetMode="External"/><Relationship Id="rId27" Type="http://schemas.openxmlformats.org/officeDocument/2006/relationships/hyperlink" Target="https://drive.google.com/file/d/1rbCJ9fGlKrMK_wX_lh4yjxkZXgs290vw/view?usp=drivesdk" TargetMode="External"/><Relationship Id="rId537" Type="http://schemas.openxmlformats.org/officeDocument/2006/relationships/hyperlink" Target="https://drive.google.com/file/d/1NG_JBhoBkDRQaLO0s0DrRvK1Mrrzpa6c/view?usp=drivesdk" TargetMode="External"/><Relationship Id="rId744" Type="http://schemas.openxmlformats.org/officeDocument/2006/relationships/hyperlink" Target="https://drive.google.com/file/d/1s0Xo3OohramT6kLsgGwJ6Z1NpCcvPVBT/view?usp=drivesdk" TargetMode="External"/><Relationship Id="rId80" Type="http://schemas.openxmlformats.org/officeDocument/2006/relationships/hyperlink" Target="https://drive.google.com/open?id=1f7BauV_HURJdeOaOy528B_BsEqCXVuVk" TargetMode="External"/><Relationship Id="rId176" Type="http://schemas.openxmlformats.org/officeDocument/2006/relationships/hyperlink" Target="https://drive.google.com/file/d/1lm7G6G0V-aMxLKnGbSeW2X4A_jqH-iOM/view?usp=drivesdk" TargetMode="External"/><Relationship Id="rId383" Type="http://schemas.openxmlformats.org/officeDocument/2006/relationships/hyperlink" Target="https://drive.google.com/open?id=1wCzRtMXYnu9pVybzVyY0c2LYrBugwkQl" TargetMode="External"/><Relationship Id="rId590" Type="http://schemas.openxmlformats.org/officeDocument/2006/relationships/hyperlink" Target="https://drive.google.com/open?id=1KP2wU7MRkC1YUu1k-Me1P4fHsuk99U0R" TargetMode="External"/><Relationship Id="rId604" Type="http://schemas.openxmlformats.org/officeDocument/2006/relationships/hyperlink" Target="https://drive.google.com/open?id=11O8wcCKGSTyFvpXMons1LrFNZagpGUW3" TargetMode="External"/><Relationship Id="rId243" Type="http://schemas.openxmlformats.org/officeDocument/2006/relationships/hyperlink" Target="https://drive.google.com/file/d/1EXzBVCi1NvKg_Kv2Azxl_ARa7k8lpGOQ/view?usp=drivesdk" TargetMode="External"/><Relationship Id="rId450" Type="http://schemas.openxmlformats.org/officeDocument/2006/relationships/hyperlink" Target="https://drive.google.com/open?id=1V7IM3hVBNjHd1Q2j6wHLmSnti2rRBv8Y" TargetMode="External"/><Relationship Id="rId688" Type="http://schemas.openxmlformats.org/officeDocument/2006/relationships/hyperlink" Target="https://drive.google.com/file/d/1gdvMkyOIBtL_HP8AY-BYbxBpcovD8fI3/view?usp=drivesdk" TargetMode="External"/><Relationship Id="rId38" Type="http://schemas.openxmlformats.org/officeDocument/2006/relationships/hyperlink" Target="https://drive.google.com/open?id=1layLAjEW5waE-PElONo6q_d02rozq-Fj" TargetMode="External"/><Relationship Id="rId103" Type="http://schemas.openxmlformats.org/officeDocument/2006/relationships/hyperlink" Target="https://drive.google.com/open?id=1sK6HeLqWPPg_hDzXX8TStXEgzC_J0OtB" TargetMode="External"/><Relationship Id="rId310" Type="http://schemas.openxmlformats.org/officeDocument/2006/relationships/hyperlink" Target="https://drive.google.com/open?id=1b0DqOxuKwEtzMrEENH483VhJK-B7jxb3" TargetMode="External"/><Relationship Id="rId548" Type="http://schemas.openxmlformats.org/officeDocument/2006/relationships/hyperlink" Target="https://drive.google.com/open?id=1U-CnJNuXX1S2rHlXQR2l6nXYP1yLGf6z" TargetMode="External"/><Relationship Id="rId755" Type="http://schemas.openxmlformats.org/officeDocument/2006/relationships/hyperlink" Target="https://drive.google.com/open?id=1uJxV1QI5JsXOU4UbeRFVypM309r8n6av" TargetMode="External"/><Relationship Id="rId91" Type="http://schemas.openxmlformats.org/officeDocument/2006/relationships/hyperlink" Target="https://drive.google.com/open?id=1RmOfQW2PGka_V6WNPufdkcdoh--62LC-" TargetMode="External"/><Relationship Id="rId187" Type="http://schemas.openxmlformats.org/officeDocument/2006/relationships/hyperlink" Target="https://drive.google.com/open?id=1L8m_8cl_sFHRLFbZwZzkm7-namnXLEIX" TargetMode="External"/><Relationship Id="rId394" Type="http://schemas.openxmlformats.org/officeDocument/2006/relationships/hyperlink" Target="https://drive.google.com/file/d/11jHFTTuVfNENkSWhMT_84mRZf2pljwis/view?usp=drivesdk" TargetMode="External"/><Relationship Id="rId408" Type="http://schemas.openxmlformats.org/officeDocument/2006/relationships/hyperlink" Target="https://drive.google.com/open?id=1lBouXgxz4hkpyZBxwIqdm5LG7DshNSv0" TargetMode="External"/><Relationship Id="rId615" Type="http://schemas.openxmlformats.org/officeDocument/2006/relationships/hyperlink" Target="https://drive.google.com/file/d/1-nDf4qjiA1sg6JA95gLO66yg3JbWGEKm/view?usp=drivesdk" TargetMode="External"/><Relationship Id="rId254" Type="http://schemas.openxmlformats.org/officeDocument/2006/relationships/hyperlink" Target="https://drive.google.com/open?id=18gbMBtOsheY7ha0zah_GUJqgQ0OPnM3L" TargetMode="External"/><Relationship Id="rId699" Type="http://schemas.openxmlformats.org/officeDocument/2006/relationships/hyperlink" Target="https://drive.google.com/open?id=1LfamwvMgHMFzh1C4F4yD_mxU_rASbBj8" TargetMode="External"/><Relationship Id="rId49" Type="http://schemas.openxmlformats.org/officeDocument/2006/relationships/hyperlink" Target="https://drive.google.com/file/d/14gP-SNC_bdljk1sN3rMS-CeoNsr9HoU1/view?usp=drivesdk" TargetMode="External"/><Relationship Id="rId114" Type="http://schemas.openxmlformats.org/officeDocument/2006/relationships/hyperlink" Target="https://drive.google.com/open?id=1fjNxsrf9W7fYUvRpAigsHGf_U1kBjS3X" TargetMode="External"/><Relationship Id="rId461" Type="http://schemas.openxmlformats.org/officeDocument/2006/relationships/hyperlink" Target="https://drive.google.com/file/d/1c_ZdGmWK-fRzzFHZregRk8t-2zFkAdci/view?usp=drivesdk" TargetMode="External"/><Relationship Id="rId559" Type="http://schemas.openxmlformats.org/officeDocument/2006/relationships/hyperlink" Target="https://drive.google.com/file/d/17RSmpMNew1z7UgXChDilVcSlxSjwn0kC/view?usp=drivesdk" TargetMode="External"/><Relationship Id="rId766" Type="http://schemas.openxmlformats.org/officeDocument/2006/relationships/hyperlink" Target="https://drive.google.com/open?id=1Q6fmkvSdCQHmaKQiQE804IKcb8rXjSjD" TargetMode="External"/><Relationship Id="rId198" Type="http://schemas.openxmlformats.org/officeDocument/2006/relationships/hyperlink" Target="https://drive.google.com/file/d/1C0ppqcVAE73l1qoHaWlVQpzM4wbVRANl/view?usp=drivesdk" TargetMode="External"/><Relationship Id="rId321" Type="http://schemas.openxmlformats.org/officeDocument/2006/relationships/hyperlink" Target="https://drive.google.com/open?id=1NSMGnJeV80TtySLjwwwwfOdMm8hjHJyE" TargetMode="External"/><Relationship Id="rId419" Type="http://schemas.openxmlformats.org/officeDocument/2006/relationships/hyperlink" Target="https://drive.google.com/file/d/1hoLrcgQ7o30XTzVeKWnagnFJMtDvWLKO/view?usp=drivesdk" TargetMode="External"/><Relationship Id="rId626" Type="http://schemas.openxmlformats.org/officeDocument/2006/relationships/hyperlink" Target="https://drive.google.com/open?id=1TrHJJjzNXDEds7kZNeuJvHbmIeqxzs1J" TargetMode="External"/><Relationship Id="rId265" Type="http://schemas.openxmlformats.org/officeDocument/2006/relationships/hyperlink" Target="https://drive.google.com/open?id=1_FuZ6TTcrbkipetCBPYcL-0B5D1rx6rW" TargetMode="External"/><Relationship Id="rId472" Type="http://schemas.openxmlformats.org/officeDocument/2006/relationships/hyperlink" Target="https://drive.google.com/file/d/1pmVU6uBnfmCO6TeI6KM7nfLwqxd-w_ra/view?usp=drivesdk" TargetMode="External"/><Relationship Id="rId125" Type="http://schemas.openxmlformats.org/officeDocument/2006/relationships/hyperlink" Target="https://drive.google.com/open?id=1s3LFdyMeqFalnRmaui5QMwT40phv-BJm" TargetMode="External"/><Relationship Id="rId332" Type="http://schemas.openxmlformats.org/officeDocument/2006/relationships/hyperlink" Target="https://drive.google.com/open?id=1Ot7nzUstYzC486mZVkShIqToDW-UWy6u" TargetMode="External"/><Relationship Id="rId777" Type="http://schemas.openxmlformats.org/officeDocument/2006/relationships/hyperlink" Target="https://drive.google.com/file/d/1yTaQgJbLzS3zwuqT2_r8p9ntZNwGkDlv/view?usp=drivesdk" TargetMode="External"/><Relationship Id="rId637" Type="http://schemas.openxmlformats.org/officeDocument/2006/relationships/hyperlink" Target="https://drive.google.com/file/d/12Lqeh40O7i12lrnxgQiOaExqebMo8tQB/view?usp=drivesdk" TargetMode="External"/><Relationship Id="rId276" Type="http://schemas.openxmlformats.org/officeDocument/2006/relationships/hyperlink" Target="https://drive.google.com/open?id=1ThZpkxvFQZMg3DuQjg4Rxi2fB92wgSJa" TargetMode="External"/><Relationship Id="rId483" Type="http://schemas.openxmlformats.org/officeDocument/2006/relationships/hyperlink" Target="https://drive.google.com/file/d/1TMN_QGC_zA-3F0fPDZx5HbpjJTrMZCmz/view?usp=drivesdk" TargetMode="External"/><Relationship Id="rId690" Type="http://schemas.openxmlformats.org/officeDocument/2006/relationships/hyperlink" Target="https://drive.google.com/file/d/19UBwkQ3EMPTry0QgmAcdq9D0VXtL--us/view?usp=drivesdk" TargetMode="External"/><Relationship Id="rId704" Type="http://schemas.openxmlformats.org/officeDocument/2006/relationships/hyperlink" Target="https://drive.google.com/open?id=1_6YUWgd8NKvTTa_mYSnaql3RRmqDs1qt" TargetMode="External"/><Relationship Id="rId40" Type="http://schemas.openxmlformats.org/officeDocument/2006/relationships/hyperlink" Target="https://drive.google.com/open?id=1VFbJnLngCWLAnS2WIsiPL5ZOy0hUYxra" TargetMode="External"/><Relationship Id="rId136" Type="http://schemas.openxmlformats.org/officeDocument/2006/relationships/hyperlink" Target="https://drive.google.com/open?id=1J29laIM0JiLBc8SqJgIInKanMKUsWC-U" TargetMode="External"/><Relationship Id="rId343" Type="http://schemas.openxmlformats.org/officeDocument/2006/relationships/hyperlink" Target="https://drive.google.com/file/d/1EIZTPIZLkxKG7YJ4VWH_fUT776saiiXT/view?usp=drivesdk" TargetMode="External"/><Relationship Id="rId550" Type="http://schemas.openxmlformats.org/officeDocument/2006/relationships/hyperlink" Target="https://drive.google.com/open?id=1HOKGkLmGgmCqw5f1mPhQQH98KZJbikrg" TargetMode="External"/><Relationship Id="rId788" Type="http://schemas.openxmlformats.org/officeDocument/2006/relationships/hyperlink" Target="https://drive.google.com/open?id=1v2q-4kh4YqQW12ZM3u-DtKWZeXttuLQY" TargetMode="External"/><Relationship Id="rId203" Type="http://schemas.openxmlformats.org/officeDocument/2006/relationships/hyperlink" Target="https://drive.google.com/open?id=1n1k3SqTPXXdb95exagphXtp8hoPs_bRe" TargetMode="External"/><Relationship Id="rId648" Type="http://schemas.openxmlformats.org/officeDocument/2006/relationships/hyperlink" Target="https://drive.google.com/file/d/1UNJj0hxgZoTpRi_lFbr6H1aC8JRDCj7f/view?usp=drivesdk" TargetMode="External"/><Relationship Id="rId287" Type="http://schemas.openxmlformats.org/officeDocument/2006/relationships/hyperlink" Target="https://drive.google.com/file/d/1ehuZK4-9B2dlj2neVhJ-Y12KnsS2vyPl/view?usp=drivesdk" TargetMode="External"/><Relationship Id="rId410" Type="http://schemas.openxmlformats.org/officeDocument/2006/relationships/hyperlink" Target="https://drive.google.com/file/d/1z_meZ4x6T8HbdlhzipjfKAvUbA-6yykm/view?usp=drivesdk" TargetMode="External"/><Relationship Id="rId494" Type="http://schemas.openxmlformats.org/officeDocument/2006/relationships/hyperlink" Target="https://drive.google.com/open?id=1NgKNnGqceYqEVcd7CSOIOBE-QWPAzi5U" TargetMode="External"/><Relationship Id="rId508" Type="http://schemas.openxmlformats.org/officeDocument/2006/relationships/hyperlink" Target="https://drive.google.com/file/d/1W32e0Scsxt27L6rb-qSf3qDy0yp7geqE/view?usp=drivesdk" TargetMode="External"/><Relationship Id="rId715" Type="http://schemas.openxmlformats.org/officeDocument/2006/relationships/hyperlink" Target="https://drive.google.com/open?id=1R65QIAANHQCxsGdRzrm7tyiIfSY0fuKB" TargetMode="External"/><Relationship Id="rId147" Type="http://schemas.openxmlformats.org/officeDocument/2006/relationships/hyperlink" Target="https://drive.google.com/open?id=188LySejn2nonP8yXnS7kCg4ra4DoxsYv" TargetMode="External"/><Relationship Id="rId354" Type="http://schemas.openxmlformats.org/officeDocument/2006/relationships/hyperlink" Target="https://drive.google.com/open?id=18digA0SBWsJ0Fd1WI7gpCwMpp4ZFkXBm" TargetMode="External"/><Relationship Id="rId51" Type="http://schemas.openxmlformats.org/officeDocument/2006/relationships/hyperlink" Target="https://drive.google.com/file/d/1Tmk_OEOPy4g1cxTddw5k7pd1DTl4IJ_W/view?usp=drivesdk" TargetMode="External"/><Relationship Id="rId561" Type="http://schemas.openxmlformats.org/officeDocument/2006/relationships/hyperlink" Target="https://drive.google.com/file/d/1YUKZBG5u4jHjLV_I3Gd-qUd1-JrGXTKL/view?usp=drivesdk" TargetMode="External"/><Relationship Id="rId659" Type="http://schemas.openxmlformats.org/officeDocument/2006/relationships/hyperlink" Target="https://drive.google.com/open?id=1iFjITDLXK7VFyEP5_NpZJySSTlYKAZl5" TargetMode="External"/><Relationship Id="rId214" Type="http://schemas.openxmlformats.org/officeDocument/2006/relationships/hyperlink" Target="https://drive.google.com/open?id=13BgRupaXjFWMGvBMOeHShfiUjNb4_Iz7" TargetMode="External"/><Relationship Id="rId298" Type="http://schemas.openxmlformats.org/officeDocument/2006/relationships/hyperlink" Target="https://drive.google.com/open?id=1Fwgzi6LKkyd9H4WYZ2hkmw0sOqr60lB-" TargetMode="External"/><Relationship Id="rId421" Type="http://schemas.openxmlformats.org/officeDocument/2006/relationships/hyperlink" Target="https://drive.google.com/file/d/1b-CKGrgSxef3_8b7zpyN3q89PqnKo6uV/view?usp=drivesdk" TargetMode="External"/><Relationship Id="rId519" Type="http://schemas.openxmlformats.org/officeDocument/2006/relationships/hyperlink" Target="https://drive.google.com/open?id=1_iPepfyD7ZPwRWcC1gG03p6rkafooVlw" TargetMode="External"/><Relationship Id="rId158" Type="http://schemas.openxmlformats.org/officeDocument/2006/relationships/hyperlink" Target="https://drive.google.com/open?id=15rkxskjSSz2NXTeNdUa9TKNTwVqBehWa" TargetMode="External"/><Relationship Id="rId726" Type="http://schemas.openxmlformats.org/officeDocument/2006/relationships/hyperlink" Target="https://drive.google.com/file/d/1GiZ0bOFnzXQCwlCevu3XhEVyKAen8GiK/view?usp=drivesdk" TargetMode="External"/><Relationship Id="rId62" Type="http://schemas.openxmlformats.org/officeDocument/2006/relationships/hyperlink" Target="https://drive.google.com/open?id=1FncvB5Vcx9so08LAIrt9gIqtGLq8KJY4" TargetMode="External"/><Relationship Id="rId365" Type="http://schemas.openxmlformats.org/officeDocument/2006/relationships/hyperlink" Target="https://drive.google.com/open?id=1fXXAJtZ6xZmPzZvl3SEC1tEKLTyw_Iou" TargetMode="External"/><Relationship Id="rId572" Type="http://schemas.openxmlformats.org/officeDocument/2006/relationships/hyperlink" Target="https://drive.google.com/open?id=1Xbfva34DV7VCm3InAeaqesfot_WhAVS4" TargetMode="External"/><Relationship Id="rId225" Type="http://schemas.openxmlformats.org/officeDocument/2006/relationships/hyperlink" Target="https://drive.google.com/file/d/1OMB9Rz-6NUlJIfq3D9a4RDDKlp0vSnR8/view?usp=drivesdk" TargetMode="External"/><Relationship Id="rId432" Type="http://schemas.openxmlformats.org/officeDocument/2006/relationships/hyperlink" Target="https://drive.google.com/open?id=19W4T_kQRTVZXsx74EUtPPrl_IdXQUzg4" TargetMode="External"/><Relationship Id="rId737" Type="http://schemas.openxmlformats.org/officeDocument/2006/relationships/hyperlink" Target="https://drive.google.com/open?id=1nIOqqLxxWzUSHEXVkHTKMu8UqppUllkU" TargetMode="External"/><Relationship Id="rId73" Type="http://schemas.openxmlformats.org/officeDocument/2006/relationships/hyperlink" Target="https://drive.google.com/open?id=1N4I-rJoRqYO6-z-q8FDA3RPsKlCAo8yZ" TargetMode="External"/><Relationship Id="rId169" Type="http://schemas.openxmlformats.org/officeDocument/2006/relationships/hyperlink" Target="https://drive.google.com/file/d/14Go4fTBTqrN3sJF1t0fq4D2U1KhRgpua/view?usp=drivesdk" TargetMode="External"/><Relationship Id="rId376" Type="http://schemas.openxmlformats.org/officeDocument/2006/relationships/hyperlink" Target="https://drive.google.com/file/d/1uE9i4p1ygXHRQFBx0vHJQEk9cFKTbBFf/view?usp=drivesdk" TargetMode="External"/><Relationship Id="rId583" Type="http://schemas.openxmlformats.org/officeDocument/2006/relationships/hyperlink" Target="https://drive.google.com/file/d/1BW5YH-53dGjZeUSkUec5FOuvfvVTWbWT/view?usp=drivesdk" TargetMode="External"/><Relationship Id="rId790" Type="http://schemas.openxmlformats.org/officeDocument/2006/relationships/hyperlink" Target="https://drive.google.com/open?id=1y2qD4wd4tDgkcXaQD7yK5oTP4OfOIvjX" TargetMode="External"/><Relationship Id="rId4" Type="http://schemas.openxmlformats.org/officeDocument/2006/relationships/hyperlink" Target="https://drive.google.com/open?id=1-nHm9EXUgpOrxGSEEER_gd2MzcM0-AUU" TargetMode="External"/><Relationship Id="rId236" Type="http://schemas.openxmlformats.org/officeDocument/2006/relationships/hyperlink" Target="https://drive.google.com/file/d/1iprFmOu52sRtvGKWRU96802hpGNyQXM_/view?usp=drivesdk" TargetMode="External"/><Relationship Id="rId443" Type="http://schemas.openxmlformats.org/officeDocument/2006/relationships/hyperlink" Target="https://drive.google.com/open?id=1UilDIsyFUoCzRhrVBqJEJzR8NQc7yiNn" TargetMode="External"/><Relationship Id="rId650" Type="http://schemas.openxmlformats.org/officeDocument/2006/relationships/hyperlink" Target="https://drive.google.com/file/d/1ohcpJlLC-bPq4O4XKR3TZMUiUqErGT6L/view?usp=drivesdk" TargetMode="External"/><Relationship Id="rId303" Type="http://schemas.openxmlformats.org/officeDocument/2006/relationships/hyperlink" Target="https://drive.google.com/file/d/1PFRCt8sycm8AWpyalh9WXadPHHz93pp0/view?usp=drivesdk" TargetMode="External"/><Relationship Id="rId748" Type="http://schemas.openxmlformats.org/officeDocument/2006/relationships/hyperlink" Target="https://drive.google.com/file/d/1O1cdxE8fw9pN4YEOIFSAaVti_K6ZQJ3q/view?usp=drivesdk" TargetMode="External"/><Relationship Id="rId84" Type="http://schemas.openxmlformats.org/officeDocument/2006/relationships/hyperlink" Target="https://drive.google.com/file/d/14Nv3YO6iRspLKQg4h1unQeYheO1cExyR/view?usp=drivesdk" TargetMode="External"/><Relationship Id="rId387" Type="http://schemas.openxmlformats.org/officeDocument/2006/relationships/hyperlink" Target="https://drive.google.com/file/d/1P2lXp25hQPLPKdy6bz7PF9iZCLDP2mpP/view?usp=drivesdk" TargetMode="External"/><Relationship Id="rId510" Type="http://schemas.openxmlformats.org/officeDocument/2006/relationships/hyperlink" Target="https://drive.google.com/file/d/13XIdiA3ZkzdsphwtK4dMdS282WHtqlFG/view?usp=drivesdk" TargetMode="External"/><Relationship Id="rId594" Type="http://schemas.openxmlformats.org/officeDocument/2006/relationships/hyperlink" Target="https://drive.google.com/open?id=19OZbmGH-7xLvyIcVnsIxM1Ci-RmxVHxD" TargetMode="External"/><Relationship Id="rId608" Type="http://schemas.openxmlformats.org/officeDocument/2006/relationships/hyperlink" Target="https://drive.google.com/open?id=16bcTdUkpko9UY8pQ_jPrs19LULHlZ76J" TargetMode="External"/><Relationship Id="rId247" Type="http://schemas.openxmlformats.org/officeDocument/2006/relationships/hyperlink" Target="https://drive.google.com/file/d/1s-ypow4CYfD0fMgdS_LSWdHn5Vk3M7tq/view?usp=drivesdk" TargetMode="External"/><Relationship Id="rId107" Type="http://schemas.openxmlformats.org/officeDocument/2006/relationships/hyperlink" Target="https://drive.google.com/open?id=1E0fThNgGcTVzGkiYXgSDjtsMTaiijxAO" TargetMode="External"/><Relationship Id="rId454" Type="http://schemas.openxmlformats.org/officeDocument/2006/relationships/hyperlink" Target="https://drive.google.com/open?id=1UZqqiEZ4zNrqJWYpeQYNd6yqqlUHfQLh" TargetMode="External"/><Relationship Id="rId661" Type="http://schemas.openxmlformats.org/officeDocument/2006/relationships/hyperlink" Target="https://drive.google.com/open?id=1tcmIculGLkIDbV-3yfmJ33sRZnAlTQo2" TargetMode="External"/><Relationship Id="rId759" Type="http://schemas.openxmlformats.org/officeDocument/2006/relationships/hyperlink" Target="https://drive.google.com/open?id=1wRQJ-OEZAjEZLcM3fA170nBV4m5jhSTG" TargetMode="External"/><Relationship Id="rId11" Type="http://schemas.openxmlformats.org/officeDocument/2006/relationships/hyperlink" Target="https://drive.google.com/file/d/1XjXJtEPl3B4Z5iGDIg75rMCNXz0i-1_f/view?usp=drivesdk" TargetMode="External"/><Relationship Id="rId314" Type="http://schemas.openxmlformats.org/officeDocument/2006/relationships/hyperlink" Target="https://drive.google.com/open?id=16_KH0B4EQV_TPeJCS0WU1D5CcljtfXlO" TargetMode="External"/><Relationship Id="rId398" Type="http://schemas.openxmlformats.org/officeDocument/2006/relationships/hyperlink" Target="https://drive.google.com/open?id=1GtmLL5Vbz0LL935tvTIdIL3TgTLt0xKh" TargetMode="External"/><Relationship Id="rId521" Type="http://schemas.openxmlformats.org/officeDocument/2006/relationships/hyperlink" Target="https://drive.google.com/open?id=1Ko5uA2XbtMfaW70zPyxTaKJCtgMATF-P" TargetMode="External"/><Relationship Id="rId619" Type="http://schemas.openxmlformats.org/officeDocument/2006/relationships/hyperlink" Target="https://drive.google.com/file/d/14oQmslqziXfYpmRSZqzcFaubZyPCX9Jj/view?usp=drivesdk" TargetMode="External"/><Relationship Id="rId95" Type="http://schemas.openxmlformats.org/officeDocument/2006/relationships/hyperlink" Target="https://drive.google.com/open?id=1oQsAvkXWCUF9n6b2_aeH4kFyF8shv37-" TargetMode="External"/><Relationship Id="rId160" Type="http://schemas.openxmlformats.org/officeDocument/2006/relationships/hyperlink" Target="https://drive.google.com/file/d/18fhfPVEKzt-7NNZAcz00ExkCsVDMavRC/view?usp=drivesdk" TargetMode="External"/><Relationship Id="rId258" Type="http://schemas.openxmlformats.org/officeDocument/2006/relationships/hyperlink" Target="https://drive.google.com/open?id=1Yt-phJOnOF62nN5bANxt6upLBSC4QsSZ" TargetMode="External"/><Relationship Id="rId465" Type="http://schemas.openxmlformats.org/officeDocument/2006/relationships/hyperlink" Target="https://drive.google.com/file/d/1ywrFU-aJ2v1QwzHmTRDSVmY8GaNKdLbW/view?usp=drivesdk" TargetMode="External"/><Relationship Id="rId672" Type="http://schemas.openxmlformats.org/officeDocument/2006/relationships/hyperlink" Target="https://drive.google.com/file/d/1Yo4yEM4V9wBLZaodFCBsHNqDNu65lWgz/view?usp=drivesdk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-JlOBkhsUxG-7ImEr68jtIx3WRFUWzE9" TargetMode="External"/><Relationship Id="rId671" Type="http://schemas.openxmlformats.org/officeDocument/2006/relationships/hyperlink" Target="https://drive.google.com/open?id=1abGO91-Vh3-KDwyK13YB-ukzK30YHhTi" TargetMode="External"/><Relationship Id="rId769" Type="http://schemas.openxmlformats.org/officeDocument/2006/relationships/hyperlink" Target="https://drive.google.com/file/d/1Hc_PXE3KSltFSYinW7cWkK8pjvTAVlqm/view?usp=drivesdk" TargetMode="External"/><Relationship Id="rId21" Type="http://schemas.openxmlformats.org/officeDocument/2006/relationships/hyperlink" Target="https://drive.google.com/file/d/1gt_POAXQ21jIiShA8tSKzkmzmGd0Kr9g/view?usp=drivesdk" TargetMode="External"/><Relationship Id="rId324" Type="http://schemas.openxmlformats.org/officeDocument/2006/relationships/hyperlink" Target="https://drive.google.com/file/d/13wPwUfth8YqGAiuXal5eNfOk5331XZ33/view?usp=drivesdk" TargetMode="External"/><Relationship Id="rId531" Type="http://schemas.openxmlformats.org/officeDocument/2006/relationships/hyperlink" Target="https://drive.google.com/file/d/1MqEIHa6xN_4kdYW5Amc9dlH5NJahBWFa/view?usp=drivesdk" TargetMode="External"/><Relationship Id="rId629" Type="http://schemas.openxmlformats.org/officeDocument/2006/relationships/hyperlink" Target="https://drive.google.com/file/d/1Id_GSYWaVLKuW7iv4Oi0_96S9hezjEN1/view?usp=drivesdk" TargetMode="External"/><Relationship Id="rId170" Type="http://schemas.openxmlformats.org/officeDocument/2006/relationships/hyperlink" Target="https://drive.google.com/open?id=1gPOJCOuwVVOrMQGPpLhV2Cba2Nyb-mam" TargetMode="External"/><Relationship Id="rId268" Type="http://schemas.openxmlformats.org/officeDocument/2006/relationships/hyperlink" Target="https://drive.google.com/open?id=1DFWKlq5FAH56c_FhB8BVJRa8FTWttKNz" TargetMode="External"/><Relationship Id="rId475" Type="http://schemas.openxmlformats.org/officeDocument/2006/relationships/hyperlink" Target="https://drive.google.com/open?id=1_OYkOBXq3Gu5uFzLRptUyU3tqBmgPsOa" TargetMode="External"/><Relationship Id="rId682" Type="http://schemas.openxmlformats.org/officeDocument/2006/relationships/hyperlink" Target="https://drive.google.com/file/d/1eI1z8pcpeNBW8K1fB0ieF8FePqiLFyvC/view?usp=drivesdk" TargetMode="External"/><Relationship Id="rId32" Type="http://schemas.openxmlformats.org/officeDocument/2006/relationships/hyperlink" Target="https://drive.google.com/open?id=1XJn7exgblE_C0cdVs8mVs4BYmXENPaed" TargetMode="External"/><Relationship Id="rId128" Type="http://schemas.openxmlformats.org/officeDocument/2006/relationships/hyperlink" Target="https://drive.google.com/file/d/1emSs0Wb-vszNXcXUTm7_Nm5uuZ0C2W9A/view?usp=drivesdk" TargetMode="External"/><Relationship Id="rId335" Type="http://schemas.openxmlformats.org/officeDocument/2006/relationships/hyperlink" Target="https://drive.google.com/open?id=1ORvOngVtfUlG-9CyHLyc3bC7UIS6pAKp" TargetMode="External"/><Relationship Id="rId542" Type="http://schemas.openxmlformats.org/officeDocument/2006/relationships/hyperlink" Target="https://drive.google.com/open?id=1YpCQGMANhSLSjMsw1A0cVwOqeDu9wnsf" TargetMode="External"/><Relationship Id="rId181" Type="http://schemas.openxmlformats.org/officeDocument/2006/relationships/hyperlink" Target="https://drive.google.com/file/d/1OfSxwisVVx10Lewjhn3Jx8Rr2FjObqHA/view?usp=drivesdk" TargetMode="External"/><Relationship Id="rId402" Type="http://schemas.openxmlformats.org/officeDocument/2006/relationships/hyperlink" Target="https://drive.google.com/open?id=10sI4Qo06dxQQtAtCQUyzSp52whnhIFz5" TargetMode="External"/><Relationship Id="rId279" Type="http://schemas.openxmlformats.org/officeDocument/2006/relationships/hyperlink" Target="https://drive.google.com/open?id=1EcVxtN9dv15cYho_5juDQU1P4AKGTRNH" TargetMode="External"/><Relationship Id="rId486" Type="http://schemas.openxmlformats.org/officeDocument/2006/relationships/hyperlink" Target="https://drive.google.com/open?id=1qlrbjOcU119dl4GpL70ind_P-vzX9Ge0" TargetMode="External"/><Relationship Id="rId693" Type="http://schemas.openxmlformats.org/officeDocument/2006/relationships/hyperlink" Target="https://drive.google.com/open?id=1r8lhsDsZB1mTBwxbps_rfzhzJYlY8199" TargetMode="External"/><Relationship Id="rId707" Type="http://schemas.openxmlformats.org/officeDocument/2006/relationships/hyperlink" Target="https://drive.google.com/open?id=1GMtyusqJkZjBNItQPrvTSobxl9PJc--3" TargetMode="External"/><Relationship Id="rId43" Type="http://schemas.openxmlformats.org/officeDocument/2006/relationships/hyperlink" Target="https://drive.google.com/file/d/1_SujYlKbyvK7wiJSAKSl8u8zn_EMD8ZY/view?usp=drivesdk" TargetMode="External"/><Relationship Id="rId139" Type="http://schemas.openxmlformats.org/officeDocument/2006/relationships/hyperlink" Target="https://drive.google.com/open?id=1mkmjQL_YPptkRE3hNw4ehb8QdoHrJy5p" TargetMode="External"/><Relationship Id="rId346" Type="http://schemas.openxmlformats.org/officeDocument/2006/relationships/hyperlink" Target="https://drive.google.com/open?id=1LobfRd9C-d4R6m55FLZ2DiaRknSg_JLN" TargetMode="External"/><Relationship Id="rId553" Type="http://schemas.openxmlformats.org/officeDocument/2006/relationships/hyperlink" Target="https://drive.google.com/file/d/1Id7shPD4oY2v_qEsybZYZujTjh3Uem9A/view?usp=drivesdk" TargetMode="External"/><Relationship Id="rId760" Type="http://schemas.openxmlformats.org/officeDocument/2006/relationships/hyperlink" Target="https://drive.google.com/file/d/1LeKHa9S1NtfeRObdlYOcT1DDHkGXUcSf/view?usp=drivesdk" TargetMode="External"/><Relationship Id="rId192" Type="http://schemas.openxmlformats.org/officeDocument/2006/relationships/hyperlink" Target="https://drive.google.com/file/d/1lOzRiMbHi4yiGvzy7cGboHF1lps7CV2A/view?usp=drivesdk" TargetMode="External"/><Relationship Id="rId206" Type="http://schemas.openxmlformats.org/officeDocument/2006/relationships/hyperlink" Target="https://drive.google.com/open?id=1B0pqri8k2E8kFPMNGbPuens5AiLd-zRk" TargetMode="External"/><Relationship Id="rId413" Type="http://schemas.openxmlformats.org/officeDocument/2006/relationships/hyperlink" Target="https://drive.google.com/open?id=1_Xw-9Nhgn8-HEoNMEniuarFOQAsw6Hnp" TargetMode="External"/><Relationship Id="rId497" Type="http://schemas.openxmlformats.org/officeDocument/2006/relationships/hyperlink" Target="https://drive.google.com/open?id=1jRf8wC0B0RHbg_niDOnQYUg2DRoXdazy" TargetMode="External"/><Relationship Id="rId620" Type="http://schemas.openxmlformats.org/officeDocument/2006/relationships/hyperlink" Target="https://drive.google.com/open?id=1R0xsZ3JB5WgoYfr2w3W-xVpxfuR93nW8" TargetMode="External"/><Relationship Id="rId718" Type="http://schemas.openxmlformats.org/officeDocument/2006/relationships/hyperlink" Target="https://drive.google.com/file/d/122Wnl2IaBaRm_dHwwNkaH72w63JJAxnk/view?usp=drivesdk" TargetMode="External"/><Relationship Id="rId357" Type="http://schemas.openxmlformats.org/officeDocument/2006/relationships/hyperlink" Target="https://drive.google.com/open?id=1yy1-xSodyKoG1L2mee-gtFCVC9QGwDB-" TargetMode="External"/><Relationship Id="rId54" Type="http://schemas.openxmlformats.org/officeDocument/2006/relationships/hyperlink" Target="https://drive.google.com/open?id=1xr_rr_Y7jZ8X2AS0bNQHe3ibHlF8bdy2" TargetMode="External"/><Relationship Id="rId217" Type="http://schemas.openxmlformats.org/officeDocument/2006/relationships/hyperlink" Target="https://drive.google.com/file/d/1m6lizUGKRNkI2JbXIN3IOQDDAZnAAs9a/view?usp=drivesdk" TargetMode="External"/><Relationship Id="rId564" Type="http://schemas.openxmlformats.org/officeDocument/2006/relationships/hyperlink" Target="https://drive.google.com/open?id=1e9cixQcwKZsB2Xyl1fAwFmLlkkuBh9A1" TargetMode="External"/><Relationship Id="rId771" Type="http://schemas.openxmlformats.org/officeDocument/2006/relationships/hyperlink" Target="https://drive.google.com/file/d/1O2uh7X6musbRuEJSmlvXqBYl9FQZKxSO/view?usp=drivesdk" TargetMode="External"/><Relationship Id="rId424" Type="http://schemas.openxmlformats.org/officeDocument/2006/relationships/hyperlink" Target="https://drive.google.com/file/d/1VN8NPiPsKi9E1tP_a-ufkKJxQSo7EdwY/view?usp=drivesdk" TargetMode="External"/><Relationship Id="rId631" Type="http://schemas.openxmlformats.org/officeDocument/2006/relationships/hyperlink" Target="https://drive.google.com/file/d/1c2kj7u07NsxmQR6WHC_GhkdhR6xx2l8-/view?usp=drivesdk" TargetMode="External"/><Relationship Id="rId729" Type="http://schemas.openxmlformats.org/officeDocument/2006/relationships/hyperlink" Target="https://drive.google.com/open?id=1UuDuhLSE3VFFPtxoOqulaoo1fjlxxpzZ" TargetMode="External"/><Relationship Id="rId270" Type="http://schemas.openxmlformats.org/officeDocument/2006/relationships/hyperlink" Target="https://drive.google.com/open?id=1mGRIBvx9UKS6lDNqqyIRdQYPsI6-8IzE" TargetMode="External"/><Relationship Id="rId65" Type="http://schemas.openxmlformats.org/officeDocument/2006/relationships/hyperlink" Target="https://drive.google.com/file/d/1Pvsg3IngayRTExM_QWDU8J9mMJg6jD81/view?usp=drivesdk" TargetMode="External"/><Relationship Id="rId130" Type="http://schemas.openxmlformats.org/officeDocument/2006/relationships/hyperlink" Target="https://drive.google.com/open?id=1UtVdy_RjMIhep5DDkvzLWLhsmyIAbNsL" TargetMode="External"/><Relationship Id="rId368" Type="http://schemas.openxmlformats.org/officeDocument/2006/relationships/hyperlink" Target="https://drive.google.com/file/d/133039foHt4mmsYvKqOXfZy2WLyh74vvu/view?usp=drivesdk" TargetMode="External"/><Relationship Id="rId575" Type="http://schemas.openxmlformats.org/officeDocument/2006/relationships/hyperlink" Target="https://drive.google.com/file/d/15JkxHeXbztKIq-BCbqNcLhFmNthJkpdd/view?usp=drivesdk" TargetMode="External"/><Relationship Id="rId782" Type="http://schemas.openxmlformats.org/officeDocument/2006/relationships/hyperlink" Target="https://drive.google.com/open?id=1_JUM-Dzr0Tv1XNL-uaCLH8CjHS214BKH" TargetMode="External"/><Relationship Id="rId228" Type="http://schemas.openxmlformats.org/officeDocument/2006/relationships/hyperlink" Target="https://drive.google.com/open?id=1mLR8w0ehbTr7JkkjSSgin78J7WinvqIs" TargetMode="External"/><Relationship Id="rId435" Type="http://schemas.openxmlformats.org/officeDocument/2006/relationships/hyperlink" Target="https://drive.google.com/file/d/1OkO1v9WonRo9mKweblBAdHpyU1jfukZZ/view?usp=drivesdk" TargetMode="External"/><Relationship Id="rId642" Type="http://schemas.openxmlformats.org/officeDocument/2006/relationships/hyperlink" Target="https://drive.google.com/open?id=1txQzlUvpdkOCWZC9jKSKZ_GltLFJZoW4" TargetMode="External"/><Relationship Id="rId281" Type="http://schemas.openxmlformats.org/officeDocument/2006/relationships/hyperlink" Target="https://drive.google.com/open?id=1SZNq3ylZ9TDwS_EXoI0YkJcYgGduZzjG" TargetMode="External"/><Relationship Id="rId502" Type="http://schemas.openxmlformats.org/officeDocument/2006/relationships/hyperlink" Target="https://drive.google.com/open?id=1HNbSVz0QdE0ypkrLN5tnA-VkjsrIcsyf" TargetMode="External"/><Relationship Id="rId76" Type="http://schemas.openxmlformats.org/officeDocument/2006/relationships/hyperlink" Target="https://drive.google.com/file/d/1DhGseUBDz8r54aw6wcyydwSL3BTLCH8x/view?usp=drivesdk" TargetMode="External"/><Relationship Id="rId141" Type="http://schemas.openxmlformats.org/officeDocument/2006/relationships/hyperlink" Target="https://drive.google.com/file/d/1NbX6Tlzaihu3k_UpWRg_8KklRm0ONtYd/view?usp=drivesdk" TargetMode="External"/><Relationship Id="rId379" Type="http://schemas.openxmlformats.org/officeDocument/2006/relationships/hyperlink" Target="https://drive.google.com/open?id=1PFmq1RtHXpOEK5VTTSuDNiOOTIPhn5Ug" TargetMode="External"/><Relationship Id="rId586" Type="http://schemas.openxmlformats.org/officeDocument/2006/relationships/hyperlink" Target="https://drive.google.com/open?id=1weVm7GBm0NAZzJ0_OTzx_H9OAo3Cq-FX" TargetMode="External"/><Relationship Id="rId793" Type="http://schemas.openxmlformats.org/officeDocument/2006/relationships/hyperlink" Target="https://drive.google.com/file/d/1kTr8kBIk0dHmQaCCy9eAVozG0HIiS0TP/view?usp=drivesdk" TargetMode="External"/><Relationship Id="rId7" Type="http://schemas.openxmlformats.org/officeDocument/2006/relationships/hyperlink" Target="https://drive.google.com/file/d/1S1EnzUcSIlncCOXIW-y-UYZySpxnWtrK/view?usp=drivesdk" TargetMode="External"/><Relationship Id="rId239" Type="http://schemas.openxmlformats.org/officeDocument/2006/relationships/hyperlink" Target="https://drive.google.com/file/d/1_In3p1BgpcLr1sJAQcF48bDuv0phNnci/view?usp=drivesdk" TargetMode="External"/><Relationship Id="rId446" Type="http://schemas.openxmlformats.org/officeDocument/2006/relationships/hyperlink" Target="https://drive.google.com/open?id=1kOIpkXL2ulXMgtwZo_paD2jgLViTSESS" TargetMode="External"/><Relationship Id="rId653" Type="http://schemas.openxmlformats.org/officeDocument/2006/relationships/hyperlink" Target="https://drive.google.com/open?id=1nYgtEnvBc-2oafr89_vMw6tvhgcnSXE8" TargetMode="External"/><Relationship Id="rId292" Type="http://schemas.openxmlformats.org/officeDocument/2006/relationships/hyperlink" Target="https://drive.google.com/open?id=1u1bj1rk4c3u8pkRYovh6WOnimzjb8n3j" TargetMode="External"/><Relationship Id="rId306" Type="http://schemas.openxmlformats.org/officeDocument/2006/relationships/hyperlink" Target="https://drive.google.com/file/d/1k6IYdYTdDI7dCSqwIsbSdTJCwf5Xx9Rm/view?usp=drivesdk" TargetMode="External"/><Relationship Id="rId87" Type="http://schemas.openxmlformats.org/officeDocument/2006/relationships/hyperlink" Target="https://drive.google.com/file/d/1duWKV1kvFWgFCWKHuZDEt35jKOtxj-wr/view?usp=drivesdk" TargetMode="External"/><Relationship Id="rId513" Type="http://schemas.openxmlformats.org/officeDocument/2006/relationships/hyperlink" Target="https://drive.google.com/open?id=1IugcpSZcfXRQ6-B_CZ-qhWN2AQIL-xft" TargetMode="External"/><Relationship Id="rId597" Type="http://schemas.openxmlformats.org/officeDocument/2006/relationships/hyperlink" Target="https://drive.google.com/file/d/1hiw6WxDPMtUiGVUvBi4T3MDwghQkpmeq/view?usp=drivesdk" TargetMode="External"/><Relationship Id="rId720" Type="http://schemas.openxmlformats.org/officeDocument/2006/relationships/hyperlink" Target="https://drive.google.com/file/d/1CsDHw_Y0ENfNgBeVOAtQExjyf6WmjcdN/view?usp=drivesdk" TargetMode="External"/><Relationship Id="rId152" Type="http://schemas.openxmlformats.org/officeDocument/2006/relationships/hyperlink" Target="https://drive.google.com/open?id=1Mv4i0UoSZcVnknwgkMTt1DAvSDZaKQTi" TargetMode="External"/><Relationship Id="rId457" Type="http://schemas.openxmlformats.org/officeDocument/2006/relationships/hyperlink" Target="https://drive.google.com/file/d/1QImmnGsxgOPLHavETdFssgqVMXm1DVMC/view?usp=drivesdk" TargetMode="External"/><Relationship Id="rId664" Type="http://schemas.openxmlformats.org/officeDocument/2006/relationships/hyperlink" Target="https://drive.google.com/file/d/1H28NfUdkQZJPZC658PXlqP1IwKwXp6bN/view?usp=drivesdk" TargetMode="External"/><Relationship Id="rId14" Type="http://schemas.openxmlformats.org/officeDocument/2006/relationships/hyperlink" Target="https://drive.google.com/open?id=1rW0U4BxDjbyOl2mhyPLhvdRdedM758eF" TargetMode="External"/><Relationship Id="rId317" Type="http://schemas.openxmlformats.org/officeDocument/2006/relationships/hyperlink" Target="https://drive.google.com/open?id=11-q7WFZ_iGQRQQMYququX2kfb6Svpo1L" TargetMode="External"/><Relationship Id="rId524" Type="http://schemas.openxmlformats.org/officeDocument/2006/relationships/hyperlink" Target="https://drive.google.com/open?id=1cThHgmLdUdrT6OUXXloM8n7WicPhq8om" TargetMode="External"/><Relationship Id="rId731" Type="http://schemas.openxmlformats.org/officeDocument/2006/relationships/hyperlink" Target="https://drive.google.com/open?id=1fBKnUqC0XMEaa_P4zcbjPYfqPOJT2woe" TargetMode="External"/><Relationship Id="rId98" Type="http://schemas.openxmlformats.org/officeDocument/2006/relationships/hyperlink" Target="https://drive.google.com/file/d/1kprFT6bfGHlELBKpdd_wHDR2CaFUqKvH/view?usp=drivesdk" TargetMode="External"/><Relationship Id="rId163" Type="http://schemas.openxmlformats.org/officeDocument/2006/relationships/hyperlink" Target="https://drive.google.com/open?id=1iDGuMOJoCZzFnl9NZiwe4w058dODbVqN" TargetMode="External"/><Relationship Id="rId370" Type="http://schemas.openxmlformats.org/officeDocument/2006/relationships/hyperlink" Target="https://drive.google.com/open?id=1yogLy78k-NxyjmNdPW3GXYpDDPjBIrRv" TargetMode="External"/><Relationship Id="rId230" Type="http://schemas.openxmlformats.org/officeDocument/2006/relationships/hyperlink" Target="https://drive.google.com/open?id=1GwkDE1f73cPaXB1PxzaBKpnPtWLzslVJ" TargetMode="External"/><Relationship Id="rId468" Type="http://schemas.openxmlformats.org/officeDocument/2006/relationships/hyperlink" Target="https://drive.google.com/open?id=1rth1SHCJamv8uuCtRVqj9QcQ8Gezf_em" TargetMode="External"/><Relationship Id="rId675" Type="http://schemas.openxmlformats.org/officeDocument/2006/relationships/hyperlink" Target="https://drive.google.com/open?id=1VaSRVgWb3miC8H--K-h_JwfM-7rgSRBQ" TargetMode="External"/><Relationship Id="rId25" Type="http://schemas.openxmlformats.org/officeDocument/2006/relationships/hyperlink" Target="https://drive.google.com/file/d/18qA0XYpW8znmpl-jwf8kLxpd3vcgDhl7/view?usp=drivesdk" TargetMode="External"/><Relationship Id="rId328" Type="http://schemas.openxmlformats.org/officeDocument/2006/relationships/hyperlink" Target="https://drive.google.com/file/d/1QK_EKUmpV0q2IFwILyV9-9SyJ4GttQmE/view?usp=drivesdk" TargetMode="External"/><Relationship Id="rId535" Type="http://schemas.openxmlformats.org/officeDocument/2006/relationships/hyperlink" Target="https://drive.google.com/file/d/1t2wo9aruVhczrzmtW0QLVHAAFStfPhMS/view?usp=drivesdk" TargetMode="External"/><Relationship Id="rId742" Type="http://schemas.openxmlformats.org/officeDocument/2006/relationships/hyperlink" Target="https://drive.google.com/file/d/1GICdCd9BHWGjfh34OvefAzUM-V4_wkIP/view?usp=drivesdk" TargetMode="External"/><Relationship Id="rId174" Type="http://schemas.openxmlformats.org/officeDocument/2006/relationships/hyperlink" Target="https://drive.google.com/open?id=1WS21q1XEXuQ4H7Oqa4KS_Dk5fyaskRON" TargetMode="External"/><Relationship Id="rId381" Type="http://schemas.openxmlformats.org/officeDocument/2006/relationships/hyperlink" Target="https://drive.google.com/open?id=1zycrmF0Jws-Qm6NoB1Uq66zTBrC4saRU" TargetMode="External"/><Relationship Id="rId602" Type="http://schemas.openxmlformats.org/officeDocument/2006/relationships/hyperlink" Target="https://drive.google.com/open?id=17n5HLf7lHtXEvhLZv458DjnRMSJCWPrB" TargetMode="External"/><Relationship Id="rId241" Type="http://schemas.openxmlformats.org/officeDocument/2006/relationships/hyperlink" Target="https://drive.google.com/file/d/1Wwnl1OeNgICQnCnOY-X1hMET8IfZ7ill/view?usp=drivesdk" TargetMode="External"/><Relationship Id="rId479" Type="http://schemas.openxmlformats.org/officeDocument/2006/relationships/hyperlink" Target="https://drive.google.com/open?id=1HZBzVrZd6vM4KTfWt1Hh1ezds4b6hlOT" TargetMode="External"/><Relationship Id="rId686" Type="http://schemas.openxmlformats.org/officeDocument/2006/relationships/hyperlink" Target="https://drive.google.com/file/d/1LfKGrxkrkD2BX2PdyHd626dD3p6C_zVO/view?usp=drivesdk" TargetMode="External"/><Relationship Id="rId36" Type="http://schemas.openxmlformats.org/officeDocument/2006/relationships/hyperlink" Target="https://drive.google.com/open?id=1-1klgcJlXxYe8igSJUmKUGLPBJMEahg1" TargetMode="External"/><Relationship Id="rId339" Type="http://schemas.openxmlformats.org/officeDocument/2006/relationships/hyperlink" Target="https://drive.google.com/file/d/14v34rKK4FNUNT0-N7uVn2z6cJoXRDjMS/view?usp=drivesdk" TargetMode="External"/><Relationship Id="rId546" Type="http://schemas.openxmlformats.org/officeDocument/2006/relationships/hyperlink" Target="https://drive.google.com/open?id=1ao7d19ro3ydUH3jdlCmgkPKtFLnsKzLu" TargetMode="External"/><Relationship Id="rId753" Type="http://schemas.openxmlformats.org/officeDocument/2006/relationships/hyperlink" Target="https://drive.google.com/open?id=1vYC7zWPEJBij68IoSZ1ZKMuzUODu-KAC" TargetMode="External"/><Relationship Id="rId101" Type="http://schemas.openxmlformats.org/officeDocument/2006/relationships/hyperlink" Target="https://drive.google.com/open?id=12S2kwR_D4ywJtsZGWeVh4sFmp_StkTPu" TargetMode="External"/><Relationship Id="rId185" Type="http://schemas.openxmlformats.org/officeDocument/2006/relationships/hyperlink" Target="https://drive.google.com/open?id=1DKyLqwwUWKlOOpL8LSxkwSwAEqYiX60F" TargetMode="External"/><Relationship Id="rId406" Type="http://schemas.openxmlformats.org/officeDocument/2006/relationships/hyperlink" Target="https://drive.google.com/file/d/1v0Xr_xh-Qb9VEK3VGuQ0VwmFgdquZG_Y/view?usp=drivesdk" TargetMode="External"/><Relationship Id="rId392" Type="http://schemas.openxmlformats.org/officeDocument/2006/relationships/hyperlink" Target="https://drive.google.com/open?id=1Uk9egxQzYCVGEgMoJs_WV71GvLt_NNcj" TargetMode="External"/><Relationship Id="rId613" Type="http://schemas.openxmlformats.org/officeDocument/2006/relationships/hyperlink" Target="https://drive.google.com/file/d/1bOhweKqssQD0OHJB9M2czRxjU48wmoU3/view?usp=drivesdk" TargetMode="External"/><Relationship Id="rId697" Type="http://schemas.openxmlformats.org/officeDocument/2006/relationships/hyperlink" Target="https://drive.google.com/open?id=1xiPHUd-AYsmLkgJlurmJ6UkGhOcqwcl4" TargetMode="External"/><Relationship Id="rId252" Type="http://schemas.openxmlformats.org/officeDocument/2006/relationships/hyperlink" Target="https://drive.google.com/open?id=1W-cXwOG8OqdNQxHSrT752MHA7xtjA3FM" TargetMode="External"/><Relationship Id="rId47" Type="http://schemas.openxmlformats.org/officeDocument/2006/relationships/hyperlink" Target="https://drive.google.com/file/d/1KVgyd-obhzgpGt-U48murLpfF7pvj7ju/view?usp=drivesdk" TargetMode="External"/><Relationship Id="rId112" Type="http://schemas.openxmlformats.org/officeDocument/2006/relationships/hyperlink" Target="https://drive.google.com/open?id=1dyGM06YqSkXm9kVYE3yx83iJ5QNzesKx" TargetMode="External"/><Relationship Id="rId557" Type="http://schemas.openxmlformats.org/officeDocument/2006/relationships/hyperlink" Target="https://drive.google.com/file/d/1At9EcQbg9jU54n54r5qAlWbIsdL27Pih/view?usp=drivesdk" TargetMode="External"/><Relationship Id="rId764" Type="http://schemas.openxmlformats.org/officeDocument/2006/relationships/hyperlink" Target="https://drive.google.com/open?id=1pFgjdgoxMfjk_REH_0YQSmdNpOZAJvXq" TargetMode="External"/><Relationship Id="rId196" Type="http://schemas.openxmlformats.org/officeDocument/2006/relationships/hyperlink" Target="https://drive.google.com/file/d/1TmYgnt11tLuW-wd-fpUJNNongLZLtIsK/view?usp=drivesdk" TargetMode="External"/><Relationship Id="rId417" Type="http://schemas.openxmlformats.org/officeDocument/2006/relationships/hyperlink" Target="https://drive.google.com/file/d/1_cAlzYXAFK1AxG2cBg8g3vv6pyI0jQZ3/view?usp=drivesdk" TargetMode="External"/><Relationship Id="rId624" Type="http://schemas.openxmlformats.org/officeDocument/2006/relationships/hyperlink" Target="https://drive.google.com/open?id=1WA6TavhVWEYgnmj9N0J01Or5UW5QfLll" TargetMode="External"/><Relationship Id="rId263" Type="http://schemas.openxmlformats.org/officeDocument/2006/relationships/hyperlink" Target="https://drive.google.com/open?id=1fiMqF4rjCEHpIgP9NjPirNXbEUQO-CxO" TargetMode="External"/><Relationship Id="rId470" Type="http://schemas.openxmlformats.org/officeDocument/2006/relationships/hyperlink" Target="https://drive.google.com/file/d/1mvn9-EAEzq0z4QLIpFiGpmajGtKn5_rI/view?usp=drivesdk" TargetMode="External"/><Relationship Id="rId58" Type="http://schemas.openxmlformats.org/officeDocument/2006/relationships/hyperlink" Target="https://drive.google.com/open?id=1Tu4b8lvkyu7hGhMCpg7MCjrutLBpI3EX" TargetMode="External"/><Relationship Id="rId123" Type="http://schemas.openxmlformats.org/officeDocument/2006/relationships/hyperlink" Target="https://drive.google.com/open?id=1psFhggJNjW0Q06-AS_03545oWNwba2eD" TargetMode="External"/><Relationship Id="rId330" Type="http://schemas.openxmlformats.org/officeDocument/2006/relationships/hyperlink" Target="https://drive.google.com/file/d/1usDt59Cgi2rRoJLgURJFDVlb0drIIGEh/view?usp=drivesdk" TargetMode="External"/><Relationship Id="rId568" Type="http://schemas.openxmlformats.org/officeDocument/2006/relationships/hyperlink" Target="https://drive.google.com/open?id=1nXHMHWvyt9YmIDP8GFGOndQ_eu4F6tkT" TargetMode="External"/><Relationship Id="rId775" Type="http://schemas.openxmlformats.org/officeDocument/2006/relationships/hyperlink" Target="https://drive.google.com/file/d/1XPS8zMAis3p5vvwdzccfvWnr6yiYeogy/view?usp=drivesdk" TargetMode="External"/><Relationship Id="rId428" Type="http://schemas.openxmlformats.org/officeDocument/2006/relationships/hyperlink" Target="https://drive.google.com/open?id=10CeIYkOFfe-f5l-mwimPAcv9yLMMjw3I" TargetMode="External"/><Relationship Id="rId635" Type="http://schemas.openxmlformats.org/officeDocument/2006/relationships/hyperlink" Target="https://drive.google.com/file/d/1Mh7b4P8kzGMP64q-1Prn-NCiC_tzbX7V/view?usp=drivesdk" TargetMode="External"/><Relationship Id="rId274" Type="http://schemas.openxmlformats.org/officeDocument/2006/relationships/hyperlink" Target="https://drive.google.com/open?id=15KPKdG4wq3Wh6E19DLdwydqER8W_jniE" TargetMode="External"/><Relationship Id="rId481" Type="http://schemas.openxmlformats.org/officeDocument/2006/relationships/hyperlink" Target="https://drive.google.com/open?id=1kKmYTDDn61MhOUXcIXuWC4-WqxFbzU3r" TargetMode="External"/><Relationship Id="rId702" Type="http://schemas.openxmlformats.org/officeDocument/2006/relationships/hyperlink" Target="https://drive.google.com/open?id=1Kjg2NoBNKfoV2i1MIyz7dijG9d5HLOWK" TargetMode="External"/><Relationship Id="rId69" Type="http://schemas.openxmlformats.org/officeDocument/2006/relationships/hyperlink" Target="https://drive.google.com/file/d/19At_hqHHeLD00n2QWQ19sm3Ww1lDCDDF/view?usp=drivesdk" TargetMode="External"/><Relationship Id="rId134" Type="http://schemas.openxmlformats.org/officeDocument/2006/relationships/hyperlink" Target="https://drive.google.com/open?id=1aI69pndUZux8CwDJQVcz5ZtFAQi4_bT-" TargetMode="External"/><Relationship Id="rId579" Type="http://schemas.openxmlformats.org/officeDocument/2006/relationships/hyperlink" Target="https://drive.google.com/open?id=1oD5RMKBf-q8gzacX9aouecnOWQ9zenSX" TargetMode="External"/><Relationship Id="rId786" Type="http://schemas.openxmlformats.org/officeDocument/2006/relationships/hyperlink" Target="https://drive.google.com/open?id=1qGm-QRWyqDsIZkhML52S6NH-RwMvUYiy" TargetMode="External"/><Relationship Id="rId341" Type="http://schemas.openxmlformats.org/officeDocument/2006/relationships/hyperlink" Target="https://drive.google.com/file/d/1phIm0J3RqqWePREkK0HGvWDSBvyA7kOc/view?usp=drivesdk" TargetMode="External"/><Relationship Id="rId439" Type="http://schemas.openxmlformats.org/officeDocument/2006/relationships/hyperlink" Target="https://drive.google.com/file/d/12I6nINnR1TUIN8braGQJywCe9f7YBc3l/view?usp=drivesdk" TargetMode="External"/><Relationship Id="rId646" Type="http://schemas.openxmlformats.org/officeDocument/2006/relationships/hyperlink" Target="https://drive.google.com/file/d/1O-DgJaRKCCsDwlj1i_IRj347P4LEPcc-/view?usp=drivesdk" TargetMode="External"/><Relationship Id="rId201" Type="http://schemas.openxmlformats.org/officeDocument/2006/relationships/hyperlink" Target="https://drive.google.com/open?id=1oqDaHJlZc3VToA6Q-Y17OqwwUbRmPbCU" TargetMode="External"/><Relationship Id="rId285" Type="http://schemas.openxmlformats.org/officeDocument/2006/relationships/hyperlink" Target="https://drive.google.com/file/d/1iwolZcju0b8ZiA_DQdVULPRJVy6C7rt3/view?usp=drivesdk" TargetMode="External"/><Relationship Id="rId506" Type="http://schemas.openxmlformats.org/officeDocument/2006/relationships/hyperlink" Target="https://drive.google.com/file/d/1Xy22Lfw_pdHxT75ZqFYwGEpiZK9BY2oz/view?usp=drivesdk" TargetMode="External"/><Relationship Id="rId492" Type="http://schemas.openxmlformats.org/officeDocument/2006/relationships/hyperlink" Target="https://drive.google.com/open?id=1I9npCVa3mjeNHt88jRaWRzpy9JFIAGGh" TargetMode="External"/><Relationship Id="rId713" Type="http://schemas.openxmlformats.org/officeDocument/2006/relationships/hyperlink" Target="https://drive.google.com/open?id=13UyoU7zCk1_R1tJt1zYLj4CTywMkRv76" TargetMode="External"/><Relationship Id="rId145" Type="http://schemas.openxmlformats.org/officeDocument/2006/relationships/hyperlink" Target="https://drive.google.com/open?id=1f2z06ZFSyxfm_E9nDGHGfKUhpzgPTpgk" TargetMode="External"/><Relationship Id="rId352" Type="http://schemas.openxmlformats.org/officeDocument/2006/relationships/hyperlink" Target="https://drive.google.com/open?id=1W11jGX14LZWtZo8oFwITXzqliRT8g1bU" TargetMode="External"/><Relationship Id="rId212" Type="http://schemas.openxmlformats.org/officeDocument/2006/relationships/hyperlink" Target="https://drive.google.com/open?id=1Om7L15XSVeATyE78Laydz51DpDJKaSRv" TargetMode="External"/><Relationship Id="rId657" Type="http://schemas.openxmlformats.org/officeDocument/2006/relationships/hyperlink" Target="https://drive.google.com/open?id=1xIZnTtRqa7qHNzrd872C9wt4ec5uk5NJ" TargetMode="External"/><Relationship Id="rId296" Type="http://schemas.openxmlformats.org/officeDocument/2006/relationships/hyperlink" Target="https://drive.google.com/open?id=1P1Afwbbzzxn2TS1v11nxu3tE1BP0L9Wg" TargetMode="External"/><Relationship Id="rId517" Type="http://schemas.openxmlformats.org/officeDocument/2006/relationships/hyperlink" Target="https://drive.google.com/open?id=17umxgk7rPMRCjTRzb8LYF2113V4z9yzc" TargetMode="External"/><Relationship Id="rId724" Type="http://schemas.openxmlformats.org/officeDocument/2006/relationships/hyperlink" Target="https://drive.google.com/file/d/12aZMPf1D_MeDn9BkArXfPv7K6yBt1XSz/view?usp=drivesdk" TargetMode="External"/><Relationship Id="rId60" Type="http://schemas.openxmlformats.org/officeDocument/2006/relationships/hyperlink" Target="https://drive.google.com/open?id=1XW61HOHCK0XVrUP7ANRL0eoOSASYPHQr" TargetMode="External"/><Relationship Id="rId156" Type="http://schemas.openxmlformats.org/officeDocument/2006/relationships/hyperlink" Target="https://drive.google.com/file/d/1JeTSfIoT2Bu8fbTVducfIgtAfmr10xQ5/view?usp=drivesdk" TargetMode="External"/><Relationship Id="rId363" Type="http://schemas.openxmlformats.org/officeDocument/2006/relationships/hyperlink" Target="https://drive.google.com/open?id=12n3ov0CAYFSq04FJB28OYl7qV4cUhr-m" TargetMode="External"/><Relationship Id="rId570" Type="http://schemas.openxmlformats.org/officeDocument/2006/relationships/hyperlink" Target="https://drive.google.com/open?id=1YYDFIi29fo8jY-j96grI__XEXtD14fIl" TargetMode="External"/><Relationship Id="rId223" Type="http://schemas.openxmlformats.org/officeDocument/2006/relationships/hyperlink" Target="https://drive.google.com/open?id=1-NLujXjWJiioKGQu1ONTF_WtZE1cMUB6" TargetMode="External"/><Relationship Id="rId430" Type="http://schemas.openxmlformats.org/officeDocument/2006/relationships/hyperlink" Target="https://drive.google.com/open?id=1COIy77-1FsJw2v86mK3Xwvqd6bJ7XbKA" TargetMode="External"/><Relationship Id="rId668" Type="http://schemas.openxmlformats.org/officeDocument/2006/relationships/hyperlink" Target="https://drive.google.com/file/d/1GogZmVaxY1Vy6oh8uF1Sqoo99jU1oNS5/view?usp=drivesdk" TargetMode="External"/><Relationship Id="rId18" Type="http://schemas.openxmlformats.org/officeDocument/2006/relationships/hyperlink" Target="https://drive.google.com/open?id=1TWXX2Dc3Rz4kjWJ-tCJAgX26qkrP6gvh" TargetMode="External"/><Relationship Id="rId528" Type="http://schemas.openxmlformats.org/officeDocument/2006/relationships/hyperlink" Target="https://drive.google.com/open?id=1Hb2OwP-RnB7aRdFN4PsoNrSjsVGYluRI" TargetMode="External"/><Relationship Id="rId735" Type="http://schemas.openxmlformats.org/officeDocument/2006/relationships/hyperlink" Target="https://drive.google.com/open?id=1au1cQBQKh_a-niAevp2l-HwqFUeVMdZP" TargetMode="External"/><Relationship Id="rId167" Type="http://schemas.openxmlformats.org/officeDocument/2006/relationships/hyperlink" Target="https://drive.google.com/file/d/1M92y7cSXlms9YYiXePQQBplnBiWpgOZP/view?usp=drivesdk" TargetMode="External"/><Relationship Id="rId374" Type="http://schemas.openxmlformats.org/officeDocument/2006/relationships/hyperlink" Target="https://drive.google.com/file/d/1kt3aPGCZUgw66w1p1OfK-HwAurQ8rMVr/view?usp=drivesdk" TargetMode="External"/><Relationship Id="rId581" Type="http://schemas.openxmlformats.org/officeDocument/2006/relationships/hyperlink" Target="https://drive.google.com/open?id=1mw3KWhB1O7rqyRfmPs2K06b33KhqrgMd" TargetMode="External"/><Relationship Id="rId71" Type="http://schemas.openxmlformats.org/officeDocument/2006/relationships/hyperlink" Target="https://drive.google.com/file/d/1RG0r7j_f1DRlXA34orDGNeYRKGuwmreQ/view?usp=drivesdk" TargetMode="External"/><Relationship Id="rId234" Type="http://schemas.openxmlformats.org/officeDocument/2006/relationships/hyperlink" Target="https://drive.google.com/file/d/1hovBP7tfxX0IOfaopzQUo-qJmabKM-sI/view?usp=drivesdk" TargetMode="External"/><Relationship Id="rId679" Type="http://schemas.openxmlformats.org/officeDocument/2006/relationships/hyperlink" Target="https://drive.google.com/open?id=1u4o_UvKvF0x01zSTBUeEJEoT5rrIyOlJ" TargetMode="External"/><Relationship Id="rId2" Type="http://schemas.openxmlformats.org/officeDocument/2006/relationships/hyperlink" Target="https://drive.google.com/open?id=1CxbLWtvE5o0cP9rqTU94xgy6vevWYehK" TargetMode="External"/><Relationship Id="rId29" Type="http://schemas.openxmlformats.org/officeDocument/2006/relationships/hyperlink" Target="https://drive.google.com/file/d/1dY4k05JvqvcBF8ClydSxowkheonBbuYU/view?usp=drivesdk" TargetMode="External"/><Relationship Id="rId441" Type="http://schemas.openxmlformats.org/officeDocument/2006/relationships/hyperlink" Target="https://drive.google.com/open?id=1GzNRaw6UpD3g5dYm_5sv7a9KyeGdaieo" TargetMode="External"/><Relationship Id="rId539" Type="http://schemas.openxmlformats.org/officeDocument/2006/relationships/hyperlink" Target="https://drive.google.com/file/d/1PYaF00dohZ9ACj23uuxZlnYAKbLoV4Bw/view?usp=drivesdk" TargetMode="External"/><Relationship Id="rId746" Type="http://schemas.openxmlformats.org/officeDocument/2006/relationships/hyperlink" Target="https://drive.google.com/file/d/1giyxwh-sKDBs1rYCfz2YM0cUdB0jteO9/view?usp=drivesdk" TargetMode="External"/><Relationship Id="rId178" Type="http://schemas.openxmlformats.org/officeDocument/2006/relationships/hyperlink" Target="https://drive.google.com/file/d/1DWZFOXTZAqDplh3IJnCE_0acd3Zg6KoV/view?usp=drivesdk" TargetMode="External"/><Relationship Id="rId301" Type="http://schemas.openxmlformats.org/officeDocument/2006/relationships/hyperlink" Target="https://drive.google.com/open?id=18B_Z97IlJVJdaBXZBwvpSgpgIy1h6OAF" TargetMode="External"/><Relationship Id="rId82" Type="http://schemas.openxmlformats.org/officeDocument/2006/relationships/hyperlink" Target="https://drive.google.com/open?id=15osqENtLHUOcWDqiYr-GyV9HvWcOgpFL" TargetMode="External"/><Relationship Id="rId385" Type="http://schemas.openxmlformats.org/officeDocument/2006/relationships/hyperlink" Target="https://drive.google.com/open?id=1eGgqh2DHwwpKmf7RJkf4ynfd8uWwfkjm" TargetMode="External"/><Relationship Id="rId592" Type="http://schemas.openxmlformats.org/officeDocument/2006/relationships/hyperlink" Target="https://drive.google.com/open?id=1VrlskstDc4qBThiFEYUpZRoXn_aw3a6h" TargetMode="External"/><Relationship Id="rId606" Type="http://schemas.openxmlformats.org/officeDocument/2006/relationships/hyperlink" Target="https://drive.google.com/open?id=1-azh_PMnNpC7nwzFdhRYNIX-ShE0M-FG" TargetMode="External"/><Relationship Id="rId245" Type="http://schemas.openxmlformats.org/officeDocument/2006/relationships/hyperlink" Target="https://drive.google.com/file/d/1BLm7kfOxQCOjESwlxACpjHB2BHJwMeOb/view?usp=drivesdk" TargetMode="External"/><Relationship Id="rId452" Type="http://schemas.openxmlformats.org/officeDocument/2006/relationships/hyperlink" Target="https://drive.google.com/open?id=1awg5Q4Rs41mKxnrkPwvO7j8RNEdNu57d" TargetMode="External"/><Relationship Id="rId105" Type="http://schemas.openxmlformats.org/officeDocument/2006/relationships/hyperlink" Target="https://drive.google.com/open?id=1pOsKMAA76XvfpEVBXDNLQ8i4PUMEGwjQ" TargetMode="External"/><Relationship Id="rId312" Type="http://schemas.openxmlformats.org/officeDocument/2006/relationships/hyperlink" Target="https://drive.google.com/file/d/1uj1SHcU5zJ4wZbQ20VgKQlBQHjoMyoyo/view?usp=drivesdk" TargetMode="External"/><Relationship Id="rId757" Type="http://schemas.openxmlformats.org/officeDocument/2006/relationships/hyperlink" Target="https://drive.google.com/open?id=1AoCJLhewAol6sezv9cRMmYs2yAysKd3A" TargetMode="External"/><Relationship Id="rId93" Type="http://schemas.openxmlformats.org/officeDocument/2006/relationships/hyperlink" Target="https://drive.google.com/open?id=1GVSfUtAd-VG7N2w11azVOuPqlJ_pNFuw" TargetMode="External"/><Relationship Id="rId189" Type="http://schemas.openxmlformats.org/officeDocument/2006/relationships/hyperlink" Target="https://drive.google.com/open?id=1PamQCl-1UGrXJd_GL2PdCKSX88P26c5V" TargetMode="External"/><Relationship Id="rId396" Type="http://schemas.openxmlformats.org/officeDocument/2006/relationships/hyperlink" Target="https://drive.google.com/open?id=13fUAYJdt--jm7lkanOAbLCMv9FhK4D08" TargetMode="External"/><Relationship Id="rId617" Type="http://schemas.openxmlformats.org/officeDocument/2006/relationships/hyperlink" Target="https://drive.google.com/file/d/1-9sdDMY34Tg1qhqFRzSka0ayWmf0f4Vw/view?usp=drivesdk" TargetMode="External"/><Relationship Id="rId256" Type="http://schemas.openxmlformats.org/officeDocument/2006/relationships/hyperlink" Target="https://drive.google.com/open?id=1oRoMTuJa_7WoQIdgTJXbBcifqlIuqGJu" TargetMode="External"/><Relationship Id="rId463" Type="http://schemas.openxmlformats.org/officeDocument/2006/relationships/hyperlink" Target="https://drive.google.com/file/d/1_XRTarNZTaZnK-5mAmzrt6yt-8fqV4KQ/view?usp=drivesdk" TargetMode="External"/><Relationship Id="rId670" Type="http://schemas.openxmlformats.org/officeDocument/2006/relationships/hyperlink" Target="https://drive.google.com/file/d/12KDmX_5wDltqDuUhoRfqjx3ItsllNDLx/view?usp=drivesdk" TargetMode="External"/><Relationship Id="rId116" Type="http://schemas.openxmlformats.org/officeDocument/2006/relationships/hyperlink" Target="https://drive.google.com/file/d/1z9CRczk6X-5xmflZmSDZmACM7ovFdclX/view?usp=drivesdk" TargetMode="External"/><Relationship Id="rId323" Type="http://schemas.openxmlformats.org/officeDocument/2006/relationships/hyperlink" Target="https://drive.google.com/open?id=1HMNapIA9MdAtlgclld8U5yRKJsM_RxHo" TargetMode="External"/><Relationship Id="rId530" Type="http://schemas.openxmlformats.org/officeDocument/2006/relationships/hyperlink" Target="https://drive.google.com/open?id=1gpIO81XFXelIA31Y9dwAX3Qfyzr7lSGs" TargetMode="External"/><Relationship Id="rId768" Type="http://schemas.openxmlformats.org/officeDocument/2006/relationships/hyperlink" Target="https://drive.google.com/open?id=1C51UXKX1Af2XhYpo4kzWo5odMfbe8247" TargetMode="External"/><Relationship Id="rId20" Type="http://schemas.openxmlformats.org/officeDocument/2006/relationships/hyperlink" Target="https://drive.google.com/open?id=1kV7426-pZepQwruh-h4gakwsSJ1VIWc1" TargetMode="External"/><Relationship Id="rId628" Type="http://schemas.openxmlformats.org/officeDocument/2006/relationships/hyperlink" Target="https://drive.google.com/open?id=1pvXPtOnEAwCBwi01-KFmIaxOsIQfROM8" TargetMode="External"/><Relationship Id="rId267" Type="http://schemas.openxmlformats.org/officeDocument/2006/relationships/hyperlink" Target="https://drive.google.com/file/d/1PiW4wgkQUxH-stP1a3E-gSE2P4VckBx5/view?usp=drivesdk" TargetMode="External"/><Relationship Id="rId474" Type="http://schemas.openxmlformats.org/officeDocument/2006/relationships/hyperlink" Target="https://drive.google.com/open?id=1SVX1_SScFpNhhfcDT7_TMPFti_qex5il" TargetMode="External"/><Relationship Id="rId127" Type="http://schemas.openxmlformats.org/officeDocument/2006/relationships/hyperlink" Target="https://drive.google.com/open?id=1kP52y2Rm7ZGrAQVe9fX6z0qCNskgdVEC" TargetMode="External"/><Relationship Id="rId681" Type="http://schemas.openxmlformats.org/officeDocument/2006/relationships/hyperlink" Target="https://drive.google.com/open?id=1NZZ2C8X3giFgUCE8E2ulCsyV9HT7d124" TargetMode="External"/><Relationship Id="rId779" Type="http://schemas.openxmlformats.org/officeDocument/2006/relationships/hyperlink" Target="https://drive.google.com/file/d/1HpOqoVtPRgYDHfz9rJnAmVzN_m404Yv2/view?usp=drivesdk" TargetMode="External"/><Relationship Id="rId31" Type="http://schemas.openxmlformats.org/officeDocument/2006/relationships/hyperlink" Target="https://drive.google.com/file/d/1MJieGOF4wwxIyBnxMe-bLgJPZ4wbeakH/view?usp=drivesdk" TargetMode="External"/><Relationship Id="rId334" Type="http://schemas.openxmlformats.org/officeDocument/2006/relationships/hyperlink" Target="https://drive.google.com/open?id=1rsZs2C51Q-gaY6LItyqBK7AzKezP-9Hl" TargetMode="External"/><Relationship Id="rId541" Type="http://schemas.openxmlformats.org/officeDocument/2006/relationships/hyperlink" Target="https://drive.google.com/file/d/1QFqX6O1t62dsGKVlH8X-8Umz7fX-k7he/view?usp=drivesdk" TargetMode="External"/><Relationship Id="rId639" Type="http://schemas.openxmlformats.org/officeDocument/2006/relationships/hyperlink" Target="https://drive.google.com/file/d/14fqoOLUK5poJzqy2f8on0oeXQy9XjakX/view?usp=drivesdk" TargetMode="External"/><Relationship Id="rId180" Type="http://schemas.openxmlformats.org/officeDocument/2006/relationships/hyperlink" Target="https://drive.google.com/open?id=17H8BpI3I7PNYOOKVpWbna3Aj94TINIQ2" TargetMode="External"/><Relationship Id="rId278" Type="http://schemas.openxmlformats.org/officeDocument/2006/relationships/hyperlink" Target="https://drive.google.com/file/d/1Edo6jt2F-1BCqLKHEyxzOormB8cs_Q5V/view?usp=drivesdk" TargetMode="External"/><Relationship Id="rId401" Type="http://schemas.openxmlformats.org/officeDocument/2006/relationships/hyperlink" Target="https://drive.google.com/open?id=1IOY6ekAGFWJdI8WquJy2UGIkaHvsP0st" TargetMode="External"/><Relationship Id="rId485" Type="http://schemas.openxmlformats.org/officeDocument/2006/relationships/hyperlink" Target="https://drive.google.com/file/d/1GxCb77GSB-bV8mzVkBMWcbsJy_CcDkla/view?usp=drivesdk" TargetMode="External"/><Relationship Id="rId692" Type="http://schemas.openxmlformats.org/officeDocument/2006/relationships/hyperlink" Target="https://drive.google.com/file/d/1AOq3_i6jevT58N2p3rhb4ClpsXoDxGwq/view?usp=drivesdk" TargetMode="External"/><Relationship Id="rId706" Type="http://schemas.openxmlformats.org/officeDocument/2006/relationships/hyperlink" Target="https://drive.google.com/file/d/1XLqS-qxRGn3ITe-SMnlvv2igpXOWpXck/view?usp=drivesdk" TargetMode="External"/><Relationship Id="rId42" Type="http://schemas.openxmlformats.org/officeDocument/2006/relationships/hyperlink" Target="https://drive.google.com/open?id=1IcjIiVs_nkbDbfGNy7mcGkVSrvHSPOKD" TargetMode="External"/><Relationship Id="rId138" Type="http://schemas.openxmlformats.org/officeDocument/2006/relationships/hyperlink" Target="https://drive.google.com/open?id=1AV8wU-YNe_yGftD8P5wsiJAyykQ5iRLO" TargetMode="External"/><Relationship Id="rId345" Type="http://schemas.openxmlformats.org/officeDocument/2006/relationships/hyperlink" Target="https://drive.google.com/file/d/1jJvT8cruurvC-WHiESdjXT18_HTQmgpJ/view?usp=drivesdk" TargetMode="External"/><Relationship Id="rId552" Type="http://schemas.openxmlformats.org/officeDocument/2006/relationships/hyperlink" Target="https://drive.google.com/open?id=1zSmJe3HzMDNLdQTVLtW72K7A2qNqW78n" TargetMode="External"/><Relationship Id="rId191" Type="http://schemas.openxmlformats.org/officeDocument/2006/relationships/hyperlink" Target="https://drive.google.com/open?id=1XmpuYd11stQ5C_wlAWa_xbpTyXXu7_-A" TargetMode="External"/><Relationship Id="rId205" Type="http://schemas.openxmlformats.org/officeDocument/2006/relationships/hyperlink" Target="https://drive.google.com/open?id=1kyerna70AHwNmG87Z_bisjfrWNMZVzeu" TargetMode="External"/><Relationship Id="rId412" Type="http://schemas.openxmlformats.org/officeDocument/2006/relationships/hyperlink" Target="https://drive.google.com/file/d/1-Ysgi2ciM2V0iON2jYxl4mvvjEtav6tH/view?usp=drivesdk" TargetMode="External"/><Relationship Id="rId289" Type="http://schemas.openxmlformats.org/officeDocument/2006/relationships/hyperlink" Target="https://drive.google.com/file/d/1QjkQlodkc7o0jtVv-c6J9bErTpri_rBI/view?usp=drivesdk" TargetMode="External"/><Relationship Id="rId496" Type="http://schemas.openxmlformats.org/officeDocument/2006/relationships/hyperlink" Target="https://drive.google.com/file/d/1cuudD7Q8u-nWyivQJxG15A6Fq1iUMnrg/view?usp=drivesdk" TargetMode="External"/><Relationship Id="rId717" Type="http://schemas.openxmlformats.org/officeDocument/2006/relationships/hyperlink" Target="https://drive.google.com/open?id=1LQ3SXlZFH3Kriut1xpptlTEswZCHq4A0" TargetMode="External"/><Relationship Id="rId53" Type="http://schemas.openxmlformats.org/officeDocument/2006/relationships/hyperlink" Target="https://drive.google.com/file/d/1eGvDWa6C7_9kH4RMz5ZL2s70r6jbMN40/view?usp=drivesdk" TargetMode="External"/><Relationship Id="rId149" Type="http://schemas.openxmlformats.org/officeDocument/2006/relationships/hyperlink" Target="https://drive.google.com/open?id=1zJxeD9iN9seXb_L27garPAey51BnnRwZ" TargetMode="External"/><Relationship Id="rId356" Type="http://schemas.openxmlformats.org/officeDocument/2006/relationships/hyperlink" Target="https://drive.google.com/file/d/1BqZ8JiJ-qyY9xIvcQnOlvHicDCZL-Iuu/view?usp=drivesdk" TargetMode="External"/><Relationship Id="rId563" Type="http://schemas.openxmlformats.org/officeDocument/2006/relationships/hyperlink" Target="https://drive.google.com/file/d/1YNXnwzv-lbrovlU5CdbLgWcbJXtB8TtD/view?usp=drivesdk" TargetMode="External"/><Relationship Id="rId770" Type="http://schemas.openxmlformats.org/officeDocument/2006/relationships/hyperlink" Target="https://drive.google.com/open?id=17R178bEH6_2S7-9jSMjX57QObAXF9FYp" TargetMode="External"/><Relationship Id="rId216" Type="http://schemas.openxmlformats.org/officeDocument/2006/relationships/hyperlink" Target="https://drive.google.com/open?id=1Sr8nUMFBiAw6xopvWbLeb_RZtjiFSJDs" TargetMode="External"/><Relationship Id="rId423" Type="http://schemas.openxmlformats.org/officeDocument/2006/relationships/hyperlink" Target="https://drive.google.com/open?id=1kRUWl1R8YywkvxG2zUpjy5_zEHsUUard" TargetMode="External"/><Relationship Id="rId630" Type="http://schemas.openxmlformats.org/officeDocument/2006/relationships/hyperlink" Target="https://drive.google.com/open?id=12yHrHAz5OSXb2f38MZIUG3hR-7iY8eQQ" TargetMode="External"/><Relationship Id="rId728" Type="http://schemas.openxmlformats.org/officeDocument/2006/relationships/hyperlink" Target="https://drive.google.com/file/d/1cOkk7ohpzAlDfo11IwqL871lsIpiXIjl/view?usp=drivesdk" TargetMode="External"/><Relationship Id="rId22" Type="http://schemas.openxmlformats.org/officeDocument/2006/relationships/hyperlink" Target="https://drive.google.com/open?id=1w25YpuRXIefDgcDRiGW1VWfusl3lFqcR" TargetMode="External"/><Relationship Id="rId64" Type="http://schemas.openxmlformats.org/officeDocument/2006/relationships/hyperlink" Target="https://drive.google.com/open?id=1aqjkZhGHrKUqN5F-HA9Sm6tyIra27jA1" TargetMode="External"/><Relationship Id="rId118" Type="http://schemas.openxmlformats.org/officeDocument/2006/relationships/hyperlink" Target="https://drive.google.com/file/d/1zVHCpf7hCF1zawQMUuDp2eiYApv0aJ89/view?usp=drivesdk" TargetMode="External"/><Relationship Id="rId325" Type="http://schemas.openxmlformats.org/officeDocument/2006/relationships/hyperlink" Target="https://drive.google.com/open?id=1vaWjclMaWugPDboHC8WMwhvGBiiK6SXT" TargetMode="External"/><Relationship Id="rId367" Type="http://schemas.openxmlformats.org/officeDocument/2006/relationships/hyperlink" Target="https://drive.google.com/open?id=1u1PzpWAcf0evR5ZaPxhQDNPtadNNkRKY" TargetMode="External"/><Relationship Id="rId532" Type="http://schemas.openxmlformats.org/officeDocument/2006/relationships/hyperlink" Target="https://drive.google.com/open?id=1nBuIzjY6i0mpTQ9uN-CcO6Yn7XRXVbQL" TargetMode="External"/><Relationship Id="rId574" Type="http://schemas.openxmlformats.org/officeDocument/2006/relationships/hyperlink" Target="https://drive.google.com/open?id=1UT88Nr9gAjurJoltSo9keEuHIaBBX0h4" TargetMode="External"/><Relationship Id="rId171" Type="http://schemas.openxmlformats.org/officeDocument/2006/relationships/hyperlink" Target="https://drive.google.com/file/d/1_tiW0fHkk5MlTbxPfg66umBokEwoZP3q/view?usp=drivesdk" TargetMode="External"/><Relationship Id="rId227" Type="http://schemas.openxmlformats.org/officeDocument/2006/relationships/hyperlink" Target="https://drive.google.com/file/d/1803pnVyC2fG5NVyMuxopVMX4w6k-rjma/view?usp=drivesdk" TargetMode="External"/><Relationship Id="rId781" Type="http://schemas.openxmlformats.org/officeDocument/2006/relationships/hyperlink" Target="https://drive.google.com/file/d/10UBkYNjMmMupiHd88Lp-ChWFWzQsvVEY/view?usp=drivesdk" TargetMode="External"/><Relationship Id="rId269" Type="http://schemas.openxmlformats.org/officeDocument/2006/relationships/hyperlink" Target="https://drive.google.com/open?id=16Jn1kZooIo5kByuYX73esDGZsK1V0sq5" TargetMode="External"/><Relationship Id="rId434" Type="http://schemas.openxmlformats.org/officeDocument/2006/relationships/hyperlink" Target="https://drive.google.com/open?id=1GE6IWI5lnSqGI4PhbSe1vx9D8syO0T-1" TargetMode="External"/><Relationship Id="rId476" Type="http://schemas.openxmlformats.org/officeDocument/2006/relationships/hyperlink" Target="https://drive.google.com/file/d/12TD2WANXJcvkAN0oAz_0LCbHPuN8G-J-/view?usp=drivesdk" TargetMode="External"/><Relationship Id="rId641" Type="http://schemas.openxmlformats.org/officeDocument/2006/relationships/hyperlink" Target="https://drive.google.com/file/d/1R08SfpJkGOeLP7gmXEZeMNvroyEkkhJU/view?usp=drivesdk" TargetMode="External"/><Relationship Id="rId683" Type="http://schemas.openxmlformats.org/officeDocument/2006/relationships/hyperlink" Target="https://drive.google.com/open?id=1WuLxVsmZxqmlO2r8yhCAaEYATodtYX6q" TargetMode="External"/><Relationship Id="rId739" Type="http://schemas.openxmlformats.org/officeDocument/2006/relationships/hyperlink" Target="https://drive.google.com/open?id=1tUfGXcLZa4jQWUzq1GWUpokTJAFkpHm5" TargetMode="External"/><Relationship Id="rId33" Type="http://schemas.openxmlformats.org/officeDocument/2006/relationships/hyperlink" Target="https://drive.google.com/file/d/1cbHWiV1ECKjSNILLkpgHmEvEytlXiwoI/view?usp=drivesdk" TargetMode="External"/><Relationship Id="rId129" Type="http://schemas.openxmlformats.org/officeDocument/2006/relationships/hyperlink" Target="https://drive.google.com/open?id=1xq6-KrEMMLVtaP7VGdOphzl6VRW8AS_w" TargetMode="External"/><Relationship Id="rId280" Type="http://schemas.openxmlformats.org/officeDocument/2006/relationships/hyperlink" Target="https://drive.google.com/file/d/1ECRWuo-DI3xAc4uC7Zbt1AtHDHMov4zZ/view?usp=drivesdk" TargetMode="External"/><Relationship Id="rId336" Type="http://schemas.openxmlformats.org/officeDocument/2006/relationships/hyperlink" Target="https://drive.google.com/file/d/1TgnmMnCqcAuU8I4rvK91KfVXLc0iM8_f/view?usp=drivesdk" TargetMode="External"/><Relationship Id="rId501" Type="http://schemas.openxmlformats.org/officeDocument/2006/relationships/hyperlink" Target="https://drive.google.com/file/d/1gWHPQbJElUPbLp8Xp60AnQOHZYE7Ppah/view?usp=drivesdk" TargetMode="External"/><Relationship Id="rId543" Type="http://schemas.openxmlformats.org/officeDocument/2006/relationships/hyperlink" Target="https://drive.google.com/file/d/1MTrrSPbvNcTlb4QvVgff6pI5TUFVL_O4/view?usp=drivesdk" TargetMode="External"/><Relationship Id="rId75" Type="http://schemas.openxmlformats.org/officeDocument/2006/relationships/hyperlink" Target="https://drive.google.com/open?id=1fTj32WcxxeyU5nhWY4a-9X_-EaZHo-pP" TargetMode="External"/><Relationship Id="rId140" Type="http://schemas.openxmlformats.org/officeDocument/2006/relationships/hyperlink" Target="https://drive.google.com/open?id=1p-87wUAweFz5djzE2NGcW9_WcQULwH6t" TargetMode="External"/><Relationship Id="rId182" Type="http://schemas.openxmlformats.org/officeDocument/2006/relationships/hyperlink" Target="https://drive.google.com/open?id=1NamK3-RoRoqoHltzOfEB5hpZlZSZiJmj" TargetMode="External"/><Relationship Id="rId378" Type="http://schemas.openxmlformats.org/officeDocument/2006/relationships/hyperlink" Target="https://drive.google.com/file/d/1Cqs9d0VyIDejE3rx80GKmIQo2hcFUyzw/view?usp=drivesdk" TargetMode="External"/><Relationship Id="rId403" Type="http://schemas.openxmlformats.org/officeDocument/2006/relationships/hyperlink" Target="https://drive.google.com/open?id=10dIxDPoiBWrpY6v7ZSlDxQNVKNg2SJNh" TargetMode="External"/><Relationship Id="rId585" Type="http://schemas.openxmlformats.org/officeDocument/2006/relationships/hyperlink" Target="https://drive.google.com/file/d/1XTWFNmmM96rsFIiQBAVX_Y1tOlOmh-ep/view?usp=drivesdk" TargetMode="External"/><Relationship Id="rId750" Type="http://schemas.openxmlformats.org/officeDocument/2006/relationships/hyperlink" Target="https://drive.google.com/file/d/1skeix2YqZrp9ZHzm80SIk29DTLzLvMbr/view?usp=drivesdk" TargetMode="External"/><Relationship Id="rId792" Type="http://schemas.openxmlformats.org/officeDocument/2006/relationships/hyperlink" Target="https://drive.google.com/open?id=1nn756TM-dmwy_vlAElZroHFSu_vzEI64" TargetMode="External"/><Relationship Id="rId6" Type="http://schemas.openxmlformats.org/officeDocument/2006/relationships/hyperlink" Target="https://drive.google.com/open?id=1f5SwUGtvDG6QgH4U3gKJlQTxwe1MwDIH" TargetMode="External"/><Relationship Id="rId238" Type="http://schemas.openxmlformats.org/officeDocument/2006/relationships/hyperlink" Target="https://drive.google.com/open?id=1u8XFJ_tgVD9qwbNyNI5em7YtaKUhjQh7" TargetMode="External"/><Relationship Id="rId445" Type="http://schemas.openxmlformats.org/officeDocument/2006/relationships/hyperlink" Target="https://drive.google.com/open?id=1gj9zs7do8UXzut3Ok8t7iB5u3qKntN9Z" TargetMode="External"/><Relationship Id="rId487" Type="http://schemas.openxmlformats.org/officeDocument/2006/relationships/hyperlink" Target="https://drive.google.com/file/d/1Rzf9rM9QUaNyHIpSFbwm4bmAAqU7Rsg1/view?usp=drivesdk" TargetMode="External"/><Relationship Id="rId610" Type="http://schemas.openxmlformats.org/officeDocument/2006/relationships/hyperlink" Target="https://drive.google.com/open?id=1k6CPck_egtgsFgyIKgKMHj0BsQbLRMNu" TargetMode="External"/><Relationship Id="rId652" Type="http://schemas.openxmlformats.org/officeDocument/2006/relationships/hyperlink" Target="https://drive.google.com/file/d/1sYmmRWmLoKzekkidkkFpdPIU1WGlGZEX/view?usp=drivesdk" TargetMode="External"/><Relationship Id="rId694" Type="http://schemas.openxmlformats.org/officeDocument/2006/relationships/hyperlink" Target="https://drive.google.com/file/d/1_G3dVgQT0XgbYp49Gl0xbP79ZTtsMyKu/view?usp=drivesdk" TargetMode="External"/><Relationship Id="rId708" Type="http://schemas.openxmlformats.org/officeDocument/2006/relationships/hyperlink" Target="https://drive.google.com/file/d/1IA62g2trTXkyTD5TEusZw6uADjcWIfS9/view?usp=drivesdk" TargetMode="External"/><Relationship Id="rId291" Type="http://schemas.openxmlformats.org/officeDocument/2006/relationships/hyperlink" Target="https://drive.google.com/file/d/19x_zQXrjnZk25fRkYSVANO2aeg34BHgU/view?usp=drivesdk" TargetMode="External"/><Relationship Id="rId305" Type="http://schemas.openxmlformats.org/officeDocument/2006/relationships/hyperlink" Target="https://drive.google.com/open?id=1HEx10enPo6frq_AJPHc6-IeeM418wL9I" TargetMode="External"/><Relationship Id="rId347" Type="http://schemas.openxmlformats.org/officeDocument/2006/relationships/hyperlink" Target="https://drive.google.com/open?id=1xvKEaV02CpJrgInKmAa00qjPdob5aDkF" TargetMode="External"/><Relationship Id="rId512" Type="http://schemas.openxmlformats.org/officeDocument/2006/relationships/hyperlink" Target="https://drive.google.com/open?id=1-zYzU9JyF_-gWgANjzrNY9HqlGtQNaQo" TargetMode="External"/><Relationship Id="rId44" Type="http://schemas.openxmlformats.org/officeDocument/2006/relationships/hyperlink" Target="https://drive.google.com/open?id=1kNPXsNr8cpoppYLSIGFQo63l2eJbOOpM" TargetMode="External"/><Relationship Id="rId86" Type="http://schemas.openxmlformats.org/officeDocument/2006/relationships/hyperlink" Target="https://drive.google.com/open?id=1EursjyoKVsOOdaX7_nmRhOD_sLJ_Xqpf" TargetMode="External"/><Relationship Id="rId151" Type="http://schemas.openxmlformats.org/officeDocument/2006/relationships/hyperlink" Target="https://drive.google.com/open?id=1JE8mIh0cGpD0DhKj4vpj6aARI95OqJPY" TargetMode="External"/><Relationship Id="rId389" Type="http://schemas.openxmlformats.org/officeDocument/2006/relationships/hyperlink" Target="https://drive.google.com/open?id=1bdUOW5ScMg8ioSXF0QowkLzkV1tZ4rnZ" TargetMode="External"/><Relationship Id="rId554" Type="http://schemas.openxmlformats.org/officeDocument/2006/relationships/hyperlink" Target="https://drive.google.com/open?id=1Z_7Ml9vUkfMkAtcyrmWpLOerH5FOjLx3" TargetMode="External"/><Relationship Id="rId596" Type="http://schemas.openxmlformats.org/officeDocument/2006/relationships/hyperlink" Target="https://drive.google.com/open?id=1GAroFSRp1Ii272XDhixMhAwsta8qjBNM" TargetMode="External"/><Relationship Id="rId761" Type="http://schemas.openxmlformats.org/officeDocument/2006/relationships/hyperlink" Target="https://drive.google.com/open?id=1pZwQocX9IoH3o6w2MyuDxY9YAms8XtTJ" TargetMode="External"/><Relationship Id="rId193" Type="http://schemas.openxmlformats.org/officeDocument/2006/relationships/hyperlink" Target="https://drive.google.com/open?id=1_NhMO69_Op17fTUS3dtet3fqctPIUw-k" TargetMode="External"/><Relationship Id="rId207" Type="http://schemas.openxmlformats.org/officeDocument/2006/relationships/hyperlink" Target="https://drive.google.com/open?id=1C6CP4pGdOgpC5NVs35jsftwgFDePmnAD" TargetMode="External"/><Relationship Id="rId249" Type="http://schemas.openxmlformats.org/officeDocument/2006/relationships/hyperlink" Target="https://drive.google.com/file/d/1jUDzXnQVdzPqo51YONdEqEDHg5y7BDkA/view?usp=drivesdk" TargetMode="External"/><Relationship Id="rId414" Type="http://schemas.openxmlformats.org/officeDocument/2006/relationships/hyperlink" Target="https://drive.google.com/file/d/1hmIWvG04QG_045nd-P6uCWXEgoVy1epk/view?usp=drivesdk" TargetMode="External"/><Relationship Id="rId456" Type="http://schemas.openxmlformats.org/officeDocument/2006/relationships/hyperlink" Target="https://drive.google.com/open?id=1fflhU_tgOyx1h1tVrNbv5Gj5Iy0wVPM_" TargetMode="External"/><Relationship Id="rId498" Type="http://schemas.openxmlformats.org/officeDocument/2006/relationships/hyperlink" Target="https://drive.google.com/open?id=1ZDCJ1HKa6b-hpN78HJ6vEX4a7mf69e6L" TargetMode="External"/><Relationship Id="rId621" Type="http://schemas.openxmlformats.org/officeDocument/2006/relationships/hyperlink" Target="https://drive.google.com/file/d/1nOKb34Iz4DiUQHhNLfti0Gs8KIp9mNEX/view?usp=drivesdk" TargetMode="External"/><Relationship Id="rId663" Type="http://schemas.openxmlformats.org/officeDocument/2006/relationships/hyperlink" Target="https://drive.google.com/open?id=1SDaqqz8FjmLECG_PwZoqNVbdvUH_ztDm" TargetMode="External"/><Relationship Id="rId13" Type="http://schemas.openxmlformats.org/officeDocument/2006/relationships/hyperlink" Target="https://drive.google.com/file/d/1sYSdtjmuBXfAU8eS9sDn2m_a-iJScwgf/view?usp=drivesdk" TargetMode="External"/><Relationship Id="rId109" Type="http://schemas.openxmlformats.org/officeDocument/2006/relationships/hyperlink" Target="https://drive.google.com/open?id=1cHoPZvGcYBL4SuoKcoGMiXDGZ-46Thgo" TargetMode="External"/><Relationship Id="rId260" Type="http://schemas.openxmlformats.org/officeDocument/2006/relationships/hyperlink" Target="https://drive.google.com/open?id=1lgLhF1xR0UF8WCyY91C4lmIvYwz_QRP4" TargetMode="External"/><Relationship Id="rId316" Type="http://schemas.openxmlformats.org/officeDocument/2006/relationships/hyperlink" Target="https://drive.google.com/file/d/1GgZ2ljhoUNlCk_pbYLpfXAPhQiBNha1C/view?usp=drivesdk" TargetMode="External"/><Relationship Id="rId523" Type="http://schemas.openxmlformats.org/officeDocument/2006/relationships/hyperlink" Target="https://drive.google.com/file/d/1U7AIDoL7H6pSACJMZrUPOaiLyHAkIctC/view?usp=drivesdk" TargetMode="External"/><Relationship Id="rId719" Type="http://schemas.openxmlformats.org/officeDocument/2006/relationships/hyperlink" Target="https://drive.google.com/open?id=1YWO7rWiFVnhn0tRv8W3X-a00y4gtsNI4" TargetMode="External"/><Relationship Id="rId55" Type="http://schemas.openxmlformats.org/officeDocument/2006/relationships/hyperlink" Target="https://drive.google.com/file/d/1wL6LkDyYPpv7TkkhIgM9FGUcQgJmMuul/view?usp=drivesdk" TargetMode="External"/><Relationship Id="rId97" Type="http://schemas.openxmlformats.org/officeDocument/2006/relationships/hyperlink" Target="https://drive.google.com/open?id=14E5FgdJRCNN0IW5-JZpQBrIEikxE3YJ1" TargetMode="External"/><Relationship Id="rId120" Type="http://schemas.openxmlformats.org/officeDocument/2006/relationships/hyperlink" Target="https://drive.google.com/file/d/1dDIoKvzN_f43pjEfi6KxLn0omD4PRiLe/view?usp=drivesdk" TargetMode="External"/><Relationship Id="rId358" Type="http://schemas.openxmlformats.org/officeDocument/2006/relationships/hyperlink" Target="https://drive.google.com/open?id=1hSmvXMsLfh92U9xMwaXm002KnN854ZSi" TargetMode="External"/><Relationship Id="rId565" Type="http://schemas.openxmlformats.org/officeDocument/2006/relationships/hyperlink" Target="https://drive.google.com/file/d/1nHkLhvl7oSQRM1yT0-doOsY_L-Z9DupR/view?usp=drivesdk" TargetMode="External"/><Relationship Id="rId730" Type="http://schemas.openxmlformats.org/officeDocument/2006/relationships/hyperlink" Target="https://drive.google.com/file/d/1pyxPcMEsmkmC-PWY3tuoRbAT_zDFXA29/view?usp=drivesdk" TargetMode="External"/><Relationship Id="rId772" Type="http://schemas.openxmlformats.org/officeDocument/2006/relationships/hyperlink" Target="https://drive.google.com/open?id=1wL3CWr0Gn9cLKlyE0U8bGtu8WY7vXviv" TargetMode="External"/><Relationship Id="rId162" Type="http://schemas.openxmlformats.org/officeDocument/2006/relationships/hyperlink" Target="https://drive.google.com/file/d/1i3dolt8FHQwFzMWIJsHijpnr_Ys1ZxfI/view?usp=drivesdk" TargetMode="External"/><Relationship Id="rId218" Type="http://schemas.openxmlformats.org/officeDocument/2006/relationships/hyperlink" Target="https://drive.google.com/open?id=1TEK3hrYk_wIEGw34OFhGY_Y2hzllf80q" TargetMode="External"/><Relationship Id="rId425" Type="http://schemas.openxmlformats.org/officeDocument/2006/relationships/hyperlink" Target="https://drive.google.com/open?id=1ztR_lC3vsPK0_7QgtvlbYis6cEjN7R0K" TargetMode="External"/><Relationship Id="rId467" Type="http://schemas.openxmlformats.org/officeDocument/2006/relationships/hyperlink" Target="https://drive.google.com/file/d/1bHFJ0sVNlBLeOX1JdVQGKEhssATJ-ZVz/view?usp=drivesdk" TargetMode="External"/><Relationship Id="rId632" Type="http://schemas.openxmlformats.org/officeDocument/2006/relationships/hyperlink" Target="https://drive.google.com/open?id=18k_P7IhYuPq8plhp9TXs38WGbeDxELxT" TargetMode="External"/><Relationship Id="rId271" Type="http://schemas.openxmlformats.org/officeDocument/2006/relationships/hyperlink" Target="https://drive.google.com/file/d/1lHH5pn-w98WjEzDrWY0ZU5cP3yBiJ3L5/view?usp=drivesdk" TargetMode="External"/><Relationship Id="rId674" Type="http://schemas.openxmlformats.org/officeDocument/2006/relationships/hyperlink" Target="https://drive.google.com/file/d/1YoqmdvxOtMZ9NyoU5S-fmJHZiIabmgTM/view?usp=drivesdk" TargetMode="External"/><Relationship Id="rId24" Type="http://schemas.openxmlformats.org/officeDocument/2006/relationships/hyperlink" Target="https://drive.google.com/open?id=1jOANmbzmyYjUM6tdjRiWi4fMqMz5vD3g" TargetMode="External"/><Relationship Id="rId66" Type="http://schemas.openxmlformats.org/officeDocument/2006/relationships/hyperlink" Target="https://drive.google.com/open?id=1e2rBLAZACsO2SMhgH2S8GJi_c6fm7A4Q" TargetMode="External"/><Relationship Id="rId131" Type="http://schemas.openxmlformats.org/officeDocument/2006/relationships/hyperlink" Target="https://drive.google.com/file/d/1g-3eOYAH1AGZPHfctQq0PPRTmCge4lsA/view?usp=drivesdk" TargetMode="External"/><Relationship Id="rId327" Type="http://schemas.openxmlformats.org/officeDocument/2006/relationships/hyperlink" Target="https://drive.google.com/open?id=19NZ1rz8cBzk5zPi05Nh1yyix6FImK0cf" TargetMode="External"/><Relationship Id="rId369" Type="http://schemas.openxmlformats.org/officeDocument/2006/relationships/hyperlink" Target="https://drive.google.com/open?id=1hMZVAv_c1Z7CIDsbM9WJ9xLLxUlwGGMP" TargetMode="External"/><Relationship Id="rId534" Type="http://schemas.openxmlformats.org/officeDocument/2006/relationships/hyperlink" Target="https://drive.google.com/open?id=1yefzqLQFpzpNv6RhFf9fm5kZStIAO1S4" TargetMode="External"/><Relationship Id="rId576" Type="http://schemas.openxmlformats.org/officeDocument/2006/relationships/hyperlink" Target="https://drive.google.com/open?id=1HEJjEvUb5co52PwsVGxVETT4gaPn9W9Q" TargetMode="External"/><Relationship Id="rId741" Type="http://schemas.openxmlformats.org/officeDocument/2006/relationships/hyperlink" Target="https://drive.google.com/open?id=1iURd4lcjNBGmgI-l0WHVizzNBPupjdyW" TargetMode="External"/><Relationship Id="rId783" Type="http://schemas.openxmlformats.org/officeDocument/2006/relationships/hyperlink" Target="https://drive.google.com/file/d/1BIY-42IHaoybpCnvyDTXx9ffobySPEKH/view?usp=drivesdk" TargetMode="External"/><Relationship Id="rId173" Type="http://schemas.openxmlformats.org/officeDocument/2006/relationships/hyperlink" Target="https://drive.google.com/file/d/17rWNyB45wcf_W7ybeJ8LJQCFPQT12Xrb/view?usp=drivesdk" TargetMode="External"/><Relationship Id="rId229" Type="http://schemas.openxmlformats.org/officeDocument/2006/relationships/hyperlink" Target="https://drive.google.com/file/d/1Xs8WeFsejVz2hJMNOmso4j5cfZkrUIX1/view?usp=drivesdk" TargetMode="External"/><Relationship Id="rId380" Type="http://schemas.openxmlformats.org/officeDocument/2006/relationships/hyperlink" Target="https://drive.google.com/file/d/1UNhIEiT-uz8NCkWTMcsDQwPg7laDRRoi/view?usp=drivesdk" TargetMode="External"/><Relationship Id="rId436" Type="http://schemas.openxmlformats.org/officeDocument/2006/relationships/hyperlink" Target="https://drive.google.com/open?id=1j1K8zCbMjJ21h0FYgZZzW28mVEBwtP4c" TargetMode="External"/><Relationship Id="rId601" Type="http://schemas.openxmlformats.org/officeDocument/2006/relationships/hyperlink" Target="https://drive.google.com/file/d/1bqcc5Knn1OuY6J0bCg1_KxzRsl0o3d57/view?usp=drivesdk" TargetMode="External"/><Relationship Id="rId643" Type="http://schemas.openxmlformats.org/officeDocument/2006/relationships/hyperlink" Target="https://drive.google.com/open?id=1tFoJpj6pK6hU2W-sxDNKY36wp7NxdJqZ" TargetMode="External"/><Relationship Id="rId240" Type="http://schemas.openxmlformats.org/officeDocument/2006/relationships/hyperlink" Target="https://drive.google.com/open?id=1T8zere1wiyP9t9N8zj2PMGiLGAp3hbap" TargetMode="External"/><Relationship Id="rId478" Type="http://schemas.openxmlformats.org/officeDocument/2006/relationships/hyperlink" Target="https://drive.google.com/file/d/1IWKb9q6lkwA56Ekr6y93wqwMdFEVq1L2/view?usp=drivesdk" TargetMode="External"/><Relationship Id="rId685" Type="http://schemas.openxmlformats.org/officeDocument/2006/relationships/hyperlink" Target="https://drive.google.com/open?id=1YZ9e9PPnxhhRTdxq8SbsoqfdkKubDF4l" TargetMode="External"/><Relationship Id="rId35" Type="http://schemas.openxmlformats.org/officeDocument/2006/relationships/hyperlink" Target="https://drive.google.com/file/d/1JqkXfnzZ951QZZHAdPiUfB2ZNo53xQDz/view?usp=drivesdk" TargetMode="External"/><Relationship Id="rId77" Type="http://schemas.openxmlformats.org/officeDocument/2006/relationships/hyperlink" Target="https://drive.google.com/open?id=1sdEp7nkHPIHNea7-o8dNU9j0J6t_RvVp" TargetMode="External"/><Relationship Id="rId100" Type="http://schemas.openxmlformats.org/officeDocument/2006/relationships/hyperlink" Target="https://drive.google.com/file/d/1d2D3VZ5cR9VXYEmbLc3AhLPyv0yomnPB/view?usp=drivesdk" TargetMode="External"/><Relationship Id="rId282" Type="http://schemas.openxmlformats.org/officeDocument/2006/relationships/hyperlink" Target="https://drive.google.com/file/d/1G_nSBvixchnnd6DOC4WOFzOORDoiejNV/view?usp=drivesdk" TargetMode="External"/><Relationship Id="rId338" Type="http://schemas.openxmlformats.org/officeDocument/2006/relationships/hyperlink" Target="https://drive.google.com/open?id=13qnGaVPoUt2U5qU_cuxssBrfE4M4CJ9M" TargetMode="External"/><Relationship Id="rId503" Type="http://schemas.openxmlformats.org/officeDocument/2006/relationships/hyperlink" Target="https://drive.google.com/open?id=1BO4s6AEONzKHFq05x2dlUTBJsVCuwyxf" TargetMode="External"/><Relationship Id="rId545" Type="http://schemas.openxmlformats.org/officeDocument/2006/relationships/hyperlink" Target="https://drive.google.com/file/d/1Rql8Lz6Ia3H8q4_Tp0itA4WllkQTyny_/view?usp=drivesdk" TargetMode="External"/><Relationship Id="rId587" Type="http://schemas.openxmlformats.org/officeDocument/2006/relationships/hyperlink" Target="https://drive.google.com/file/d/1_6Ad1oFUwT8tZ9vp29k-RjmYu38dBjeB/view?usp=drivesdk" TargetMode="External"/><Relationship Id="rId710" Type="http://schemas.openxmlformats.org/officeDocument/2006/relationships/hyperlink" Target="https://drive.google.com/file/d/1fMvsu3v0peBMxDkyzu509DS69ZbMNC18/view?usp=drivesdk" TargetMode="External"/><Relationship Id="rId752" Type="http://schemas.openxmlformats.org/officeDocument/2006/relationships/hyperlink" Target="https://drive.google.com/file/d/1eBdFMC2B2BHDwOR-228jvhmpsygi-EOk/view?usp=drivesdk" TargetMode="External"/><Relationship Id="rId8" Type="http://schemas.openxmlformats.org/officeDocument/2006/relationships/hyperlink" Target="https://drive.google.com/open?id=1x0WjMDp1vEONPYIFlWgEEhmV92TyO6i0" TargetMode="External"/><Relationship Id="rId142" Type="http://schemas.openxmlformats.org/officeDocument/2006/relationships/hyperlink" Target="https://drive.google.com/open?id=1fjnLwl7zpSjF3dSoFHhtmPVmJLK07gAh" TargetMode="External"/><Relationship Id="rId184" Type="http://schemas.openxmlformats.org/officeDocument/2006/relationships/hyperlink" Target="https://drive.google.com/open?id=1MlnSIhIqnoxxdlSDZ-VDqpTu8S2Kjliw" TargetMode="External"/><Relationship Id="rId391" Type="http://schemas.openxmlformats.org/officeDocument/2006/relationships/hyperlink" Target="https://drive.google.com/open?id=1B3-6WtPzNYojRDyXxUferphqoMfWDvWJ" TargetMode="External"/><Relationship Id="rId405" Type="http://schemas.openxmlformats.org/officeDocument/2006/relationships/hyperlink" Target="https://drive.google.com/open?id=148l4GZJT0CpuZgYJijkSFp3y-ljoEFzl" TargetMode="External"/><Relationship Id="rId447" Type="http://schemas.openxmlformats.org/officeDocument/2006/relationships/hyperlink" Target="https://drive.google.com/file/d/12vPXXXnFyO3EwG_kkMOyhTkMBRaYU01R/view?usp=drivesdk" TargetMode="External"/><Relationship Id="rId612" Type="http://schemas.openxmlformats.org/officeDocument/2006/relationships/hyperlink" Target="https://drive.google.com/open?id=1yYTRdIV125RZJY4BplagxgL82RBMdfzW" TargetMode="External"/><Relationship Id="rId794" Type="http://schemas.openxmlformats.org/officeDocument/2006/relationships/hyperlink" Target="https://drive.google.com/open?id=1F8MIBE1jWqJ_Ber50MYdKCiiWSUHzjgF" TargetMode="External"/><Relationship Id="rId251" Type="http://schemas.openxmlformats.org/officeDocument/2006/relationships/hyperlink" Target="https://drive.google.com/file/d/1NGNBthihSUaJ2LFhlNPTO12fbtapFURO/view?usp=drivesdk" TargetMode="External"/><Relationship Id="rId489" Type="http://schemas.openxmlformats.org/officeDocument/2006/relationships/hyperlink" Target="https://drive.google.com/file/d/15jOFQibLrzBZO_HbjvRgJKsByIVun8ze/view?usp=drivesdk" TargetMode="External"/><Relationship Id="rId654" Type="http://schemas.openxmlformats.org/officeDocument/2006/relationships/hyperlink" Target="https://drive.google.com/file/d/1dUDJLQ1cEuydrQdfhoDzfWPB5b1vpKIh/view?usp=drivesdk" TargetMode="External"/><Relationship Id="rId696" Type="http://schemas.openxmlformats.org/officeDocument/2006/relationships/hyperlink" Target="https://drive.google.com/file/d/1AcKw0cfTPcdoM7EUz1iQ66_5IThYDzCv/view?usp=drivesdk" TargetMode="External"/><Relationship Id="rId46" Type="http://schemas.openxmlformats.org/officeDocument/2006/relationships/hyperlink" Target="https://drive.google.com/open?id=1buT_gA_8WnR057QnjJcKJGpcqOXcrxpZ" TargetMode="External"/><Relationship Id="rId293" Type="http://schemas.openxmlformats.org/officeDocument/2006/relationships/hyperlink" Target="https://drive.google.com/file/d/12jDAlKQfneu84j0KCyopA_4FsYaK2PcN/view?usp=drivesdk" TargetMode="External"/><Relationship Id="rId307" Type="http://schemas.openxmlformats.org/officeDocument/2006/relationships/hyperlink" Target="https://drive.google.com/open?id=1W7_6GMiU0BgfIp9jZXWDFB6P5RZkfhWl" TargetMode="External"/><Relationship Id="rId349" Type="http://schemas.openxmlformats.org/officeDocument/2006/relationships/hyperlink" Target="https://drive.google.com/open?id=1b6U5P3xkP9RJEtKRfOPxqeUDNchC2oTK" TargetMode="External"/><Relationship Id="rId514" Type="http://schemas.openxmlformats.org/officeDocument/2006/relationships/hyperlink" Target="https://drive.google.com/open?id=1dp725lqG2HD5XNfFAGLdJRf4M6zDAb1L" TargetMode="External"/><Relationship Id="rId556" Type="http://schemas.openxmlformats.org/officeDocument/2006/relationships/hyperlink" Target="https://drive.google.com/open?id=1G7LLiMpgialJ4vzWFcAIUnxUcDR3JcAy" TargetMode="External"/><Relationship Id="rId721" Type="http://schemas.openxmlformats.org/officeDocument/2006/relationships/hyperlink" Target="https://drive.google.com/open?id=1Us9NmwNeMDot6NKD1jcBov-79KpCK0LS" TargetMode="External"/><Relationship Id="rId763" Type="http://schemas.openxmlformats.org/officeDocument/2006/relationships/hyperlink" Target="https://drive.google.com/file/d/1m-O6-5kcKBDoqwsDf8IQX6qmFfCUozhC/view?usp=drivesdk" TargetMode="External"/><Relationship Id="rId88" Type="http://schemas.openxmlformats.org/officeDocument/2006/relationships/hyperlink" Target="https://drive.google.com/open?id=1lXJ91qEoINauEsJBwCjp9JHhk5opuCoa" TargetMode="External"/><Relationship Id="rId111" Type="http://schemas.openxmlformats.org/officeDocument/2006/relationships/hyperlink" Target="https://drive.google.com/open?id=1AlDt9UVWXT0HsGIrAGBrLDKIExqgKZX0" TargetMode="External"/><Relationship Id="rId153" Type="http://schemas.openxmlformats.org/officeDocument/2006/relationships/hyperlink" Target="https://drive.google.com/open?id=1-aglZ5zUK6B09y6R7-hE-K_k8DG9BqS5" TargetMode="External"/><Relationship Id="rId195" Type="http://schemas.openxmlformats.org/officeDocument/2006/relationships/hyperlink" Target="https://drive.google.com/open?id=11FypsBoZ20PagvxHBS7rWPoyQ1Xdbsja" TargetMode="External"/><Relationship Id="rId209" Type="http://schemas.openxmlformats.org/officeDocument/2006/relationships/hyperlink" Target="https://drive.google.com/file/d/1T4HhspTzQg2byJsP1XqKiH9eTZ4lh2gs/view?usp=drivesdk" TargetMode="External"/><Relationship Id="rId360" Type="http://schemas.openxmlformats.org/officeDocument/2006/relationships/hyperlink" Target="https://drive.google.com/file/d/1KVJXyVB8D5Q5YINHbL92hcDbcZCItrwL/view?usp=drivesdk" TargetMode="External"/><Relationship Id="rId416" Type="http://schemas.openxmlformats.org/officeDocument/2006/relationships/hyperlink" Target="https://drive.google.com/open?id=1evWGcubq1mcotQC4YSPGYIhrhmSCV5rT" TargetMode="External"/><Relationship Id="rId598" Type="http://schemas.openxmlformats.org/officeDocument/2006/relationships/hyperlink" Target="https://drive.google.com/open?id=1eKQb--k7XUYz34bRM6aSan9SC7CiJnhu" TargetMode="External"/><Relationship Id="rId220" Type="http://schemas.openxmlformats.org/officeDocument/2006/relationships/hyperlink" Target="https://drive.google.com/open?id=1J4oLPFyDpTSEcOGncacZfpBlUfcTO5Dg" TargetMode="External"/><Relationship Id="rId458" Type="http://schemas.openxmlformats.org/officeDocument/2006/relationships/hyperlink" Target="https://drive.google.com/open?id=1764U-OIxKv5F1ynKHXbbcns1LlREkFMf" TargetMode="External"/><Relationship Id="rId623" Type="http://schemas.openxmlformats.org/officeDocument/2006/relationships/hyperlink" Target="https://drive.google.com/file/d/1wxDXPwXZMSIj-AdZZJGQz6_Dy66eeSpp/view?usp=drivesdk" TargetMode="External"/><Relationship Id="rId665" Type="http://schemas.openxmlformats.org/officeDocument/2006/relationships/hyperlink" Target="https://drive.google.com/open?id=1v3uFzgCsuNhOmq-aFsJ1259Jm-89zvTg" TargetMode="External"/><Relationship Id="rId15" Type="http://schemas.openxmlformats.org/officeDocument/2006/relationships/hyperlink" Target="https://drive.google.com/file/d/1lud1iW1ZfaSG2vQU33r5nidI79TTuo11/view?usp=drivesdk" TargetMode="External"/><Relationship Id="rId57" Type="http://schemas.openxmlformats.org/officeDocument/2006/relationships/hyperlink" Target="https://drive.google.com/file/d/1rtNIUlhFUOTgp0t5NPNnKGM2NBJuQB-U/view?usp=drivesdk" TargetMode="External"/><Relationship Id="rId262" Type="http://schemas.openxmlformats.org/officeDocument/2006/relationships/hyperlink" Target="https://drive.google.com/file/d/1CeAhQTfNQmjC5b0R_sjETkUtmwTiTUW_/view?usp=drivesdk" TargetMode="External"/><Relationship Id="rId318" Type="http://schemas.openxmlformats.org/officeDocument/2006/relationships/hyperlink" Target="https://drive.google.com/file/d/1Nn47CebmMF0tgw1vm3pD4OcXf01s5Gpf/view?usp=drivesdk" TargetMode="External"/><Relationship Id="rId525" Type="http://schemas.openxmlformats.org/officeDocument/2006/relationships/hyperlink" Target="https://drive.google.com/open?id=1gw7KsSsUdWtryaIcqlg2R-PuYHK_G9Mk" TargetMode="External"/><Relationship Id="rId567" Type="http://schemas.openxmlformats.org/officeDocument/2006/relationships/hyperlink" Target="https://drive.google.com/file/d/1oQ5RmXLrko0XgwzBO5xhtv1APECGmQRI/view?usp=drivesdk" TargetMode="External"/><Relationship Id="rId732" Type="http://schemas.openxmlformats.org/officeDocument/2006/relationships/hyperlink" Target="https://drive.google.com/file/d/1lIn5O6aDebTB0wydzoTIBob6OQKwOw1R/view?usp=drivesdk" TargetMode="External"/><Relationship Id="rId99" Type="http://schemas.openxmlformats.org/officeDocument/2006/relationships/hyperlink" Target="https://drive.google.com/open?id=1lIcEYP_y7vtj35IiBeu0Avjean_3jfWO" TargetMode="External"/><Relationship Id="rId122" Type="http://schemas.openxmlformats.org/officeDocument/2006/relationships/hyperlink" Target="https://drive.google.com/file/d/12IHTULbYcsC76cWMsEuoO6MQjLvxIcN3/view?usp=drivesdk" TargetMode="External"/><Relationship Id="rId164" Type="http://schemas.openxmlformats.org/officeDocument/2006/relationships/hyperlink" Target="https://drive.google.com/file/d/1ZSXqU6vxNag-BNj3AAUQtn7mzKYPQ0Ny/view?usp=drivesdk" TargetMode="External"/><Relationship Id="rId371" Type="http://schemas.openxmlformats.org/officeDocument/2006/relationships/hyperlink" Target="https://drive.google.com/file/d/1d_izbss7J62Lx0JFNQKxHfegmUQa2cyD/view?usp=drivesdk" TargetMode="External"/><Relationship Id="rId774" Type="http://schemas.openxmlformats.org/officeDocument/2006/relationships/hyperlink" Target="https://drive.google.com/open?id=1vx1SZia4zdlYgIbXOiIyE6NYSe4wniNU" TargetMode="External"/><Relationship Id="rId427" Type="http://schemas.openxmlformats.org/officeDocument/2006/relationships/hyperlink" Target="https://drive.google.com/open?id=1zsmkmA1GltvtKLHGK-zfi-hyTpjX8WYB" TargetMode="External"/><Relationship Id="rId469" Type="http://schemas.openxmlformats.org/officeDocument/2006/relationships/hyperlink" Target="https://drive.google.com/open?id=1kuLGYXpfP3yoIdCxrwnFe8SoMAlebxCY" TargetMode="External"/><Relationship Id="rId634" Type="http://schemas.openxmlformats.org/officeDocument/2006/relationships/hyperlink" Target="https://drive.google.com/open?id=1sVPaoIzv_WwImY1oN05cJ9EDB_iv6lY1" TargetMode="External"/><Relationship Id="rId676" Type="http://schemas.openxmlformats.org/officeDocument/2006/relationships/hyperlink" Target="https://drive.google.com/file/d/1zeMhn21c6RbK8zH6gLhq3gpwe8B2omjT/view?usp=drivesdk" TargetMode="External"/><Relationship Id="rId26" Type="http://schemas.openxmlformats.org/officeDocument/2006/relationships/hyperlink" Target="https://drive.google.com/open?id=1pRMvhhPakWHk3JmmvYk6b40bAoByDjzA" TargetMode="External"/><Relationship Id="rId231" Type="http://schemas.openxmlformats.org/officeDocument/2006/relationships/hyperlink" Target="https://drive.google.com/file/d/1SCdMn_UGSX4bZHv_rM83h98gKpygeIyM/view?usp=drivesdk" TargetMode="External"/><Relationship Id="rId273" Type="http://schemas.openxmlformats.org/officeDocument/2006/relationships/hyperlink" Target="https://drive.google.com/file/d/1jfODzgWBhHvqfquvBWdBTT9WcQQxkOWk/view?usp=drivesdk" TargetMode="External"/><Relationship Id="rId329" Type="http://schemas.openxmlformats.org/officeDocument/2006/relationships/hyperlink" Target="https://drive.google.com/open?id=1gWIVFU1YCDJ53Al-OwhEhKoInuFD3ho-" TargetMode="External"/><Relationship Id="rId480" Type="http://schemas.openxmlformats.org/officeDocument/2006/relationships/hyperlink" Target="https://drive.google.com/file/d/1SO034f_EeKP9bn5uXvNll6vZMp7hVZQm/view?usp=drivesdk" TargetMode="External"/><Relationship Id="rId536" Type="http://schemas.openxmlformats.org/officeDocument/2006/relationships/hyperlink" Target="https://drive.google.com/open?id=1sdVoBqMnL7bN-8VFdYKP26hZE78NbrU9" TargetMode="External"/><Relationship Id="rId701" Type="http://schemas.openxmlformats.org/officeDocument/2006/relationships/hyperlink" Target="https://drive.google.com/file/d/1tpeDR6XoTipGNbYDWG5zw2tAiRzaV4lB/view?usp=drivesdk" TargetMode="External"/><Relationship Id="rId68" Type="http://schemas.openxmlformats.org/officeDocument/2006/relationships/hyperlink" Target="https://drive.google.com/open?id=1yq_ugUBH4_QnKVI9Uqy8Cu1pbDe06m1o" TargetMode="External"/><Relationship Id="rId133" Type="http://schemas.openxmlformats.org/officeDocument/2006/relationships/hyperlink" Target="https://drive.google.com/open?id=14pqDV13WIuvBrYa7A0CbccGzFQL2Mp1R" TargetMode="External"/><Relationship Id="rId175" Type="http://schemas.openxmlformats.org/officeDocument/2006/relationships/hyperlink" Target="https://drive.google.com/open?id=1BYanQ6byneB71NGnFyyfhABnxalIDwiS" TargetMode="External"/><Relationship Id="rId340" Type="http://schemas.openxmlformats.org/officeDocument/2006/relationships/hyperlink" Target="https://drive.google.com/open?id=1jIOLT4sNZf7Dz6KVhnsV-UfBNjQk7XkL" TargetMode="External"/><Relationship Id="rId578" Type="http://schemas.openxmlformats.org/officeDocument/2006/relationships/hyperlink" Target="https://drive.google.com/file/d/1TxIx5NFyqScidj3aPDqKubVhsKMaeREP/view?usp=drivesdk" TargetMode="External"/><Relationship Id="rId743" Type="http://schemas.openxmlformats.org/officeDocument/2006/relationships/hyperlink" Target="https://drive.google.com/open?id=1OSwr--wZbaOeJ4mFlei6nEBW6QBxfB4d" TargetMode="External"/><Relationship Id="rId785" Type="http://schemas.openxmlformats.org/officeDocument/2006/relationships/hyperlink" Target="https://drive.google.com/file/d/1IGvhQBwoOJ68Foh7GTkPKEJaSji_J8Bc/view?usp=drivesdk" TargetMode="External"/><Relationship Id="rId200" Type="http://schemas.openxmlformats.org/officeDocument/2006/relationships/hyperlink" Target="https://drive.google.com/file/d/12caEkVjYU8s6bOYfREMOk5MnAGkqKkjK/view?usp=drivesdk" TargetMode="External"/><Relationship Id="rId382" Type="http://schemas.openxmlformats.org/officeDocument/2006/relationships/hyperlink" Target="https://drive.google.com/file/d/1xO66ppLwnTcM9zl24b8t3b8YWhXDmHMM/view?usp=drivesdk" TargetMode="External"/><Relationship Id="rId438" Type="http://schemas.openxmlformats.org/officeDocument/2006/relationships/hyperlink" Target="https://drive.google.com/open?id=18Vk3aDpt3h0-9itKl1-HO2GA7Ni7f4nO" TargetMode="External"/><Relationship Id="rId603" Type="http://schemas.openxmlformats.org/officeDocument/2006/relationships/hyperlink" Target="https://drive.google.com/file/d/1KFP3bc9t-_dbVHAb5ujfjihEVKbC0CAC/view?usp=drivesdk" TargetMode="External"/><Relationship Id="rId645" Type="http://schemas.openxmlformats.org/officeDocument/2006/relationships/hyperlink" Target="https://drive.google.com/open?id=1Jx620ujq3Ugn4RFLzGQiEeOhi_82ckrx" TargetMode="External"/><Relationship Id="rId687" Type="http://schemas.openxmlformats.org/officeDocument/2006/relationships/hyperlink" Target="https://drive.google.com/open?id=1CckfZso7-BJicw2OcIQLahyCc-77vABh" TargetMode="External"/><Relationship Id="rId242" Type="http://schemas.openxmlformats.org/officeDocument/2006/relationships/hyperlink" Target="https://drive.google.com/open?id=1mO5EK9-skUEQrBOhYJw0jBGKgiB_306I" TargetMode="External"/><Relationship Id="rId284" Type="http://schemas.openxmlformats.org/officeDocument/2006/relationships/hyperlink" Target="https://drive.google.com/open?id=1uZQ6ntngk9SPDYe9TxTh_ij7lLABP9UZ" TargetMode="External"/><Relationship Id="rId491" Type="http://schemas.openxmlformats.org/officeDocument/2006/relationships/hyperlink" Target="https://drive.google.com/open?id=178RWWghzlb0FnZDGKxNz9Tap6MIp9HdJ" TargetMode="External"/><Relationship Id="rId505" Type="http://schemas.openxmlformats.org/officeDocument/2006/relationships/hyperlink" Target="https://drive.google.com/open?id=1Owhoin3K3DnyrBCOLiwuxWDHRivygNUz" TargetMode="External"/><Relationship Id="rId712" Type="http://schemas.openxmlformats.org/officeDocument/2006/relationships/hyperlink" Target="https://drive.google.com/file/d/1nGhJibZ-gDxZZkwNLq-B2JGvVBWvOPR9/view?usp=drivesdk" TargetMode="External"/><Relationship Id="rId37" Type="http://schemas.openxmlformats.org/officeDocument/2006/relationships/hyperlink" Target="https://drive.google.com/file/d/1eyISSuHTIJsKbD3-okOjioatG6FRhuKy/view?usp=drivesdk" TargetMode="External"/><Relationship Id="rId79" Type="http://schemas.openxmlformats.org/officeDocument/2006/relationships/hyperlink" Target="https://drive.google.com/open?id=1J6hgh25lrq6QxILNjyQ0YHMzEyONzlLz" TargetMode="External"/><Relationship Id="rId102" Type="http://schemas.openxmlformats.org/officeDocument/2006/relationships/hyperlink" Target="https://drive.google.com/file/d/15bukjPSIKhtn074THOHOpcBmOU0pC7KY/view?usp=drivesdk" TargetMode="External"/><Relationship Id="rId144" Type="http://schemas.openxmlformats.org/officeDocument/2006/relationships/hyperlink" Target="https://drive.google.com/open?id=1FiF3M-8WVtIfL6AGStRP7BZ-LKca63R1" TargetMode="External"/><Relationship Id="rId547" Type="http://schemas.openxmlformats.org/officeDocument/2006/relationships/hyperlink" Target="https://drive.google.com/file/d/1647wQGDca6NEML6rlhZts6xWFI4LbKTf/view?usp=drivesdk" TargetMode="External"/><Relationship Id="rId589" Type="http://schemas.openxmlformats.org/officeDocument/2006/relationships/hyperlink" Target="https://drive.google.com/file/d/12TsS8-bZxuHCH8rxLDcZHSSgTzoDvYdr/view?usp=drivesdk" TargetMode="External"/><Relationship Id="rId754" Type="http://schemas.openxmlformats.org/officeDocument/2006/relationships/hyperlink" Target="https://drive.google.com/file/d/1wKRtS2BsZSAy0DiElzNhbOMf4BpguDUz/view?usp=drivesdk" TargetMode="External"/><Relationship Id="rId796" Type="http://schemas.openxmlformats.org/officeDocument/2006/relationships/printerSettings" Target="../printerSettings/printerSettings7.bin"/><Relationship Id="rId90" Type="http://schemas.openxmlformats.org/officeDocument/2006/relationships/hyperlink" Target="https://drive.google.com/open?id=1KZ3BdpHkZJ91SxoNy2OxucX875ogiOMT" TargetMode="External"/><Relationship Id="rId186" Type="http://schemas.openxmlformats.org/officeDocument/2006/relationships/hyperlink" Target="https://drive.google.com/open?id=1NmOKzD-K_aekyGzoIbckTSlsGQ8_1xt4" TargetMode="External"/><Relationship Id="rId351" Type="http://schemas.openxmlformats.org/officeDocument/2006/relationships/hyperlink" Target="https://drive.google.com/open?id=15GxfuE8yt78v2Ku6o4KmSJGqXjzYrO6c" TargetMode="External"/><Relationship Id="rId393" Type="http://schemas.openxmlformats.org/officeDocument/2006/relationships/hyperlink" Target="https://drive.google.com/open?id=1-v4DYZXmayNezOuDv2parTy_XzIvxd4p" TargetMode="External"/><Relationship Id="rId407" Type="http://schemas.openxmlformats.org/officeDocument/2006/relationships/hyperlink" Target="https://drive.google.com/open?id=1FiI0pxDMo7HkdQiBOhrfGK9ZLA2f-d_-" TargetMode="External"/><Relationship Id="rId449" Type="http://schemas.openxmlformats.org/officeDocument/2006/relationships/hyperlink" Target="https://drive.google.com/file/d/1Ity3z9w9_tk4G8NDj445aAeEU0yYVXDu/view?usp=drivesdk" TargetMode="External"/><Relationship Id="rId614" Type="http://schemas.openxmlformats.org/officeDocument/2006/relationships/hyperlink" Target="https://drive.google.com/open?id=1pHYUsyyg3T8q2sOl-NkVp7ux3ZIAssQp" TargetMode="External"/><Relationship Id="rId656" Type="http://schemas.openxmlformats.org/officeDocument/2006/relationships/hyperlink" Target="https://drive.google.com/file/d/1qi-vv_6z7GqG663FLwk0avfQMoAO2zer/view?usp=drivesdk" TargetMode="External"/><Relationship Id="rId211" Type="http://schemas.openxmlformats.org/officeDocument/2006/relationships/hyperlink" Target="https://drive.google.com/file/d/1eHMv7ucysTe3aakAi_asZ6bXNnteY7fv/view?usp=drivesdk" TargetMode="External"/><Relationship Id="rId253" Type="http://schemas.openxmlformats.org/officeDocument/2006/relationships/hyperlink" Target="https://drive.google.com/file/d/1Mh_Rgew4my73qbLkgGSAfapBLqDdXw5W/view?usp=drivesdk" TargetMode="External"/><Relationship Id="rId295" Type="http://schemas.openxmlformats.org/officeDocument/2006/relationships/hyperlink" Target="https://drive.google.com/file/d/1k0gSSYDudJmjSWeAJq95XoQW9LBEMFle/view?usp=drivesdk" TargetMode="External"/><Relationship Id="rId309" Type="http://schemas.openxmlformats.org/officeDocument/2006/relationships/hyperlink" Target="https://drive.google.com/file/d/1lMWrx9-L3t7GFshX_LhJfnVwlCggsaOO/view?usp=drivesdk" TargetMode="External"/><Relationship Id="rId460" Type="http://schemas.openxmlformats.org/officeDocument/2006/relationships/hyperlink" Target="https://drive.google.com/open?id=1rVvxTI7p72ndf6u_QUS5CzuLoSefv9yk" TargetMode="External"/><Relationship Id="rId516" Type="http://schemas.openxmlformats.org/officeDocument/2006/relationships/hyperlink" Target="https://drive.google.com/open?id=1_W-bSUPpxs6ZFjvlblFGTxIJeDVmQ1bB" TargetMode="External"/><Relationship Id="rId698" Type="http://schemas.openxmlformats.org/officeDocument/2006/relationships/hyperlink" Target="https://drive.google.com/file/d/11KKCOZC5zpOUUjVBDIOTTapoxVh7SC70/view?usp=drivesdk" TargetMode="External"/><Relationship Id="rId48" Type="http://schemas.openxmlformats.org/officeDocument/2006/relationships/hyperlink" Target="https://drive.google.com/open?id=1Xt-4eR2om8sAeCpB37kBVM4OgqhVozBT" TargetMode="External"/><Relationship Id="rId113" Type="http://schemas.openxmlformats.org/officeDocument/2006/relationships/hyperlink" Target="https://drive.google.com/file/d/1IXwBZI99q9Ydgem9QzT__Uy8GtLVLtO5/view?usp=drivesdk" TargetMode="External"/><Relationship Id="rId320" Type="http://schemas.openxmlformats.org/officeDocument/2006/relationships/hyperlink" Target="https://drive.google.com/file/d/1KyVe3dDw8jnaOt4v9gRW5LEc6wwmFXmC/view?usp=drivesdk" TargetMode="External"/><Relationship Id="rId558" Type="http://schemas.openxmlformats.org/officeDocument/2006/relationships/hyperlink" Target="https://drive.google.com/open?id=1FMCv-OTNjtD4cu_4XJfLIvrcqilIeQyx" TargetMode="External"/><Relationship Id="rId723" Type="http://schemas.openxmlformats.org/officeDocument/2006/relationships/hyperlink" Target="https://drive.google.com/open?id=1W8hDgK5sI05j5MzPA1OqlLedyPVaqiKk" TargetMode="External"/><Relationship Id="rId765" Type="http://schemas.openxmlformats.org/officeDocument/2006/relationships/hyperlink" Target="https://drive.google.com/file/d/1Bnl1Imldaqdy3W8VGMo5BJNtPEUGDenT/view?usp=drivesdk" TargetMode="External"/><Relationship Id="rId155" Type="http://schemas.openxmlformats.org/officeDocument/2006/relationships/hyperlink" Target="https://drive.google.com/open?id=1S9itZYo6XSJP8cAl3eLy7ahkuJw1QHqN" TargetMode="External"/><Relationship Id="rId197" Type="http://schemas.openxmlformats.org/officeDocument/2006/relationships/hyperlink" Target="https://drive.google.com/open?id=1tUsY2TeNRJhqNEOji5FiwEefPIZFoaIE" TargetMode="External"/><Relationship Id="rId362" Type="http://schemas.openxmlformats.org/officeDocument/2006/relationships/hyperlink" Target="https://drive.google.com/open?id=1kpER2N3kGTEa9xyRy4TZIvbahJyCUCaP" TargetMode="External"/><Relationship Id="rId418" Type="http://schemas.openxmlformats.org/officeDocument/2006/relationships/hyperlink" Target="https://drive.google.com/open?id=1DJVq2Jmyu0aHFInLuL8zqCoyTr62JAUu" TargetMode="External"/><Relationship Id="rId625" Type="http://schemas.openxmlformats.org/officeDocument/2006/relationships/hyperlink" Target="https://drive.google.com/file/d/1fJsyLE7_gUGfnUWmTmnqvCKlyeZ1gwD-/view?usp=drivesdk" TargetMode="External"/><Relationship Id="rId222" Type="http://schemas.openxmlformats.org/officeDocument/2006/relationships/hyperlink" Target="https://drive.google.com/open?id=100He4QTc7DOJHz-wdWkwQrJ95Bgb5X6F" TargetMode="External"/><Relationship Id="rId264" Type="http://schemas.openxmlformats.org/officeDocument/2006/relationships/hyperlink" Target="https://drive.google.com/file/d/14jo-MAE6YnYVN34OjMAyutwNFXvgpy-F/view?usp=drivesdk" TargetMode="External"/><Relationship Id="rId471" Type="http://schemas.openxmlformats.org/officeDocument/2006/relationships/hyperlink" Target="https://drive.google.com/open?id=1YORz-w4ZQWL3bh_UhkH20LKY-7TrTthv" TargetMode="External"/><Relationship Id="rId667" Type="http://schemas.openxmlformats.org/officeDocument/2006/relationships/hyperlink" Target="https://drive.google.com/open?id=1sG_U6mFeBOROe3tdr8Ys2ThfZxPdBq44" TargetMode="External"/><Relationship Id="rId17" Type="http://schemas.openxmlformats.org/officeDocument/2006/relationships/hyperlink" Target="https://drive.google.com/file/d/1kd4F2IwGWQ2a0pKywjKyKjQDpOyfseEK/view?usp=drivesdk" TargetMode="External"/><Relationship Id="rId59" Type="http://schemas.openxmlformats.org/officeDocument/2006/relationships/hyperlink" Target="https://drive.google.com/file/d/17N1AozQzDziBCSLN4csM9aI_XeIDBLnk/view?usp=drivesdk" TargetMode="External"/><Relationship Id="rId124" Type="http://schemas.openxmlformats.org/officeDocument/2006/relationships/hyperlink" Target="https://drive.google.com/file/d/1tYqDdTv8EqNUN0WZnu_2Epzf1tel6Eko/view?usp=drivesdk" TargetMode="External"/><Relationship Id="rId527" Type="http://schemas.openxmlformats.org/officeDocument/2006/relationships/hyperlink" Target="https://drive.google.com/file/d/10N9HSptURbE8NgN9WkbLtPgWznObA4wz/view?usp=drivesdk" TargetMode="External"/><Relationship Id="rId569" Type="http://schemas.openxmlformats.org/officeDocument/2006/relationships/hyperlink" Target="https://drive.google.com/file/d/1Qg1LeHp37i40EH-vy-Pvk0bEZw_r63xE/view?usp=drivesdk" TargetMode="External"/><Relationship Id="rId734" Type="http://schemas.openxmlformats.org/officeDocument/2006/relationships/hyperlink" Target="https://drive.google.com/file/d/1RGwhZBsQj0jML7a9Z3btQW29ccA8TPm4/view?usp=drivesdk" TargetMode="External"/><Relationship Id="rId776" Type="http://schemas.openxmlformats.org/officeDocument/2006/relationships/hyperlink" Target="https://drive.google.com/open?id=1shRgiKCJZVHa6Qym8d8BV16gfOpmDnrE" TargetMode="External"/><Relationship Id="rId70" Type="http://schemas.openxmlformats.org/officeDocument/2006/relationships/hyperlink" Target="https://drive.google.com/open?id=1IuqZK1MDvBF-QJCHXfghgBFiYEvoAWbP" TargetMode="External"/><Relationship Id="rId166" Type="http://schemas.openxmlformats.org/officeDocument/2006/relationships/hyperlink" Target="https://drive.google.com/open?id=1YoB_LfvFSJkdRfIgNvEHJrJ82JJVtzLq" TargetMode="External"/><Relationship Id="rId331" Type="http://schemas.openxmlformats.org/officeDocument/2006/relationships/hyperlink" Target="https://drive.google.com/open?id=1KbrS9FqYKOEY24gdTSys6hJZvL0lHer0" TargetMode="External"/><Relationship Id="rId373" Type="http://schemas.openxmlformats.org/officeDocument/2006/relationships/hyperlink" Target="https://drive.google.com/open?id=1ssOviEC2rHbzIwmvvb0kdxv6Rj_LckTk" TargetMode="External"/><Relationship Id="rId429" Type="http://schemas.openxmlformats.org/officeDocument/2006/relationships/hyperlink" Target="https://drive.google.com/open?id=1CY52K6lvFHQUSDPmNzg6D4HhkdZwUidu" TargetMode="External"/><Relationship Id="rId580" Type="http://schemas.openxmlformats.org/officeDocument/2006/relationships/hyperlink" Target="https://drive.google.com/file/d/1ypgHzgwn1bOQJP2Qp8NTxSrA9OG6YAOt/view?usp=drivesdk" TargetMode="External"/><Relationship Id="rId636" Type="http://schemas.openxmlformats.org/officeDocument/2006/relationships/hyperlink" Target="https://drive.google.com/open?id=1GMFtsGVChjWAC9vsEfSXPy0LLBCWgyIx" TargetMode="External"/><Relationship Id="rId1" Type="http://schemas.openxmlformats.org/officeDocument/2006/relationships/hyperlink" Target="https://drive.google.com/open?id=1mrEM8U6G0fnxB_WTM_uGprNxAl7eOq0e" TargetMode="External"/><Relationship Id="rId233" Type="http://schemas.openxmlformats.org/officeDocument/2006/relationships/hyperlink" Target="https://drive.google.com/open?id=1UioJKr_Hrfyr4IllR2rPV0vqyFw7Cfx5" TargetMode="External"/><Relationship Id="rId440" Type="http://schemas.openxmlformats.org/officeDocument/2006/relationships/hyperlink" Target="https://drive.google.com/open?id=1skni7B0X8tRHdyHKcgmM7HI2Ax4-ZzqG" TargetMode="External"/><Relationship Id="rId678" Type="http://schemas.openxmlformats.org/officeDocument/2006/relationships/hyperlink" Target="https://drive.google.com/file/d/1Upms6dZKOHKupBegkfV4ThueOEvlC5Yr/view?usp=drivesdk" TargetMode="External"/><Relationship Id="rId28" Type="http://schemas.openxmlformats.org/officeDocument/2006/relationships/hyperlink" Target="https://drive.google.com/open?id=131vEc_tb2CaI6NiXAmQlVeHz3MaJJZ8c" TargetMode="External"/><Relationship Id="rId275" Type="http://schemas.openxmlformats.org/officeDocument/2006/relationships/hyperlink" Target="https://drive.google.com/open?id=1beiP7KMup0bFo_MyAzV3-Cw9wgF_ykMm" TargetMode="External"/><Relationship Id="rId300" Type="http://schemas.openxmlformats.org/officeDocument/2006/relationships/hyperlink" Target="https://drive.google.com/file/d/1BsTihhjLHNs1UGk6KX2UgG82JMZDPGlh/view?usp=drivesdk" TargetMode="External"/><Relationship Id="rId482" Type="http://schemas.openxmlformats.org/officeDocument/2006/relationships/hyperlink" Target="https://drive.google.com/open?id=1ffyXG6N_WCAowAjons3z0vSUkpyrZzFk" TargetMode="External"/><Relationship Id="rId538" Type="http://schemas.openxmlformats.org/officeDocument/2006/relationships/hyperlink" Target="https://drive.google.com/open?id=1Me8dVHsDyPxsdG-wXNb46kVnrH8-06uY" TargetMode="External"/><Relationship Id="rId703" Type="http://schemas.openxmlformats.org/officeDocument/2006/relationships/hyperlink" Target="https://drive.google.com/file/d/18jxAiUWNxTRJeAnVtJbKSkOtJGgxHpdV/view?usp=drivesdk" TargetMode="External"/><Relationship Id="rId745" Type="http://schemas.openxmlformats.org/officeDocument/2006/relationships/hyperlink" Target="https://drive.google.com/open?id=1gKjQq4N0SGehfUdzHW5rlh6LHXlTQ0Jr" TargetMode="External"/><Relationship Id="rId81" Type="http://schemas.openxmlformats.org/officeDocument/2006/relationships/hyperlink" Target="https://drive.google.com/open?id=1ScalFEZn28SCwSvF1URw2lzAg2dTrZcW" TargetMode="External"/><Relationship Id="rId135" Type="http://schemas.openxmlformats.org/officeDocument/2006/relationships/hyperlink" Target="https://drive.google.com/open?id=1WzteGUUDy3K7Kh7fBgAO8Am3_wKosKnz" TargetMode="External"/><Relationship Id="rId177" Type="http://schemas.openxmlformats.org/officeDocument/2006/relationships/hyperlink" Target="https://drive.google.com/open?id=1UVzijFz4lEmIvBtcNJe6OIS5gcMBpGHv" TargetMode="External"/><Relationship Id="rId342" Type="http://schemas.openxmlformats.org/officeDocument/2006/relationships/hyperlink" Target="https://drive.google.com/open?id=1U15qbKiG5sTqHxPTHywKhgWOvFi8xtZB" TargetMode="External"/><Relationship Id="rId384" Type="http://schemas.openxmlformats.org/officeDocument/2006/relationships/hyperlink" Target="https://drive.google.com/file/d/1TsNAotglyDgb9qvIrMP7sSu5d4kB7lbv/view?usp=drivesdk" TargetMode="External"/><Relationship Id="rId591" Type="http://schemas.openxmlformats.org/officeDocument/2006/relationships/hyperlink" Target="https://drive.google.com/file/d/10IRNt2NtvbJyUDAj40DqyoLnG5XT2Bc3/view?usp=drivesdk" TargetMode="External"/><Relationship Id="rId605" Type="http://schemas.openxmlformats.org/officeDocument/2006/relationships/hyperlink" Target="https://drive.google.com/file/d/1U6aexQfd3y4_dao8fMaHPOi55uTv-42M/view?usp=drivesdk" TargetMode="External"/><Relationship Id="rId787" Type="http://schemas.openxmlformats.org/officeDocument/2006/relationships/hyperlink" Target="https://drive.google.com/file/d/1zZ8pxnQxtGrpfhhcL432hMZK7Q0XstVk/view?usp=drivesdk" TargetMode="External"/><Relationship Id="rId202" Type="http://schemas.openxmlformats.org/officeDocument/2006/relationships/hyperlink" Target="https://drive.google.com/file/d/1SmKXjKU7ZTl6citNG1XTUdLQHI_01s8s/view?usp=drivesdk" TargetMode="External"/><Relationship Id="rId244" Type="http://schemas.openxmlformats.org/officeDocument/2006/relationships/hyperlink" Target="https://drive.google.com/open?id=12k9bHA_DRXTNDzOqxM4jgu_VciwB8nxF" TargetMode="External"/><Relationship Id="rId647" Type="http://schemas.openxmlformats.org/officeDocument/2006/relationships/hyperlink" Target="https://drive.google.com/open?id=1B_HJH0PRRfvahGlTHIphlJs8ld5s2bGC" TargetMode="External"/><Relationship Id="rId689" Type="http://schemas.openxmlformats.org/officeDocument/2006/relationships/hyperlink" Target="https://drive.google.com/open?id=1zydE7SvMfDEOZmT6HIWXthmyDF5c80Zd" TargetMode="External"/><Relationship Id="rId39" Type="http://schemas.openxmlformats.org/officeDocument/2006/relationships/hyperlink" Target="https://drive.google.com/file/d/1SVAkq0Xp0jfLcj6pszMlKZ2xy32aT36N/view?usp=drivesdk" TargetMode="External"/><Relationship Id="rId286" Type="http://schemas.openxmlformats.org/officeDocument/2006/relationships/hyperlink" Target="https://drive.google.com/open?id=1PVxWw_avR8fZT1qucxyQfa0DL5fJRvkx" TargetMode="External"/><Relationship Id="rId451" Type="http://schemas.openxmlformats.org/officeDocument/2006/relationships/hyperlink" Target="https://drive.google.com/file/d/16nVVy5hh84wUtxqgQbGdfU3Sh_-2Qj6K/view?usp=drivesdk" TargetMode="External"/><Relationship Id="rId493" Type="http://schemas.openxmlformats.org/officeDocument/2006/relationships/hyperlink" Target="https://drive.google.com/file/d/1EQ73SivIsq9AHHANGogCswebZVKtEzt1/view?usp=drivesdk" TargetMode="External"/><Relationship Id="rId507" Type="http://schemas.openxmlformats.org/officeDocument/2006/relationships/hyperlink" Target="https://drive.google.com/open?id=1urXGbSOnqcAUDF_2NZO_8Hw8woBQmnIn" TargetMode="External"/><Relationship Id="rId549" Type="http://schemas.openxmlformats.org/officeDocument/2006/relationships/hyperlink" Target="https://drive.google.com/file/d/1aQSJCdp_T5YsEa3fsVFkzGKfQWOcjoIw/view?usp=drivesdk" TargetMode="External"/><Relationship Id="rId714" Type="http://schemas.openxmlformats.org/officeDocument/2006/relationships/hyperlink" Target="https://drive.google.com/file/d/1mYYkvP32wTzTB5CQuivPPNiFh-ja4ER3/view?usp=drivesdk" TargetMode="External"/><Relationship Id="rId756" Type="http://schemas.openxmlformats.org/officeDocument/2006/relationships/hyperlink" Target="https://drive.google.com/file/d/18J9nNY5L8BGqFGsntDvQ6Ruhvdo-U0Xs/view?usp=drivesdk" TargetMode="External"/><Relationship Id="rId50" Type="http://schemas.openxmlformats.org/officeDocument/2006/relationships/hyperlink" Target="https://drive.google.com/open?id=1KiT-i5-qROCkVo4sQQaYNGfYBqDBOklo" TargetMode="External"/><Relationship Id="rId104" Type="http://schemas.openxmlformats.org/officeDocument/2006/relationships/hyperlink" Target="https://drive.google.com/file/d/14jQTZGNIoxylLqXsorOx9I5LHpoFAl3e/view?usp=drivesdk" TargetMode="External"/><Relationship Id="rId146" Type="http://schemas.openxmlformats.org/officeDocument/2006/relationships/hyperlink" Target="https://drive.google.com/file/d/1CkBWbBgvzZQ2yKS-6uMCYiHBq-d0qXAX/view?usp=drivesdk" TargetMode="External"/><Relationship Id="rId188" Type="http://schemas.openxmlformats.org/officeDocument/2006/relationships/hyperlink" Target="https://drive.google.com/file/d/1HcEyh94zKpsfCz-umNAOEo9q1yzpG4KE/view?usp=drivesdk" TargetMode="External"/><Relationship Id="rId311" Type="http://schemas.openxmlformats.org/officeDocument/2006/relationships/hyperlink" Target="https://drive.google.com/open?id=1SqEdAp4mLI3TGWzxn_881Sn1EKvIRWdE" TargetMode="External"/><Relationship Id="rId353" Type="http://schemas.openxmlformats.org/officeDocument/2006/relationships/hyperlink" Target="https://drive.google.com/open?id=1YfqVn0HLFJaAdt4o2Q0VLB43xJ_cwTRJ" TargetMode="External"/><Relationship Id="rId395" Type="http://schemas.openxmlformats.org/officeDocument/2006/relationships/hyperlink" Target="https://drive.google.com/open?id=1lgdTeLYu4GKAZTieHMdp98vhLTCwn72t" TargetMode="External"/><Relationship Id="rId409" Type="http://schemas.openxmlformats.org/officeDocument/2006/relationships/hyperlink" Target="https://drive.google.com/open?id=1hAfHwzP_fB-FZ6KakenKOS8iwjZhQA2V" TargetMode="External"/><Relationship Id="rId560" Type="http://schemas.openxmlformats.org/officeDocument/2006/relationships/hyperlink" Target="https://drive.google.com/open?id=1VnTLp2RssADWEGe-TRFaZFimwy_pyA55" TargetMode="External"/><Relationship Id="rId92" Type="http://schemas.openxmlformats.org/officeDocument/2006/relationships/hyperlink" Target="https://drive.google.com/file/d/1PO8E7oS2ehB8cYadjZVFLTgXGjGQI0Rk/view?usp=drivesdk" TargetMode="External"/><Relationship Id="rId213" Type="http://schemas.openxmlformats.org/officeDocument/2006/relationships/hyperlink" Target="https://drive.google.com/file/d/1oUUxYX_eoof-UP5DrXAuKRs7A1kB_-nw/view?usp=drivesdk" TargetMode="External"/><Relationship Id="rId420" Type="http://schemas.openxmlformats.org/officeDocument/2006/relationships/hyperlink" Target="https://drive.google.com/open?id=18Hnz_M50p9mFjB8Ka7MFGAWKKC_X2Q16" TargetMode="External"/><Relationship Id="rId616" Type="http://schemas.openxmlformats.org/officeDocument/2006/relationships/hyperlink" Target="https://drive.google.com/open?id=1qORfn9hv47dL44H77i3kFw4uX5gvm1W0" TargetMode="External"/><Relationship Id="rId658" Type="http://schemas.openxmlformats.org/officeDocument/2006/relationships/hyperlink" Target="https://drive.google.com/file/d/1gwMc61wfEb1CLtC3MIi4eFww5dFAPvd1/view?usp=drivesdk" TargetMode="External"/><Relationship Id="rId255" Type="http://schemas.openxmlformats.org/officeDocument/2006/relationships/hyperlink" Target="https://drive.google.com/file/d/13rZqOsiZOxqbxy9zarqPCCb0ToKglWNz/view?usp=drivesdk" TargetMode="External"/><Relationship Id="rId297" Type="http://schemas.openxmlformats.org/officeDocument/2006/relationships/hyperlink" Target="https://drive.google.com/file/d/1VeT_nri-I2zmh6YpkklywaUh6ylf-vYF/view?usp=drivesdk" TargetMode="External"/><Relationship Id="rId462" Type="http://schemas.openxmlformats.org/officeDocument/2006/relationships/hyperlink" Target="https://drive.google.com/open?id=1ppJ7QM1vKk6nfbghKfz0Rm4-ZuVGPbjA" TargetMode="External"/><Relationship Id="rId518" Type="http://schemas.openxmlformats.org/officeDocument/2006/relationships/hyperlink" Target="https://drive.google.com/open?id=1xri-0nuBb7_9gUd5lXmNrpSUJJU3zzcg" TargetMode="External"/><Relationship Id="rId725" Type="http://schemas.openxmlformats.org/officeDocument/2006/relationships/hyperlink" Target="https://drive.google.com/open?id=1IVRJ5faXg0lN8iG8XW_QfqFaT5BbkRd6" TargetMode="External"/><Relationship Id="rId115" Type="http://schemas.openxmlformats.org/officeDocument/2006/relationships/hyperlink" Target="https://drive.google.com/open?id=1b-EkNdMS0my60PkWXyCtM8EB8nRmb2ux" TargetMode="External"/><Relationship Id="rId157" Type="http://schemas.openxmlformats.org/officeDocument/2006/relationships/hyperlink" Target="https://drive.google.com/open?id=1sgYIqcVhXv5Gx01W1o8jxjsMHveG6_Cm" TargetMode="External"/><Relationship Id="rId322" Type="http://schemas.openxmlformats.org/officeDocument/2006/relationships/hyperlink" Target="https://drive.google.com/file/d/1OKBEjvL1ALaRGaJrD67AFpjuSAGzBQM_/view?usp=drivesdk" TargetMode="External"/><Relationship Id="rId364" Type="http://schemas.openxmlformats.org/officeDocument/2006/relationships/hyperlink" Target="https://drive.google.com/open?id=1monk98yGQ8NHdndRq-SUO4auuemI7OP9" TargetMode="External"/><Relationship Id="rId767" Type="http://schemas.openxmlformats.org/officeDocument/2006/relationships/hyperlink" Target="https://drive.google.com/open?id=1Ro9nvaVnMZNxKLxEtNagz46U5yQeUeWa" TargetMode="External"/><Relationship Id="rId61" Type="http://schemas.openxmlformats.org/officeDocument/2006/relationships/hyperlink" Target="https://drive.google.com/file/d/1ef8mSGbE_xGVtfujHMuHL9ufAT83Qhhf/view?usp=drivesdk" TargetMode="External"/><Relationship Id="rId199" Type="http://schemas.openxmlformats.org/officeDocument/2006/relationships/hyperlink" Target="https://drive.google.com/open?id=1UQEsF6lhuqU9urCJ-ssDP54oU3blBW1z" TargetMode="External"/><Relationship Id="rId571" Type="http://schemas.openxmlformats.org/officeDocument/2006/relationships/hyperlink" Target="https://drive.google.com/file/d/1jvMRsJs9Z3g9P1xZHyMn3YSurGSqroJ8/view?usp=drivesdk" TargetMode="External"/><Relationship Id="rId627" Type="http://schemas.openxmlformats.org/officeDocument/2006/relationships/hyperlink" Target="https://drive.google.com/file/d/1S-b8hegOSSfjLIdKNCyXyXpHTAY3fKm8/view?usp=drivesdk" TargetMode="External"/><Relationship Id="rId669" Type="http://schemas.openxmlformats.org/officeDocument/2006/relationships/hyperlink" Target="https://drive.google.com/open?id=1AkUa0BS0NAaiUOwB3Xgw-QEgpxLnD-nD" TargetMode="External"/><Relationship Id="rId19" Type="http://schemas.openxmlformats.org/officeDocument/2006/relationships/hyperlink" Target="https://drive.google.com/file/d/15fXGhFlhRT0fllOpTzons26Mhuoo_NQz/view?usp=drivesdk" TargetMode="External"/><Relationship Id="rId224" Type="http://schemas.openxmlformats.org/officeDocument/2006/relationships/hyperlink" Target="https://drive.google.com/open?id=1XaqQYLlRcrkoXcyEIDr0NAg9Zt9Mc-nV" TargetMode="External"/><Relationship Id="rId266" Type="http://schemas.openxmlformats.org/officeDocument/2006/relationships/hyperlink" Target="https://drive.google.com/open?id=1OoWN1rVPEyf8ZlB8Gl8Npld7O2ZYdG6F" TargetMode="External"/><Relationship Id="rId431" Type="http://schemas.openxmlformats.org/officeDocument/2006/relationships/hyperlink" Target="https://drive.google.com/open?id=1Ca2tWg9px9RFnQVUw7AhFWnmHPvir520" TargetMode="External"/><Relationship Id="rId473" Type="http://schemas.openxmlformats.org/officeDocument/2006/relationships/hyperlink" Target="https://drive.google.com/open?id=1Csv2I1THOik7fTjMdDb5gAkw5Znrapqs" TargetMode="External"/><Relationship Id="rId529" Type="http://schemas.openxmlformats.org/officeDocument/2006/relationships/hyperlink" Target="https://drive.google.com/file/d/1-LQTyJcFwOizI6jyLght79IJg5a0wWmj/view?usp=drivesdk" TargetMode="External"/><Relationship Id="rId680" Type="http://schemas.openxmlformats.org/officeDocument/2006/relationships/hyperlink" Target="https://drive.google.com/file/d/1Q9cNyDoOfzPY-luHMgtAriDdcgFoCxTr/view?usp=drivesdk" TargetMode="External"/><Relationship Id="rId736" Type="http://schemas.openxmlformats.org/officeDocument/2006/relationships/hyperlink" Target="https://drive.google.com/file/d/1_buQGgR4lpCs2c0ok1ibd_6jTEPDBPma/view?usp=drivesdk" TargetMode="External"/><Relationship Id="rId30" Type="http://schemas.openxmlformats.org/officeDocument/2006/relationships/hyperlink" Target="https://drive.google.com/open?id=1mffKwhPgMn00z0NCbZVvkfQisa6l1xnB" TargetMode="External"/><Relationship Id="rId126" Type="http://schemas.openxmlformats.org/officeDocument/2006/relationships/hyperlink" Target="https://drive.google.com/file/d/1Q7S0_V5biKLuwb1gcwjgfACk3ZJm-nuE/view?usp=drivesdk" TargetMode="External"/><Relationship Id="rId168" Type="http://schemas.openxmlformats.org/officeDocument/2006/relationships/hyperlink" Target="https://drive.google.com/open?id=1aA0qlxUCYTueZZSSKLcZHWrcO8eknZSY" TargetMode="External"/><Relationship Id="rId333" Type="http://schemas.openxmlformats.org/officeDocument/2006/relationships/hyperlink" Target="https://drive.google.com/open?id=1aVbrSwm3boJBKSU3ogAX4aVnnvwZoCu3" TargetMode="External"/><Relationship Id="rId540" Type="http://schemas.openxmlformats.org/officeDocument/2006/relationships/hyperlink" Target="https://drive.google.com/open?id=1EAW0Ewb3xCjsiMDhPRh4ocoIj9u9qIJj" TargetMode="External"/><Relationship Id="rId778" Type="http://schemas.openxmlformats.org/officeDocument/2006/relationships/hyperlink" Target="https://drive.google.com/open?id=1SuWjRqIfc1qZRW9Yf3GB0-lr5u8jcoPC" TargetMode="External"/><Relationship Id="rId72" Type="http://schemas.openxmlformats.org/officeDocument/2006/relationships/hyperlink" Target="https://drive.google.com/open?id=1Ny17lnfX-4BOT0H8C84w8ILdAaOKAhfk" TargetMode="External"/><Relationship Id="rId375" Type="http://schemas.openxmlformats.org/officeDocument/2006/relationships/hyperlink" Target="https://drive.google.com/open?id=1ktP_6tOSCJf2uvaWleU8Icg0bmVNrfYw" TargetMode="External"/><Relationship Id="rId582" Type="http://schemas.openxmlformats.org/officeDocument/2006/relationships/hyperlink" Target="https://drive.google.com/open?id=1NDy33BI9u5y-ep9kE117w5CE_xNLdRwz" TargetMode="External"/><Relationship Id="rId638" Type="http://schemas.openxmlformats.org/officeDocument/2006/relationships/hyperlink" Target="https://drive.google.com/open?id=1Zn_3k2SjDwwOMG108RGkytC2YJMMqXk7" TargetMode="External"/><Relationship Id="rId3" Type="http://schemas.openxmlformats.org/officeDocument/2006/relationships/hyperlink" Target="https://drive.google.com/file/d/149ZcJWZKRBGgnZcEt-5zAFELzAWTeuhf/view?usp=drivesdk" TargetMode="External"/><Relationship Id="rId235" Type="http://schemas.openxmlformats.org/officeDocument/2006/relationships/hyperlink" Target="https://drive.google.com/open?id=1nrhw_0a66hb_8AGJh4SGNbl1jyEwuIsW" TargetMode="External"/><Relationship Id="rId277" Type="http://schemas.openxmlformats.org/officeDocument/2006/relationships/hyperlink" Target="https://drive.google.com/open?id=1rVSWerSSds2sIBwXetzZDjbcuztf1x9s" TargetMode="External"/><Relationship Id="rId400" Type="http://schemas.openxmlformats.org/officeDocument/2006/relationships/hyperlink" Target="https://drive.google.com/file/d/1rn_IFgN7IsT9uhuz8zX_1osWYVkyhxRd/view?usp=drivesdk" TargetMode="External"/><Relationship Id="rId442" Type="http://schemas.openxmlformats.org/officeDocument/2006/relationships/hyperlink" Target="https://drive.google.com/file/d/1druNz8Gq_rrGc0g06vEMOxp1LbkjfZdf/view?usp=drivesdk" TargetMode="External"/><Relationship Id="rId484" Type="http://schemas.openxmlformats.org/officeDocument/2006/relationships/hyperlink" Target="https://drive.google.com/open?id=14Nw0w4Dx_o1Nq63H-dmu3WFWYHURnRUG" TargetMode="External"/><Relationship Id="rId705" Type="http://schemas.openxmlformats.org/officeDocument/2006/relationships/hyperlink" Target="https://drive.google.com/open?id=1P9GETMCZuDRzZgKdSxk5zWGFoSP12QmI" TargetMode="External"/><Relationship Id="rId137" Type="http://schemas.openxmlformats.org/officeDocument/2006/relationships/hyperlink" Target="https://drive.google.com/open?id=1WsQuosg1RaN-iN512pZRH5a7A3cRrauc" TargetMode="External"/><Relationship Id="rId302" Type="http://schemas.openxmlformats.org/officeDocument/2006/relationships/hyperlink" Target="https://drive.google.com/open?id=1sJka06hz1lTIoo_4WAvZUeqf9CNxRJs6" TargetMode="External"/><Relationship Id="rId344" Type="http://schemas.openxmlformats.org/officeDocument/2006/relationships/hyperlink" Target="https://drive.google.com/open?id=1qxlekTV6tWTxtBl4bqCMQvYr_Pzx9NHe" TargetMode="External"/><Relationship Id="rId691" Type="http://schemas.openxmlformats.org/officeDocument/2006/relationships/hyperlink" Target="https://drive.google.com/open?id=19mJjqDXUjmBh1y045GmmuY0k9O1wG_8x" TargetMode="External"/><Relationship Id="rId747" Type="http://schemas.openxmlformats.org/officeDocument/2006/relationships/hyperlink" Target="https://drive.google.com/open?id=1UO2QMZyQIsuc0KmLlmhAA5JV9kSceoZj" TargetMode="External"/><Relationship Id="rId789" Type="http://schemas.openxmlformats.org/officeDocument/2006/relationships/hyperlink" Target="https://drive.google.com/file/d/1XR-rQsBm3kcgFKBLatpq69wl3kqAvljo/view?usp=drivesdk" TargetMode="External"/><Relationship Id="rId41" Type="http://schemas.openxmlformats.org/officeDocument/2006/relationships/hyperlink" Target="https://drive.google.com/file/d/1fHUlNEFCM7LfXIB1ee_rFSHq6U1QjMcn/view?usp=drivesdk" TargetMode="External"/><Relationship Id="rId83" Type="http://schemas.openxmlformats.org/officeDocument/2006/relationships/hyperlink" Target="https://drive.google.com/open?id=19tCLQWzxYlOb3-WPS90V1hNJ0Hq1rBlO" TargetMode="External"/><Relationship Id="rId179" Type="http://schemas.openxmlformats.org/officeDocument/2006/relationships/hyperlink" Target="https://drive.google.com/open?id=1342vwLcyzMpIzUrphViCK0gn_cHiZeu6" TargetMode="External"/><Relationship Id="rId386" Type="http://schemas.openxmlformats.org/officeDocument/2006/relationships/hyperlink" Target="https://drive.google.com/open?id=17lotDdPqDJzuJzOzODBmVC29HwMDHP-7" TargetMode="External"/><Relationship Id="rId551" Type="http://schemas.openxmlformats.org/officeDocument/2006/relationships/hyperlink" Target="https://drive.google.com/file/d/1-wAfm0Gd8Wg47NhB1HdDqxj226rwNx7o/view?usp=drivesdk" TargetMode="External"/><Relationship Id="rId593" Type="http://schemas.openxmlformats.org/officeDocument/2006/relationships/hyperlink" Target="https://drive.google.com/file/d/1rtlfWWn2xs0Tx-oUFXhdpn-c5dkACWqa/view?usp=drivesdk" TargetMode="External"/><Relationship Id="rId607" Type="http://schemas.openxmlformats.org/officeDocument/2006/relationships/hyperlink" Target="https://drive.google.com/file/d/1ySjsZxT5t7zr7p7f7kgkBCdwipvRm1-C/view?usp=drivesdk" TargetMode="External"/><Relationship Id="rId649" Type="http://schemas.openxmlformats.org/officeDocument/2006/relationships/hyperlink" Target="https://drive.google.com/open?id=1koccTZvq0-DWYxDEU4pijkrtdAMdaxTK" TargetMode="External"/><Relationship Id="rId190" Type="http://schemas.openxmlformats.org/officeDocument/2006/relationships/hyperlink" Target="https://drive.google.com/file/d/1omsxK5rza8yumj28u0mzNAMZGjsEiyT6/view?usp=drivesdk" TargetMode="External"/><Relationship Id="rId204" Type="http://schemas.openxmlformats.org/officeDocument/2006/relationships/hyperlink" Target="https://drive.google.com/file/d/137qR4d-X_zIltXXJA11DYHPLmKiSR1k-/view?usp=drivesdk" TargetMode="External"/><Relationship Id="rId246" Type="http://schemas.openxmlformats.org/officeDocument/2006/relationships/hyperlink" Target="https://drive.google.com/open?id=1m1VLto70ZUnCvPI5Lucug6xuO81QzxJH" TargetMode="External"/><Relationship Id="rId288" Type="http://schemas.openxmlformats.org/officeDocument/2006/relationships/hyperlink" Target="https://drive.google.com/open?id=17HDw2X4bPAcV6aZ_58w_UQXdf1SPztG-" TargetMode="External"/><Relationship Id="rId411" Type="http://schemas.openxmlformats.org/officeDocument/2006/relationships/hyperlink" Target="https://drive.google.com/open?id=1n1bjRQS5DuAlmzN5yOSi2HalNKZ8ykQX" TargetMode="External"/><Relationship Id="rId453" Type="http://schemas.openxmlformats.org/officeDocument/2006/relationships/hyperlink" Target="https://drive.google.com/file/d/121VfRlwUkNgh2B7IXkwJX5UMHDWpxk0v/view?usp=drivesdk" TargetMode="External"/><Relationship Id="rId509" Type="http://schemas.openxmlformats.org/officeDocument/2006/relationships/hyperlink" Target="https://drive.google.com/open?id=1DyILU09kvA1eiqedbfSlVDCp5rm9loHP" TargetMode="External"/><Relationship Id="rId660" Type="http://schemas.openxmlformats.org/officeDocument/2006/relationships/hyperlink" Target="https://drive.google.com/file/d/1QMltR8fXxv3Mb-vfjO56WoVG25rNwxwy/view?usp=drivesdk" TargetMode="External"/><Relationship Id="rId106" Type="http://schemas.openxmlformats.org/officeDocument/2006/relationships/hyperlink" Target="https://drive.google.com/open?id=1JYaLZxWPQGhq2uzPz2Xkuujdbg3s7QwV" TargetMode="External"/><Relationship Id="rId313" Type="http://schemas.openxmlformats.org/officeDocument/2006/relationships/hyperlink" Target="https://drive.google.com/open?id=1f3vhZa5xejSUfprv7TjQ4ioll8ynlKiB" TargetMode="External"/><Relationship Id="rId495" Type="http://schemas.openxmlformats.org/officeDocument/2006/relationships/hyperlink" Target="https://drive.google.com/open?id=1-DdCbENZ896NU6TMcN-luCbTS4eVcul_" TargetMode="External"/><Relationship Id="rId716" Type="http://schemas.openxmlformats.org/officeDocument/2006/relationships/hyperlink" Target="https://drive.google.com/file/d/1BzpDKwXRp0rDo1By5ypTg9IzF4hR9_B9/view?usp=drivesdk" TargetMode="External"/><Relationship Id="rId758" Type="http://schemas.openxmlformats.org/officeDocument/2006/relationships/hyperlink" Target="https://drive.google.com/file/d/101I8bbFR82UBggw7frnqS69f20XyBQoP/view?usp=drivesdk" TargetMode="External"/><Relationship Id="rId10" Type="http://schemas.openxmlformats.org/officeDocument/2006/relationships/hyperlink" Target="https://drive.google.com/open?id=17le2Igs59p_HTSCsAR3GNNJt2RIMSDCY" TargetMode="External"/><Relationship Id="rId52" Type="http://schemas.openxmlformats.org/officeDocument/2006/relationships/hyperlink" Target="https://drive.google.com/open?id=1pwccknEVS32XQVbBan7a8RCs43KKe4SL" TargetMode="External"/><Relationship Id="rId94" Type="http://schemas.openxmlformats.org/officeDocument/2006/relationships/hyperlink" Target="https://drive.google.com/file/d/1DTrIoNS5cMoRVmaf0qupTwwlTE7YxG0M/view?usp=drivesdk" TargetMode="External"/><Relationship Id="rId148" Type="http://schemas.openxmlformats.org/officeDocument/2006/relationships/hyperlink" Target="https://drive.google.com/file/d/1NoYtufkoNRXvUGCMVqEGiw0omjIz6GEb/view?usp=drivesdk" TargetMode="External"/><Relationship Id="rId355" Type="http://schemas.openxmlformats.org/officeDocument/2006/relationships/hyperlink" Target="https://drive.google.com/open?id=1-Ph51Jh-5i3msUlTZ0TZQaW0hBbCjU6B" TargetMode="External"/><Relationship Id="rId397" Type="http://schemas.openxmlformats.org/officeDocument/2006/relationships/hyperlink" Target="https://drive.google.com/open?id=1-L82p4-UYxzh-A4JdR5orE_lCxWq859u" TargetMode="External"/><Relationship Id="rId520" Type="http://schemas.openxmlformats.org/officeDocument/2006/relationships/hyperlink" Target="https://drive.google.com/open?id=1zskTzHs47dnrHFEEzXU9Z7Irot3Ajczm" TargetMode="External"/><Relationship Id="rId562" Type="http://schemas.openxmlformats.org/officeDocument/2006/relationships/hyperlink" Target="https://drive.google.com/open?id=19bPE9ePboSHsz_byAoz0CN4WeHJHzHWe" TargetMode="External"/><Relationship Id="rId618" Type="http://schemas.openxmlformats.org/officeDocument/2006/relationships/hyperlink" Target="https://drive.google.com/open?id=18vn_P_zdAUY6xw7TO7HDwD-3BonY26NF" TargetMode="External"/><Relationship Id="rId215" Type="http://schemas.openxmlformats.org/officeDocument/2006/relationships/hyperlink" Target="https://drive.google.com/file/d/1lSuzYmu1y6hPoa8AeDqJ1h0gAfAqieDQ/view?usp=drivesdk" TargetMode="External"/><Relationship Id="rId257" Type="http://schemas.openxmlformats.org/officeDocument/2006/relationships/hyperlink" Target="https://drive.google.com/file/d/1VMVBElhk-uDCK2GShzxR4Rtzi9n_n9ji/view?usp=drivesdk" TargetMode="External"/><Relationship Id="rId422" Type="http://schemas.openxmlformats.org/officeDocument/2006/relationships/hyperlink" Target="https://drive.google.com/open?id=1X1aT8TXvkoCxliWzU20eIqfuKa4g4V1x" TargetMode="External"/><Relationship Id="rId464" Type="http://schemas.openxmlformats.org/officeDocument/2006/relationships/hyperlink" Target="https://drive.google.com/open?id=1mpVbfKyCd0thV6Zs5dczECsjI9ykxXWc" TargetMode="External"/><Relationship Id="rId299" Type="http://schemas.openxmlformats.org/officeDocument/2006/relationships/hyperlink" Target="https://drive.google.com/open?id=1bJY29P4Hyr6NOH3T8DfQ_hK_CpWR1CXd" TargetMode="External"/><Relationship Id="rId727" Type="http://schemas.openxmlformats.org/officeDocument/2006/relationships/hyperlink" Target="https://drive.google.com/open?id=16qP1EdfUF3hQWN1rIOzAlO7sHwuvaCnk" TargetMode="External"/><Relationship Id="rId63" Type="http://schemas.openxmlformats.org/officeDocument/2006/relationships/hyperlink" Target="https://drive.google.com/file/d/1ET2-muK3eJ-46EEHm9DAx5JqkL0a1Apv/view?usp=drivesdk" TargetMode="External"/><Relationship Id="rId159" Type="http://schemas.openxmlformats.org/officeDocument/2006/relationships/hyperlink" Target="https://drive.google.com/open?id=1KQuO5b8LJslak9xPO8NLAwAtFV3OIQfx" TargetMode="External"/><Relationship Id="rId366" Type="http://schemas.openxmlformats.org/officeDocument/2006/relationships/hyperlink" Target="https://drive.google.com/file/d/1i6t39B9Ffwzu4D31TUJ__PcOSc-6frsP/view?usp=drivesdk" TargetMode="External"/><Relationship Id="rId573" Type="http://schemas.openxmlformats.org/officeDocument/2006/relationships/hyperlink" Target="https://drive.google.com/file/d/1bv5xsUkhpvuplo9p5E3aTFSWH69EgPIW/view?usp=drivesdk" TargetMode="External"/><Relationship Id="rId780" Type="http://schemas.openxmlformats.org/officeDocument/2006/relationships/hyperlink" Target="https://drive.google.com/open?id=12c4t_m0zza-it1xv_urKVMYoyt7MNKWn" TargetMode="External"/><Relationship Id="rId226" Type="http://schemas.openxmlformats.org/officeDocument/2006/relationships/hyperlink" Target="https://drive.google.com/open?id=1L3WshmBGPE7_6Ska8EkXv7Dk6yofWrNZ" TargetMode="External"/><Relationship Id="rId433" Type="http://schemas.openxmlformats.org/officeDocument/2006/relationships/hyperlink" Target="https://drive.google.com/file/d/1rwG1Ppf_AoT52UiJE1KY8OxPE6DHDzbG/view?usp=drivesdk" TargetMode="External"/><Relationship Id="rId640" Type="http://schemas.openxmlformats.org/officeDocument/2006/relationships/hyperlink" Target="https://drive.google.com/open?id=1dNSX7wG852rmvKA9s5SS8dZEtcxmRmaW" TargetMode="External"/><Relationship Id="rId738" Type="http://schemas.openxmlformats.org/officeDocument/2006/relationships/hyperlink" Target="https://drive.google.com/file/d/1VNpGtzMeokLopOCljdpfLKgtTts5HCgC/view?usp=drivesdk" TargetMode="External"/><Relationship Id="rId74" Type="http://schemas.openxmlformats.org/officeDocument/2006/relationships/hyperlink" Target="https://drive.google.com/file/d/1YZXmYgHoUXIlrQmAIm56xGbOsPn0RHZ8/view?usp=drivesdk" TargetMode="External"/><Relationship Id="rId377" Type="http://schemas.openxmlformats.org/officeDocument/2006/relationships/hyperlink" Target="https://drive.google.com/open?id=1hUMMcxVNvSrF3fTN8STHNMfFPvuoU3s5" TargetMode="External"/><Relationship Id="rId500" Type="http://schemas.openxmlformats.org/officeDocument/2006/relationships/hyperlink" Target="https://drive.google.com/open?id=1L1bJUsrftz_qee2-5uGwvup_ov332w13" TargetMode="External"/><Relationship Id="rId584" Type="http://schemas.openxmlformats.org/officeDocument/2006/relationships/hyperlink" Target="https://drive.google.com/open?id=1C4S2RNHsMXPKdYbhVQIjmJw_8Dhoit7i" TargetMode="External"/><Relationship Id="rId5" Type="http://schemas.openxmlformats.org/officeDocument/2006/relationships/hyperlink" Target="https://drive.google.com/file/d/17FDEWneIX3pFjiXjVZWejPQ5zwFH3zq7/view?usp=drivesdk" TargetMode="External"/><Relationship Id="rId237" Type="http://schemas.openxmlformats.org/officeDocument/2006/relationships/hyperlink" Target="https://drive.google.com/open?id=1LPGdySWPZYFIEcv0Gv0wwXT511YG4QbI" TargetMode="External"/><Relationship Id="rId791" Type="http://schemas.openxmlformats.org/officeDocument/2006/relationships/hyperlink" Target="https://drive.google.com/file/d/16Xdm7j2okEehFxxXyxV9GukW39aSiEwJ/view?usp=drivesdk" TargetMode="External"/><Relationship Id="rId444" Type="http://schemas.openxmlformats.org/officeDocument/2006/relationships/hyperlink" Target="https://drive.google.com/file/d/1237aLo5F3z9AB_O4xSicXeW1Ws-xSv7M/view?usp=drivesdk" TargetMode="External"/><Relationship Id="rId651" Type="http://schemas.openxmlformats.org/officeDocument/2006/relationships/hyperlink" Target="https://drive.google.com/open?id=186C723h2WZsfkzRWWtZDXS_LYxFfxWVV" TargetMode="External"/><Relationship Id="rId749" Type="http://schemas.openxmlformats.org/officeDocument/2006/relationships/hyperlink" Target="https://drive.google.com/open?id=18Czn99TrXSr7EIUVfwuHx-Ugpfom621b" TargetMode="External"/><Relationship Id="rId290" Type="http://schemas.openxmlformats.org/officeDocument/2006/relationships/hyperlink" Target="https://drive.google.com/open?id=1bjZRhMayh79BoKiR5Mq4kPS7h24s3v4M" TargetMode="External"/><Relationship Id="rId304" Type="http://schemas.openxmlformats.org/officeDocument/2006/relationships/hyperlink" Target="https://drive.google.com/open?id=1uROM2cIXkrhQhRvHy_s44W61l1K-kJbB" TargetMode="External"/><Relationship Id="rId388" Type="http://schemas.openxmlformats.org/officeDocument/2006/relationships/hyperlink" Target="https://drive.google.com/open?id=1xIdbG1yfEil4OXmwZTabvXLrEvFx1hh-" TargetMode="External"/><Relationship Id="rId511" Type="http://schemas.openxmlformats.org/officeDocument/2006/relationships/hyperlink" Target="https://drive.google.com/open?id=1p4QAIbnw_Yiiw_C_EY6tkEcDv38cAuJt" TargetMode="External"/><Relationship Id="rId609" Type="http://schemas.openxmlformats.org/officeDocument/2006/relationships/hyperlink" Target="https://drive.google.com/file/d/1XKQ7UvLLYQhRteI2w320ytT0kA_otPa_/view?usp=drivesdk" TargetMode="External"/><Relationship Id="rId85" Type="http://schemas.openxmlformats.org/officeDocument/2006/relationships/hyperlink" Target="https://drive.google.com/open?id=1eZ7LPhPCfn0H3eIXC19-y6wrBpmN9vqK" TargetMode="External"/><Relationship Id="rId150" Type="http://schemas.openxmlformats.org/officeDocument/2006/relationships/hyperlink" Target="https://drive.google.com/file/d/1OuRHfr08yQqGmPH4BV7mUAZ_47xJZGxO/view?usp=drivesdk" TargetMode="External"/><Relationship Id="rId595" Type="http://schemas.openxmlformats.org/officeDocument/2006/relationships/hyperlink" Target="https://drive.google.com/file/d/1l1zxoqtwVIHZfWW-6GM-mA25_WsWyEkU/view?usp=drivesdk" TargetMode="External"/><Relationship Id="rId248" Type="http://schemas.openxmlformats.org/officeDocument/2006/relationships/hyperlink" Target="https://drive.google.com/open?id=1aVt13sJQo4mZSz3HdiEjx7ZeVqj3Ygi_" TargetMode="External"/><Relationship Id="rId455" Type="http://schemas.openxmlformats.org/officeDocument/2006/relationships/hyperlink" Target="https://drive.google.com/file/d/1K6uT2AiVlt3uYsHwfcUsZgkOzjFGVXpO/view?usp=drivesdk" TargetMode="External"/><Relationship Id="rId662" Type="http://schemas.openxmlformats.org/officeDocument/2006/relationships/hyperlink" Target="https://drive.google.com/file/d/1lK2ekCby373-eeArtDC_0H09D7aIvwXp/view?usp=drivesdk" TargetMode="External"/><Relationship Id="rId12" Type="http://schemas.openxmlformats.org/officeDocument/2006/relationships/hyperlink" Target="https://drive.google.com/open?id=11JLbasjtEy0YNiuuHAGDR05kzL8r2mTs" TargetMode="External"/><Relationship Id="rId108" Type="http://schemas.openxmlformats.org/officeDocument/2006/relationships/hyperlink" Target="https://drive.google.com/open?id=1FhWJy2sxBunzCyAWQEWREA6v6ALf73JP" TargetMode="External"/><Relationship Id="rId315" Type="http://schemas.openxmlformats.org/officeDocument/2006/relationships/hyperlink" Target="https://drive.google.com/open?id=1sQdYTT0yUsLUSvldgQvCTuRnH_jBQJJc" TargetMode="External"/><Relationship Id="rId522" Type="http://schemas.openxmlformats.org/officeDocument/2006/relationships/hyperlink" Target="https://drive.google.com/open?id=1HG9CMVqTuHQFWxZIcUjBeWuBLMw1deQB" TargetMode="External"/><Relationship Id="rId96" Type="http://schemas.openxmlformats.org/officeDocument/2006/relationships/hyperlink" Target="https://drive.google.com/file/d/16q53V4Laz3VSZSD_KyTHH57gFohSyxWP/view?usp=drivesdk" TargetMode="External"/><Relationship Id="rId161" Type="http://schemas.openxmlformats.org/officeDocument/2006/relationships/hyperlink" Target="https://drive.google.com/open?id=1UTslcn3OyPqC4-G7Ke2WjORM43S3M58-" TargetMode="External"/><Relationship Id="rId399" Type="http://schemas.openxmlformats.org/officeDocument/2006/relationships/hyperlink" Target="https://drive.google.com/open?id=1v5WoDClZA_ChTqHGN3o4cQt18EkE3ro4" TargetMode="External"/><Relationship Id="rId259" Type="http://schemas.openxmlformats.org/officeDocument/2006/relationships/hyperlink" Target="https://drive.google.com/file/d/1gOXIiCFv5CYq14A0WhPtAshtGjkPQzaT/view?usp=drivesdk" TargetMode="External"/><Relationship Id="rId466" Type="http://schemas.openxmlformats.org/officeDocument/2006/relationships/hyperlink" Target="https://drive.google.com/open?id=1op6XFXUl-XLeGA1GOGMGOgCX_0P8PgTY" TargetMode="External"/><Relationship Id="rId673" Type="http://schemas.openxmlformats.org/officeDocument/2006/relationships/hyperlink" Target="https://drive.google.com/open?id=1jos0UMCfWhQ1fEul2dNebZ7lwgACL_NO" TargetMode="External"/><Relationship Id="rId23" Type="http://schemas.openxmlformats.org/officeDocument/2006/relationships/hyperlink" Target="https://drive.google.com/file/d/1Z8VAly-FHrt4-JIjrjnOWfb91tQRMS3H/view?usp=drivesdk" TargetMode="External"/><Relationship Id="rId119" Type="http://schemas.openxmlformats.org/officeDocument/2006/relationships/hyperlink" Target="https://drive.google.com/open?id=194j5bxf8hHvd58MQybD5WjOwGInexIEl" TargetMode="External"/><Relationship Id="rId326" Type="http://schemas.openxmlformats.org/officeDocument/2006/relationships/hyperlink" Target="https://drive.google.com/file/d/1ZuQFEXLy22vzqIiEuopHtO4ZUFpUT-OE/view?usp=drivesdk" TargetMode="External"/><Relationship Id="rId533" Type="http://schemas.openxmlformats.org/officeDocument/2006/relationships/hyperlink" Target="https://drive.google.com/file/d/1fvYCJwzVLj-wMSwSzhF0u1imkoD7EuDa/view?usp=drivesdk" TargetMode="External"/><Relationship Id="rId740" Type="http://schemas.openxmlformats.org/officeDocument/2006/relationships/hyperlink" Target="https://drive.google.com/file/d/12oBorBhGy_-HQv8GzVrbpXrkmF9LmUXI/view?usp=drivesdk" TargetMode="External"/><Relationship Id="rId172" Type="http://schemas.openxmlformats.org/officeDocument/2006/relationships/hyperlink" Target="https://drive.google.com/open?id=1nmSTzMOPJ44ihLrZxIRF_IZH92i4-LBk" TargetMode="External"/><Relationship Id="rId477" Type="http://schemas.openxmlformats.org/officeDocument/2006/relationships/hyperlink" Target="https://drive.google.com/open?id=1EcfuLoXPo74jdEKA2Rt0FObCjdmkLUYi" TargetMode="External"/><Relationship Id="rId600" Type="http://schemas.openxmlformats.org/officeDocument/2006/relationships/hyperlink" Target="https://drive.google.com/open?id=1eHRt3FrlY1NeyXG2dhZgiq0IxWqyOb-C" TargetMode="External"/><Relationship Id="rId684" Type="http://schemas.openxmlformats.org/officeDocument/2006/relationships/hyperlink" Target="https://drive.google.com/file/d/1oz5zsTM1tlnhQR27zE-IF1K_27Uhezc1/view?usp=drivesdk" TargetMode="External"/><Relationship Id="rId337" Type="http://schemas.openxmlformats.org/officeDocument/2006/relationships/hyperlink" Target="https://drive.google.com/open?id=1H6OzlTiqKhlBdrqvkBMDjPEy6-MD9AiM" TargetMode="External"/><Relationship Id="rId34" Type="http://schemas.openxmlformats.org/officeDocument/2006/relationships/hyperlink" Target="https://drive.google.com/open?id=1E4csb5W-STQOw9FRg38eiP_P5pJUcJB4" TargetMode="External"/><Relationship Id="rId544" Type="http://schemas.openxmlformats.org/officeDocument/2006/relationships/hyperlink" Target="https://drive.google.com/open?id=1iGR_E4Z2vsNTTwrRZsBbdEgDmyD4JhcB" TargetMode="External"/><Relationship Id="rId751" Type="http://schemas.openxmlformats.org/officeDocument/2006/relationships/hyperlink" Target="https://drive.google.com/open?id=1Eyl5581CqGS3Hj1msDx0A94BZoOjVC6q" TargetMode="External"/><Relationship Id="rId183" Type="http://schemas.openxmlformats.org/officeDocument/2006/relationships/hyperlink" Target="https://drive.google.com/file/d/18z_AfrrI-iNwrYNgVLaSe4p7I4VdjRa4/view?usp=drivesdk" TargetMode="External"/><Relationship Id="rId390" Type="http://schemas.openxmlformats.org/officeDocument/2006/relationships/hyperlink" Target="https://drive.google.com/file/d/1CC5CvThiW4nxeYo-hB-5gGp8lsdTiG5U/view?usp=drivesdk" TargetMode="External"/><Relationship Id="rId404" Type="http://schemas.openxmlformats.org/officeDocument/2006/relationships/hyperlink" Target="https://drive.google.com/file/d/1duuAWDlZpCgvEFCrLDQ8Mwm5RiysIC5p/view?usp=drivesdk" TargetMode="External"/><Relationship Id="rId611" Type="http://schemas.openxmlformats.org/officeDocument/2006/relationships/hyperlink" Target="https://drive.google.com/file/d/1YQPERGCutZUqxiOJdtK3wk_Ju3yKqJmf/view?usp=drivesdk" TargetMode="External"/><Relationship Id="rId250" Type="http://schemas.openxmlformats.org/officeDocument/2006/relationships/hyperlink" Target="https://drive.google.com/open?id=1wmUTM0rvHM-7jXyPTKyxbLcpLQMnP6lS" TargetMode="External"/><Relationship Id="rId488" Type="http://schemas.openxmlformats.org/officeDocument/2006/relationships/hyperlink" Target="https://drive.google.com/open?id=11i5SNi8Fk71_QGJrzNtHYrXx2qx-PwUm" TargetMode="External"/><Relationship Id="rId695" Type="http://schemas.openxmlformats.org/officeDocument/2006/relationships/hyperlink" Target="https://drive.google.com/open?id=1D5tgK1E82bRTm8T1knCzTBRR-IuL5QYv" TargetMode="External"/><Relationship Id="rId709" Type="http://schemas.openxmlformats.org/officeDocument/2006/relationships/hyperlink" Target="https://drive.google.com/open?id=1Lzf6ghUkVjUvHWLDIb15qz2rKm_cixOv" TargetMode="External"/><Relationship Id="rId45" Type="http://schemas.openxmlformats.org/officeDocument/2006/relationships/hyperlink" Target="https://drive.google.com/file/d/1GnF5Jq5SgHl1wbOSotYT7yuCup9iQd5t/view?usp=drivesdk" TargetMode="External"/><Relationship Id="rId110" Type="http://schemas.openxmlformats.org/officeDocument/2006/relationships/hyperlink" Target="https://drive.google.com/open?id=16ATLLsdFV7EGPJqNlMV2ejRLfBkT65_D" TargetMode="External"/><Relationship Id="rId348" Type="http://schemas.openxmlformats.org/officeDocument/2006/relationships/hyperlink" Target="https://drive.google.com/file/d/1H4KTzG-IsOEjt7IHYKcCvumlZ2BtSUqk/view?usp=drivesdk" TargetMode="External"/><Relationship Id="rId555" Type="http://schemas.openxmlformats.org/officeDocument/2006/relationships/hyperlink" Target="https://drive.google.com/file/d/1gpyr4lRptJSTQmlwgHPi8ylxwcA3NpEC/view?usp=drivesdk" TargetMode="External"/><Relationship Id="rId762" Type="http://schemas.openxmlformats.org/officeDocument/2006/relationships/hyperlink" Target="https://drive.google.com/open?id=1Rx5fGMwMiaqW2Q80l9Q5c5-1lFEwKeO2" TargetMode="External"/><Relationship Id="rId194" Type="http://schemas.openxmlformats.org/officeDocument/2006/relationships/hyperlink" Target="https://drive.google.com/file/d/1dAwqXUclQLlI1T8jyA5r6B0ASSlr5YON/view?usp=drivesdk" TargetMode="External"/><Relationship Id="rId208" Type="http://schemas.openxmlformats.org/officeDocument/2006/relationships/hyperlink" Target="https://drive.google.com/open?id=11nEfu10yfIuIviluH4OzlFUgCGZHMsOL" TargetMode="External"/><Relationship Id="rId415" Type="http://schemas.openxmlformats.org/officeDocument/2006/relationships/hyperlink" Target="https://drive.google.com/open?id=14GCOM5Aw53Svsvr2vnbt4_dbBgEdbQus" TargetMode="External"/><Relationship Id="rId622" Type="http://schemas.openxmlformats.org/officeDocument/2006/relationships/hyperlink" Target="https://drive.google.com/open?id=1lBR22H6Kh9foh2TwlomEsKXkxHnNVU09" TargetMode="External"/><Relationship Id="rId261" Type="http://schemas.openxmlformats.org/officeDocument/2006/relationships/hyperlink" Target="https://drive.google.com/open?id=1BDO8IPQOWKgJlnGrduSKmy9kJVd-dJo9" TargetMode="External"/><Relationship Id="rId499" Type="http://schemas.openxmlformats.org/officeDocument/2006/relationships/hyperlink" Target="https://drive.google.com/file/d/1Ct_0eeEUa854FYw7d5cfek8hDE-DKM51/view?usp=drivesdk" TargetMode="External"/><Relationship Id="rId56" Type="http://schemas.openxmlformats.org/officeDocument/2006/relationships/hyperlink" Target="https://drive.google.com/open?id=1QEkp6U6e4u90Z3X-3aINY58kKwgjuygn" TargetMode="External"/><Relationship Id="rId359" Type="http://schemas.openxmlformats.org/officeDocument/2006/relationships/hyperlink" Target="https://drive.google.com/open?id=1ToQh-zRpk_WlpucmnutVYAyqHT-2h9kZ" TargetMode="External"/><Relationship Id="rId566" Type="http://schemas.openxmlformats.org/officeDocument/2006/relationships/hyperlink" Target="https://drive.google.com/open?id=1-phvnA5_MRRGhwPjZ73q6a5fcZoIDBEZ" TargetMode="External"/><Relationship Id="rId773" Type="http://schemas.openxmlformats.org/officeDocument/2006/relationships/hyperlink" Target="https://drive.google.com/file/d/1g59-xYPD4M9jXt-0yqUI_-3uexGOs9I9/view?usp=drivesdk" TargetMode="External"/><Relationship Id="rId121" Type="http://schemas.openxmlformats.org/officeDocument/2006/relationships/hyperlink" Target="https://drive.google.com/open?id=1ZlGNkOiVxAQSBR6l42nD-P2b9zftDtG2" TargetMode="External"/><Relationship Id="rId219" Type="http://schemas.openxmlformats.org/officeDocument/2006/relationships/hyperlink" Target="https://drive.google.com/file/d/1HP0l_egnqc4UswCHQdxGq-r7iQJQjX7N/view?usp=drivesdk" TargetMode="External"/><Relationship Id="rId426" Type="http://schemas.openxmlformats.org/officeDocument/2006/relationships/hyperlink" Target="https://drive.google.com/open?id=1dqwBQ0AtNXq-PV8kdPMpNsoGdGrbtiS1" TargetMode="External"/><Relationship Id="rId633" Type="http://schemas.openxmlformats.org/officeDocument/2006/relationships/hyperlink" Target="https://drive.google.com/file/d/1ksdcDJeEpqsgL1snJX-LWKcGjWX6thI7/view?usp=drivesdk" TargetMode="External"/><Relationship Id="rId67" Type="http://schemas.openxmlformats.org/officeDocument/2006/relationships/hyperlink" Target="https://drive.google.com/file/d/1U_QujdmXAUYZRz5C_KkUXTzwAeG5Fztp/view?usp=drivesdk" TargetMode="External"/><Relationship Id="rId272" Type="http://schemas.openxmlformats.org/officeDocument/2006/relationships/hyperlink" Target="https://drive.google.com/open?id=1F5xhdxkZ1OYz04cwXEkq0VT_tjdy7IPB" TargetMode="External"/><Relationship Id="rId577" Type="http://schemas.openxmlformats.org/officeDocument/2006/relationships/hyperlink" Target="https://drive.google.com/open?id=12UeDth3DStHJ72tvNn0HIviqxSD5qtXQ" TargetMode="External"/><Relationship Id="rId700" Type="http://schemas.openxmlformats.org/officeDocument/2006/relationships/hyperlink" Target="https://drive.google.com/open?id=1cZpxA5P2RE8_b3_XQbvPIWvKwors5WZ9" TargetMode="External"/><Relationship Id="rId132" Type="http://schemas.openxmlformats.org/officeDocument/2006/relationships/hyperlink" Target="https://drive.google.com/open?id=1DuN6bIsbuOiOuR1ATblM_dNgkdF3_jLy" TargetMode="External"/><Relationship Id="rId784" Type="http://schemas.openxmlformats.org/officeDocument/2006/relationships/hyperlink" Target="https://drive.google.com/open?id=1_j6DB0qigK7AJj42gAozVSyhEnB1eZva" TargetMode="External"/><Relationship Id="rId437" Type="http://schemas.openxmlformats.org/officeDocument/2006/relationships/hyperlink" Target="https://drive.google.com/file/d/19OdAnLYvPW-dLPjkNA5t-uHC4ObGqY4v/view?usp=drivesdk" TargetMode="External"/><Relationship Id="rId644" Type="http://schemas.openxmlformats.org/officeDocument/2006/relationships/hyperlink" Target="https://drive.google.com/file/d/1r6LS7F60SC8Hqb0GkXSxwmrncdFNd3b3/view?usp=drivesdk" TargetMode="External"/><Relationship Id="rId283" Type="http://schemas.openxmlformats.org/officeDocument/2006/relationships/hyperlink" Target="https://drive.google.com/open?id=1Cmbz5_COEacOd6-Wypa2pRLHw6o52ipm" TargetMode="External"/><Relationship Id="rId490" Type="http://schemas.openxmlformats.org/officeDocument/2006/relationships/hyperlink" Target="https://drive.google.com/open?id=1BYSsLWcDgxLqm7upDuOqiOKO9a_X27lp" TargetMode="External"/><Relationship Id="rId504" Type="http://schemas.openxmlformats.org/officeDocument/2006/relationships/hyperlink" Target="https://drive.google.com/file/d/1vwutWX-JwrIwAvW8VEDbWdMOOu3A9VK1/view?usp=drivesdk" TargetMode="External"/><Relationship Id="rId711" Type="http://schemas.openxmlformats.org/officeDocument/2006/relationships/hyperlink" Target="https://drive.google.com/open?id=190xC0WIqWzmJZwg1TkvfD4K9ymXWFXiw" TargetMode="External"/><Relationship Id="rId78" Type="http://schemas.openxmlformats.org/officeDocument/2006/relationships/hyperlink" Target="https://drive.google.com/open?id=1b7iLYDeTO2_GAwCfNxeuWQ4j5H8DrQ6f" TargetMode="External"/><Relationship Id="rId143" Type="http://schemas.openxmlformats.org/officeDocument/2006/relationships/hyperlink" Target="https://drive.google.com/file/d/1xuj1HhYsAZrJ2PolUk50qChSzoagT21m/view?usp=drivesdk" TargetMode="External"/><Relationship Id="rId350" Type="http://schemas.openxmlformats.org/officeDocument/2006/relationships/hyperlink" Target="https://drive.google.com/open?id=1D0xtIGib75JpcOeL7shhVxICaRjPgXTk" TargetMode="External"/><Relationship Id="rId588" Type="http://schemas.openxmlformats.org/officeDocument/2006/relationships/hyperlink" Target="https://drive.google.com/open?id=1rQRHN3sbdFM66X4KHudoOxzm69DvRer_" TargetMode="External"/><Relationship Id="rId795" Type="http://schemas.openxmlformats.org/officeDocument/2006/relationships/hyperlink" Target="https://drive.google.com/file/d/1TxhObEI3PcOCPunU0XgpCQFg5-Y63BLH/view?usp=drivesdk" TargetMode="External"/><Relationship Id="rId9" Type="http://schemas.openxmlformats.org/officeDocument/2006/relationships/hyperlink" Target="https://drive.google.com/file/d/1EvjlRBAVrIAOWUp1uoIG7LEz7ATejl9R/view?usp=drivesdk" TargetMode="External"/><Relationship Id="rId210" Type="http://schemas.openxmlformats.org/officeDocument/2006/relationships/hyperlink" Target="https://drive.google.com/open?id=1tnaOxZIXH5-IOreFXinQx6csJ4z-K9X4" TargetMode="External"/><Relationship Id="rId448" Type="http://schemas.openxmlformats.org/officeDocument/2006/relationships/hyperlink" Target="https://drive.google.com/open?id=1aQRJut4ZvaBFlvYoBKxCyeoLnSXN-DjR" TargetMode="External"/><Relationship Id="rId655" Type="http://schemas.openxmlformats.org/officeDocument/2006/relationships/hyperlink" Target="https://drive.google.com/open?id=1YxamQuGn0RJyCNFoEPZglloBjiyHVl6i" TargetMode="External"/><Relationship Id="rId294" Type="http://schemas.openxmlformats.org/officeDocument/2006/relationships/hyperlink" Target="https://drive.google.com/open?id=1B3VwmhE21LWC-Dm2hDYjTys1S6pAxSFF" TargetMode="External"/><Relationship Id="rId308" Type="http://schemas.openxmlformats.org/officeDocument/2006/relationships/hyperlink" Target="https://drive.google.com/open?id=17EEc6CzR6prbfFv1kleglCFLB_hCsxhR" TargetMode="External"/><Relationship Id="rId515" Type="http://schemas.openxmlformats.org/officeDocument/2006/relationships/hyperlink" Target="https://drive.google.com/open?id=1c4Dw9hIpXdxOmn9wGM0Pck7lkwmKjxLA" TargetMode="External"/><Relationship Id="rId722" Type="http://schemas.openxmlformats.org/officeDocument/2006/relationships/hyperlink" Target="https://drive.google.com/file/d/12bgeSg1D0jwQYKdANzZqhao6jrBa5rj1/view?usp=drivesdk" TargetMode="External"/><Relationship Id="rId89" Type="http://schemas.openxmlformats.org/officeDocument/2006/relationships/hyperlink" Target="https://drive.google.com/open?id=1Z73nzZVBDsXoeelvZ2Obqnt6XdhGo7pk" TargetMode="External"/><Relationship Id="rId154" Type="http://schemas.openxmlformats.org/officeDocument/2006/relationships/hyperlink" Target="https://drive.google.com/open?id=1-GtHLQMJpr-K1oJW_SXclPMmbXXYi-jK" TargetMode="External"/><Relationship Id="rId361" Type="http://schemas.openxmlformats.org/officeDocument/2006/relationships/hyperlink" Target="https://drive.google.com/open?id=1K2fnXVTXvZFKykQ57a1RBsivMqywfVJF" TargetMode="External"/><Relationship Id="rId599" Type="http://schemas.openxmlformats.org/officeDocument/2006/relationships/hyperlink" Target="https://drive.google.com/file/d/1s1ylbSN1ytg7BJEx7bMJ0Y_VJIvqFq3K/view?usp=drivesdk" TargetMode="External"/><Relationship Id="rId459" Type="http://schemas.openxmlformats.org/officeDocument/2006/relationships/hyperlink" Target="https://drive.google.com/file/d/1B8dIfsqMv0IX4jF0Wp0Qb1SxXx0dy5Zm/view?usp=drivesdk" TargetMode="External"/><Relationship Id="rId666" Type="http://schemas.openxmlformats.org/officeDocument/2006/relationships/hyperlink" Target="https://drive.google.com/file/d/1cPNFgrpmF69LA468p-bgOBu2jNYCitPM/view?usp=drivesdk" TargetMode="External"/><Relationship Id="rId16" Type="http://schemas.openxmlformats.org/officeDocument/2006/relationships/hyperlink" Target="https://drive.google.com/open?id=1JNVvb5MHz_uR3Se5WpFia029sUNc5CvC" TargetMode="External"/><Relationship Id="rId221" Type="http://schemas.openxmlformats.org/officeDocument/2006/relationships/hyperlink" Target="https://drive.google.com/open?id=1lXl8mcbKrrf6D8qCxW53exOrMsD3-msY" TargetMode="External"/><Relationship Id="rId319" Type="http://schemas.openxmlformats.org/officeDocument/2006/relationships/hyperlink" Target="https://drive.google.com/open?id=1k8ueO6yCN0DWKilhfSP32GfeoWfsDvqW" TargetMode="External"/><Relationship Id="rId526" Type="http://schemas.openxmlformats.org/officeDocument/2006/relationships/hyperlink" Target="https://drive.google.com/open?id=1jwli2HKtzrip8zRQSIquq0dNbrSxqyMO" TargetMode="External"/><Relationship Id="rId733" Type="http://schemas.openxmlformats.org/officeDocument/2006/relationships/hyperlink" Target="https://drive.google.com/open?id=1eXEfsAklstE_jVUK6fyojjB_qt0hV13_" TargetMode="External"/><Relationship Id="rId165" Type="http://schemas.openxmlformats.org/officeDocument/2006/relationships/hyperlink" Target="https://drive.google.com/open?id=1XJd3VVyk8QxGnJMeU9hqWR1103vycfpc" TargetMode="External"/><Relationship Id="rId372" Type="http://schemas.openxmlformats.org/officeDocument/2006/relationships/hyperlink" Target="https://drive.google.com/open?id=1kcJHnRSTYfZkr3B9l28pszDODgZTNPl1" TargetMode="External"/><Relationship Id="rId677" Type="http://schemas.openxmlformats.org/officeDocument/2006/relationships/hyperlink" Target="https://drive.google.com/open?id=1FD9n6dhUmQoGov9-o_FlaRGjjYa0GNuH" TargetMode="External"/><Relationship Id="rId232" Type="http://schemas.openxmlformats.org/officeDocument/2006/relationships/hyperlink" Target="https://drive.google.com/open?id=1HfC19LdDd8dOFq6VALCq6kjBPVzshWwJ" TargetMode="External"/><Relationship Id="rId27" Type="http://schemas.openxmlformats.org/officeDocument/2006/relationships/hyperlink" Target="https://drive.google.com/file/d/1rbCJ9fGlKrMK_wX_lh4yjxkZXgs290vw/view?usp=drivesdk" TargetMode="External"/><Relationship Id="rId537" Type="http://schemas.openxmlformats.org/officeDocument/2006/relationships/hyperlink" Target="https://drive.google.com/file/d/1NG_JBhoBkDRQaLO0s0DrRvK1Mrrzpa6c/view?usp=drivesdk" TargetMode="External"/><Relationship Id="rId744" Type="http://schemas.openxmlformats.org/officeDocument/2006/relationships/hyperlink" Target="https://drive.google.com/file/d/1s0Xo3OohramT6kLsgGwJ6Z1NpCcvPVBT/view?usp=drivesdk" TargetMode="External"/><Relationship Id="rId80" Type="http://schemas.openxmlformats.org/officeDocument/2006/relationships/hyperlink" Target="https://drive.google.com/open?id=1f7BauV_HURJdeOaOy528B_BsEqCXVuVk" TargetMode="External"/><Relationship Id="rId176" Type="http://schemas.openxmlformats.org/officeDocument/2006/relationships/hyperlink" Target="https://drive.google.com/file/d/1lm7G6G0V-aMxLKnGbSeW2X4A_jqH-iOM/view?usp=drivesdk" TargetMode="External"/><Relationship Id="rId383" Type="http://schemas.openxmlformats.org/officeDocument/2006/relationships/hyperlink" Target="https://drive.google.com/open?id=1wCzRtMXYnu9pVybzVyY0c2LYrBugwkQl" TargetMode="External"/><Relationship Id="rId590" Type="http://schemas.openxmlformats.org/officeDocument/2006/relationships/hyperlink" Target="https://drive.google.com/open?id=1KP2wU7MRkC1YUu1k-Me1P4fHsuk99U0R" TargetMode="External"/><Relationship Id="rId604" Type="http://schemas.openxmlformats.org/officeDocument/2006/relationships/hyperlink" Target="https://drive.google.com/open?id=11O8wcCKGSTyFvpXMons1LrFNZagpGUW3" TargetMode="External"/><Relationship Id="rId243" Type="http://schemas.openxmlformats.org/officeDocument/2006/relationships/hyperlink" Target="https://drive.google.com/file/d/1EXzBVCi1NvKg_Kv2Azxl_ARa7k8lpGOQ/view?usp=drivesdk" TargetMode="External"/><Relationship Id="rId450" Type="http://schemas.openxmlformats.org/officeDocument/2006/relationships/hyperlink" Target="https://drive.google.com/open?id=1V7IM3hVBNjHd1Q2j6wHLmSnti2rRBv8Y" TargetMode="External"/><Relationship Id="rId688" Type="http://schemas.openxmlformats.org/officeDocument/2006/relationships/hyperlink" Target="https://drive.google.com/file/d/1gdvMkyOIBtL_HP8AY-BYbxBpcovD8fI3/view?usp=drivesdk" TargetMode="External"/><Relationship Id="rId38" Type="http://schemas.openxmlformats.org/officeDocument/2006/relationships/hyperlink" Target="https://drive.google.com/open?id=1layLAjEW5waE-PElONo6q_d02rozq-Fj" TargetMode="External"/><Relationship Id="rId103" Type="http://schemas.openxmlformats.org/officeDocument/2006/relationships/hyperlink" Target="https://drive.google.com/open?id=1sK6HeLqWPPg_hDzXX8TStXEgzC_J0OtB" TargetMode="External"/><Relationship Id="rId310" Type="http://schemas.openxmlformats.org/officeDocument/2006/relationships/hyperlink" Target="https://drive.google.com/open?id=1b0DqOxuKwEtzMrEENH483VhJK-B7jxb3" TargetMode="External"/><Relationship Id="rId548" Type="http://schemas.openxmlformats.org/officeDocument/2006/relationships/hyperlink" Target="https://drive.google.com/open?id=1U-CnJNuXX1S2rHlXQR2l6nXYP1yLGf6z" TargetMode="External"/><Relationship Id="rId755" Type="http://schemas.openxmlformats.org/officeDocument/2006/relationships/hyperlink" Target="https://drive.google.com/open?id=1uJxV1QI5JsXOU4UbeRFVypM309r8n6av" TargetMode="External"/><Relationship Id="rId91" Type="http://schemas.openxmlformats.org/officeDocument/2006/relationships/hyperlink" Target="https://drive.google.com/open?id=1RmOfQW2PGka_V6WNPufdkcdoh--62LC-" TargetMode="External"/><Relationship Id="rId187" Type="http://schemas.openxmlformats.org/officeDocument/2006/relationships/hyperlink" Target="https://drive.google.com/open?id=1L8m_8cl_sFHRLFbZwZzkm7-namnXLEIX" TargetMode="External"/><Relationship Id="rId394" Type="http://schemas.openxmlformats.org/officeDocument/2006/relationships/hyperlink" Target="https://drive.google.com/file/d/11jHFTTuVfNENkSWhMT_84mRZf2pljwis/view?usp=drivesdk" TargetMode="External"/><Relationship Id="rId408" Type="http://schemas.openxmlformats.org/officeDocument/2006/relationships/hyperlink" Target="https://drive.google.com/open?id=1lBouXgxz4hkpyZBxwIqdm5LG7DshNSv0" TargetMode="External"/><Relationship Id="rId615" Type="http://schemas.openxmlformats.org/officeDocument/2006/relationships/hyperlink" Target="https://drive.google.com/file/d/1-nDf4qjiA1sg6JA95gLO66yg3JbWGEKm/view?usp=drivesdk" TargetMode="External"/><Relationship Id="rId254" Type="http://schemas.openxmlformats.org/officeDocument/2006/relationships/hyperlink" Target="https://drive.google.com/open?id=18gbMBtOsheY7ha0zah_GUJqgQ0OPnM3L" TargetMode="External"/><Relationship Id="rId699" Type="http://schemas.openxmlformats.org/officeDocument/2006/relationships/hyperlink" Target="https://drive.google.com/open?id=1LfamwvMgHMFzh1C4F4yD_mxU_rASbBj8" TargetMode="External"/><Relationship Id="rId49" Type="http://schemas.openxmlformats.org/officeDocument/2006/relationships/hyperlink" Target="https://drive.google.com/file/d/14gP-SNC_bdljk1sN3rMS-CeoNsr9HoU1/view?usp=drivesdk" TargetMode="External"/><Relationship Id="rId114" Type="http://schemas.openxmlformats.org/officeDocument/2006/relationships/hyperlink" Target="https://drive.google.com/open?id=1fjNxsrf9W7fYUvRpAigsHGf_U1kBjS3X" TargetMode="External"/><Relationship Id="rId461" Type="http://schemas.openxmlformats.org/officeDocument/2006/relationships/hyperlink" Target="https://drive.google.com/file/d/1c_ZdGmWK-fRzzFHZregRk8t-2zFkAdci/view?usp=drivesdk" TargetMode="External"/><Relationship Id="rId559" Type="http://schemas.openxmlformats.org/officeDocument/2006/relationships/hyperlink" Target="https://drive.google.com/file/d/17RSmpMNew1z7UgXChDilVcSlxSjwn0kC/view?usp=drivesdk" TargetMode="External"/><Relationship Id="rId766" Type="http://schemas.openxmlformats.org/officeDocument/2006/relationships/hyperlink" Target="https://drive.google.com/open?id=1Q6fmkvSdCQHmaKQiQE804IKcb8rXjSjD" TargetMode="External"/><Relationship Id="rId198" Type="http://schemas.openxmlformats.org/officeDocument/2006/relationships/hyperlink" Target="https://drive.google.com/file/d/1C0ppqcVAE73l1qoHaWlVQpzM4wbVRANl/view?usp=drivesdk" TargetMode="External"/><Relationship Id="rId321" Type="http://schemas.openxmlformats.org/officeDocument/2006/relationships/hyperlink" Target="https://drive.google.com/open?id=1NSMGnJeV80TtySLjwwwwfOdMm8hjHJyE" TargetMode="External"/><Relationship Id="rId419" Type="http://schemas.openxmlformats.org/officeDocument/2006/relationships/hyperlink" Target="https://drive.google.com/file/d/1hoLrcgQ7o30XTzVeKWnagnFJMtDvWLKO/view?usp=drivesdk" TargetMode="External"/><Relationship Id="rId626" Type="http://schemas.openxmlformats.org/officeDocument/2006/relationships/hyperlink" Target="https://drive.google.com/open?id=1TrHJJjzNXDEds7kZNeuJvHbmIeqxzs1J" TargetMode="External"/><Relationship Id="rId265" Type="http://schemas.openxmlformats.org/officeDocument/2006/relationships/hyperlink" Target="https://drive.google.com/open?id=1_FuZ6TTcrbkipetCBPYcL-0B5D1rx6rW" TargetMode="External"/><Relationship Id="rId472" Type="http://schemas.openxmlformats.org/officeDocument/2006/relationships/hyperlink" Target="https://drive.google.com/file/d/1pmVU6uBnfmCO6TeI6KM7nfLwqxd-w_ra/view?usp=drivesdk" TargetMode="External"/><Relationship Id="rId125" Type="http://schemas.openxmlformats.org/officeDocument/2006/relationships/hyperlink" Target="https://drive.google.com/open?id=1s3LFdyMeqFalnRmaui5QMwT40phv-BJm" TargetMode="External"/><Relationship Id="rId332" Type="http://schemas.openxmlformats.org/officeDocument/2006/relationships/hyperlink" Target="https://drive.google.com/open?id=1Ot7nzUstYzC486mZVkShIqToDW-UWy6u" TargetMode="External"/><Relationship Id="rId777" Type="http://schemas.openxmlformats.org/officeDocument/2006/relationships/hyperlink" Target="https://drive.google.com/file/d/1yTaQgJbLzS3zwuqT2_r8p9ntZNwGkDlv/view?usp=drivesdk" TargetMode="External"/><Relationship Id="rId637" Type="http://schemas.openxmlformats.org/officeDocument/2006/relationships/hyperlink" Target="https://drive.google.com/file/d/12Lqeh40O7i12lrnxgQiOaExqebMo8tQB/view?usp=drivesdk" TargetMode="External"/><Relationship Id="rId276" Type="http://schemas.openxmlformats.org/officeDocument/2006/relationships/hyperlink" Target="https://drive.google.com/open?id=1ThZpkxvFQZMg3DuQjg4Rxi2fB92wgSJa" TargetMode="External"/><Relationship Id="rId483" Type="http://schemas.openxmlformats.org/officeDocument/2006/relationships/hyperlink" Target="https://drive.google.com/file/d/1TMN_QGC_zA-3F0fPDZx5HbpjJTrMZCmz/view?usp=drivesdk" TargetMode="External"/><Relationship Id="rId690" Type="http://schemas.openxmlformats.org/officeDocument/2006/relationships/hyperlink" Target="https://drive.google.com/file/d/19UBwkQ3EMPTry0QgmAcdq9D0VXtL--us/view?usp=drivesdk" TargetMode="External"/><Relationship Id="rId704" Type="http://schemas.openxmlformats.org/officeDocument/2006/relationships/hyperlink" Target="https://drive.google.com/open?id=1_6YUWgd8NKvTTa_mYSnaql3RRmqDs1qt" TargetMode="External"/><Relationship Id="rId40" Type="http://schemas.openxmlformats.org/officeDocument/2006/relationships/hyperlink" Target="https://drive.google.com/open?id=1VFbJnLngCWLAnS2WIsiPL5ZOy0hUYxra" TargetMode="External"/><Relationship Id="rId136" Type="http://schemas.openxmlformats.org/officeDocument/2006/relationships/hyperlink" Target="https://drive.google.com/open?id=1J29laIM0JiLBc8SqJgIInKanMKUsWC-U" TargetMode="External"/><Relationship Id="rId343" Type="http://schemas.openxmlformats.org/officeDocument/2006/relationships/hyperlink" Target="https://drive.google.com/file/d/1EIZTPIZLkxKG7YJ4VWH_fUT776saiiXT/view?usp=drivesdk" TargetMode="External"/><Relationship Id="rId550" Type="http://schemas.openxmlformats.org/officeDocument/2006/relationships/hyperlink" Target="https://drive.google.com/open?id=1HOKGkLmGgmCqw5f1mPhQQH98KZJbikrg" TargetMode="External"/><Relationship Id="rId788" Type="http://schemas.openxmlformats.org/officeDocument/2006/relationships/hyperlink" Target="https://drive.google.com/open?id=1v2q-4kh4YqQW12ZM3u-DtKWZeXttuLQY" TargetMode="External"/><Relationship Id="rId203" Type="http://schemas.openxmlformats.org/officeDocument/2006/relationships/hyperlink" Target="https://drive.google.com/open?id=1n1k3SqTPXXdb95exagphXtp8hoPs_bRe" TargetMode="External"/><Relationship Id="rId648" Type="http://schemas.openxmlformats.org/officeDocument/2006/relationships/hyperlink" Target="https://drive.google.com/file/d/1UNJj0hxgZoTpRi_lFbr6H1aC8JRDCj7f/view?usp=drivesdk" TargetMode="External"/><Relationship Id="rId287" Type="http://schemas.openxmlformats.org/officeDocument/2006/relationships/hyperlink" Target="https://drive.google.com/file/d/1ehuZK4-9B2dlj2neVhJ-Y12KnsS2vyPl/view?usp=drivesdk" TargetMode="External"/><Relationship Id="rId410" Type="http://schemas.openxmlformats.org/officeDocument/2006/relationships/hyperlink" Target="https://drive.google.com/file/d/1z_meZ4x6T8HbdlhzipjfKAvUbA-6yykm/view?usp=drivesdk" TargetMode="External"/><Relationship Id="rId494" Type="http://schemas.openxmlformats.org/officeDocument/2006/relationships/hyperlink" Target="https://drive.google.com/open?id=1NgKNnGqceYqEVcd7CSOIOBE-QWPAzi5U" TargetMode="External"/><Relationship Id="rId508" Type="http://schemas.openxmlformats.org/officeDocument/2006/relationships/hyperlink" Target="https://drive.google.com/file/d/1W32e0Scsxt27L6rb-qSf3qDy0yp7geqE/view?usp=drivesdk" TargetMode="External"/><Relationship Id="rId715" Type="http://schemas.openxmlformats.org/officeDocument/2006/relationships/hyperlink" Target="https://drive.google.com/open?id=1R65QIAANHQCxsGdRzrm7tyiIfSY0fuKB" TargetMode="External"/><Relationship Id="rId147" Type="http://schemas.openxmlformats.org/officeDocument/2006/relationships/hyperlink" Target="https://drive.google.com/open?id=188LySejn2nonP8yXnS7kCg4ra4DoxsYv" TargetMode="External"/><Relationship Id="rId354" Type="http://schemas.openxmlformats.org/officeDocument/2006/relationships/hyperlink" Target="https://drive.google.com/open?id=18digA0SBWsJ0Fd1WI7gpCwMpp4ZFkXBm" TargetMode="External"/><Relationship Id="rId51" Type="http://schemas.openxmlformats.org/officeDocument/2006/relationships/hyperlink" Target="https://drive.google.com/file/d/1Tmk_OEOPy4g1cxTddw5k7pd1DTl4IJ_W/view?usp=drivesdk" TargetMode="External"/><Relationship Id="rId561" Type="http://schemas.openxmlformats.org/officeDocument/2006/relationships/hyperlink" Target="https://drive.google.com/file/d/1YUKZBG5u4jHjLV_I3Gd-qUd1-JrGXTKL/view?usp=drivesdk" TargetMode="External"/><Relationship Id="rId659" Type="http://schemas.openxmlformats.org/officeDocument/2006/relationships/hyperlink" Target="https://drive.google.com/open?id=1iFjITDLXK7VFyEP5_NpZJySSTlYKAZl5" TargetMode="External"/><Relationship Id="rId214" Type="http://schemas.openxmlformats.org/officeDocument/2006/relationships/hyperlink" Target="https://drive.google.com/open?id=13BgRupaXjFWMGvBMOeHShfiUjNb4_Iz7" TargetMode="External"/><Relationship Id="rId298" Type="http://schemas.openxmlformats.org/officeDocument/2006/relationships/hyperlink" Target="https://drive.google.com/open?id=1Fwgzi6LKkyd9H4WYZ2hkmw0sOqr60lB-" TargetMode="External"/><Relationship Id="rId421" Type="http://schemas.openxmlformats.org/officeDocument/2006/relationships/hyperlink" Target="https://drive.google.com/file/d/1b-CKGrgSxef3_8b7zpyN3q89PqnKo6uV/view?usp=drivesdk" TargetMode="External"/><Relationship Id="rId519" Type="http://schemas.openxmlformats.org/officeDocument/2006/relationships/hyperlink" Target="https://drive.google.com/open?id=1_iPepfyD7ZPwRWcC1gG03p6rkafooVlw" TargetMode="External"/><Relationship Id="rId158" Type="http://schemas.openxmlformats.org/officeDocument/2006/relationships/hyperlink" Target="https://drive.google.com/open?id=15rkxskjSSz2NXTeNdUa9TKNTwVqBehWa" TargetMode="External"/><Relationship Id="rId726" Type="http://schemas.openxmlformats.org/officeDocument/2006/relationships/hyperlink" Target="https://drive.google.com/file/d/1GiZ0bOFnzXQCwlCevu3XhEVyKAen8GiK/view?usp=drivesdk" TargetMode="External"/><Relationship Id="rId62" Type="http://schemas.openxmlformats.org/officeDocument/2006/relationships/hyperlink" Target="https://drive.google.com/open?id=1FncvB5Vcx9so08LAIrt9gIqtGLq8KJY4" TargetMode="External"/><Relationship Id="rId365" Type="http://schemas.openxmlformats.org/officeDocument/2006/relationships/hyperlink" Target="https://drive.google.com/open?id=1fXXAJtZ6xZmPzZvl3SEC1tEKLTyw_Iou" TargetMode="External"/><Relationship Id="rId572" Type="http://schemas.openxmlformats.org/officeDocument/2006/relationships/hyperlink" Target="https://drive.google.com/open?id=1Xbfva34DV7VCm3InAeaqesfot_WhAVS4" TargetMode="External"/><Relationship Id="rId225" Type="http://schemas.openxmlformats.org/officeDocument/2006/relationships/hyperlink" Target="https://drive.google.com/file/d/1OMB9Rz-6NUlJIfq3D9a4RDDKlp0vSnR8/view?usp=drivesdk" TargetMode="External"/><Relationship Id="rId432" Type="http://schemas.openxmlformats.org/officeDocument/2006/relationships/hyperlink" Target="https://drive.google.com/open?id=19W4T_kQRTVZXsx74EUtPPrl_IdXQUzg4" TargetMode="External"/><Relationship Id="rId737" Type="http://schemas.openxmlformats.org/officeDocument/2006/relationships/hyperlink" Target="https://drive.google.com/open?id=1nIOqqLxxWzUSHEXVkHTKMu8UqppUllkU" TargetMode="External"/><Relationship Id="rId73" Type="http://schemas.openxmlformats.org/officeDocument/2006/relationships/hyperlink" Target="https://drive.google.com/open?id=1N4I-rJoRqYO6-z-q8FDA3RPsKlCAo8yZ" TargetMode="External"/><Relationship Id="rId169" Type="http://schemas.openxmlformats.org/officeDocument/2006/relationships/hyperlink" Target="https://drive.google.com/file/d/14Go4fTBTqrN3sJF1t0fq4D2U1KhRgpua/view?usp=drivesdk" TargetMode="External"/><Relationship Id="rId376" Type="http://schemas.openxmlformats.org/officeDocument/2006/relationships/hyperlink" Target="https://drive.google.com/file/d/1uE9i4p1ygXHRQFBx0vHJQEk9cFKTbBFf/view?usp=drivesdk" TargetMode="External"/><Relationship Id="rId583" Type="http://schemas.openxmlformats.org/officeDocument/2006/relationships/hyperlink" Target="https://drive.google.com/file/d/1BW5YH-53dGjZeUSkUec5FOuvfvVTWbWT/view?usp=drivesdk" TargetMode="External"/><Relationship Id="rId790" Type="http://schemas.openxmlformats.org/officeDocument/2006/relationships/hyperlink" Target="https://drive.google.com/open?id=1y2qD4wd4tDgkcXaQD7yK5oTP4OfOIvjX" TargetMode="External"/><Relationship Id="rId4" Type="http://schemas.openxmlformats.org/officeDocument/2006/relationships/hyperlink" Target="https://drive.google.com/open?id=1-nHm9EXUgpOrxGSEEER_gd2MzcM0-AUU" TargetMode="External"/><Relationship Id="rId236" Type="http://schemas.openxmlformats.org/officeDocument/2006/relationships/hyperlink" Target="https://drive.google.com/file/d/1iprFmOu52sRtvGKWRU96802hpGNyQXM_/view?usp=drivesdk" TargetMode="External"/><Relationship Id="rId443" Type="http://schemas.openxmlformats.org/officeDocument/2006/relationships/hyperlink" Target="https://drive.google.com/open?id=1UilDIsyFUoCzRhrVBqJEJzR8NQc7yiNn" TargetMode="External"/><Relationship Id="rId650" Type="http://schemas.openxmlformats.org/officeDocument/2006/relationships/hyperlink" Target="https://drive.google.com/file/d/1ohcpJlLC-bPq4O4XKR3TZMUiUqErGT6L/view?usp=drivesdk" TargetMode="External"/><Relationship Id="rId303" Type="http://schemas.openxmlformats.org/officeDocument/2006/relationships/hyperlink" Target="https://drive.google.com/file/d/1PFRCt8sycm8AWpyalh9WXadPHHz93pp0/view?usp=drivesdk" TargetMode="External"/><Relationship Id="rId748" Type="http://schemas.openxmlformats.org/officeDocument/2006/relationships/hyperlink" Target="https://drive.google.com/file/d/1O1cdxE8fw9pN4YEOIFSAaVti_K6ZQJ3q/view?usp=drivesdk" TargetMode="External"/><Relationship Id="rId84" Type="http://schemas.openxmlformats.org/officeDocument/2006/relationships/hyperlink" Target="https://drive.google.com/file/d/14Nv3YO6iRspLKQg4h1unQeYheO1cExyR/view?usp=drivesdk" TargetMode="External"/><Relationship Id="rId387" Type="http://schemas.openxmlformats.org/officeDocument/2006/relationships/hyperlink" Target="https://drive.google.com/file/d/1P2lXp25hQPLPKdy6bz7PF9iZCLDP2mpP/view?usp=drivesdk" TargetMode="External"/><Relationship Id="rId510" Type="http://schemas.openxmlformats.org/officeDocument/2006/relationships/hyperlink" Target="https://drive.google.com/file/d/13XIdiA3ZkzdsphwtK4dMdS282WHtqlFG/view?usp=drivesdk" TargetMode="External"/><Relationship Id="rId594" Type="http://schemas.openxmlformats.org/officeDocument/2006/relationships/hyperlink" Target="https://drive.google.com/open?id=19OZbmGH-7xLvyIcVnsIxM1Ci-RmxVHxD" TargetMode="External"/><Relationship Id="rId608" Type="http://schemas.openxmlformats.org/officeDocument/2006/relationships/hyperlink" Target="https://drive.google.com/open?id=16bcTdUkpko9UY8pQ_jPrs19LULHlZ76J" TargetMode="External"/><Relationship Id="rId247" Type="http://schemas.openxmlformats.org/officeDocument/2006/relationships/hyperlink" Target="https://drive.google.com/file/d/1s-ypow4CYfD0fMgdS_LSWdHn5Vk3M7tq/view?usp=drivesdk" TargetMode="External"/><Relationship Id="rId107" Type="http://schemas.openxmlformats.org/officeDocument/2006/relationships/hyperlink" Target="https://drive.google.com/open?id=1E0fThNgGcTVzGkiYXgSDjtsMTaiijxAO" TargetMode="External"/><Relationship Id="rId454" Type="http://schemas.openxmlformats.org/officeDocument/2006/relationships/hyperlink" Target="https://drive.google.com/open?id=1UZqqiEZ4zNrqJWYpeQYNd6yqqlUHfQLh" TargetMode="External"/><Relationship Id="rId661" Type="http://schemas.openxmlformats.org/officeDocument/2006/relationships/hyperlink" Target="https://drive.google.com/open?id=1tcmIculGLkIDbV-3yfmJ33sRZnAlTQo2" TargetMode="External"/><Relationship Id="rId759" Type="http://schemas.openxmlformats.org/officeDocument/2006/relationships/hyperlink" Target="https://drive.google.com/open?id=1wRQJ-OEZAjEZLcM3fA170nBV4m5jhSTG" TargetMode="External"/><Relationship Id="rId11" Type="http://schemas.openxmlformats.org/officeDocument/2006/relationships/hyperlink" Target="https://drive.google.com/file/d/1XjXJtEPl3B4Z5iGDIg75rMCNXz0i-1_f/view?usp=drivesdk" TargetMode="External"/><Relationship Id="rId314" Type="http://schemas.openxmlformats.org/officeDocument/2006/relationships/hyperlink" Target="https://drive.google.com/open?id=16_KH0B4EQV_TPeJCS0WU1D5CcljtfXlO" TargetMode="External"/><Relationship Id="rId398" Type="http://schemas.openxmlformats.org/officeDocument/2006/relationships/hyperlink" Target="https://drive.google.com/open?id=1GtmLL5Vbz0LL935tvTIdIL3TgTLt0xKh" TargetMode="External"/><Relationship Id="rId521" Type="http://schemas.openxmlformats.org/officeDocument/2006/relationships/hyperlink" Target="https://drive.google.com/open?id=1Ko5uA2XbtMfaW70zPyxTaKJCtgMATF-P" TargetMode="External"/><Relationship Id="rId619" Type="http://schemas.openxmlformats.org/officeDocument/2006/relationships/hyperlink" Target="https://drive.google.com/file/d/14oQmslqziXfYpmRSZqzcFaubZyPCX9Jj/view?usp=drivesdk" TargetMode="External"/><Relationship Id="rId95" Type="http://schemas.openxmlformats.org/officeDocument/2006/relationships/hyperlink" Target="https://drive.google.com/open?id=1oQsAvkXWCUF9n6b2_aeH4kFyF8shv37-" TargetMode="External"/><Relationship Id="rId160" Type="http://schemas.openxmlformats.org/officeDocument/2006/relationships/hyperlink" Target="https://drive.google.com/file/d/18fhfPVEKzt-7NNZAcz00ExkCsVDMavRC/view?usp=drivesdk" TargetMode="External"/><Relationship Id="rId258" Type="http://schemas.openxmlformats.org/officeDocument/2006/relationships/hyperlink" Target="https://drive.google.com/open?id=1Yt-phJOnOF62nN5bANxt6upLBSC4QsSZ" TargetMode="External"/><Relationship Id="rId465" Type="http://schemas.openxmlformats.org/officeDocument/2006/relationships/hyperlink" Target="https://drive.google.com/file/d/1ywrFU-aJ2v1QwzHmTRDSVmY8GaNKdLbW/view?usp=drivesdk" TargetMode="External"/><Relationship Id="rId672" Type="http://schemas.openxmlformats.org/officeDocument/2006/relationships/hyperlink" Target="https://drive.google.com/file/d/1Yo4yEM4V9wBLZaodFCBsHNqDNu65lWgz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7441-B8AA-4F0A-B210-D39282998790}">
  <dimension ref="A1:K457"/>
  <sheetViews>
    <sheetView topLeftCell="B162" workbookViewId="0">
      <selection activeCell="K177" sqref="K177:K178"/>
    </sheetView>
  </sheetViews>
  <sheetFormatPr defaultRowHeight="15" x14ac:dyDescent="0.25"/>
  <cols>
    <col min="1" max="1" width="6.140625" style="20" customWidth="1"/>
    <col min="2" max="2" width="39" bestFit="1" customWidth="1"/>
    <col min="3" max="3" width="19.85546875" bestFit="1" customWidth="1"/>
    <col min="4" max="4" width="34.140625" customWidth="1"/>
    <col min="5" max="5" width="18" style="2" bestFit="1" customWidth="1"/>
    <col min="6" max="6" width="24.28515625" bestFit="1" customWidth="1"/>
    <col min="7" max="7" width="30.140625" bestFit="1" customWidth="1"/>
    <col min="8" max="8" width="45.7109375" customWidth="1"/>
    <col min="9" max="9" width="29.28515625" bestFit="1" customWidth="1"/>
  </cols>
  <sheetData>
    <row r="1" spans="1:9" x14ac:dyDescent="0.25">
      <c r="A1" s="125" t="s">
        <v>232</v>
      </c>
      <c r="B1" s="125"/>
      <c r="C1" s="125"/>
      <c r="D1" s="125"/>
      <c r="E1" s="125"/>
      <c r="F1" s="125"/>
      <c r="G1" s="125"/>
      <c r="H1" s="125"/>
      <c r="I1" s="125"/>
    </row>
    <row r="3" spans="1:9" s="1" customFormat="1" x14ac:dyDescent="0.25">
      <c r="A3" s="89" t="s">
        <v>225</v>
      </c>
      <c r="B3" s="3" t="s">
        <v>226</v>
      </c>
      <c r="C3" s="3" t="s">
        <v>227</v>
      </c>
      <c r="D3" s="3" t="s">
        <v>228</v>
      </c>
      <c r="E3" s="9" t="s">
        <v>903</v>
      </c>
      <c r="F3" s="3" t="s">
        <v>229</v>
      </c>
      <c r="G3" s="3" t="s">
        <v>230</v>
      </c>
      <c r="H3" s="3"/>
      <c r="I3" s="3" t="s">
        <v>231</v>
      </c>
    </row>
    <row r="4" spans="1:9" x14ac:dyDescent="0.25">
      <c r="A4" s="15" t="s">
        <v>284</v>
      </c>
      <c r="B4" s="5" t="s">
        <v>285</v>
      </c>
      <c r="C4" s="5" t="s">
        <v>2</v>
      </c>
      <c r="D4" s="5" t="s">
        <v>28</v>
      </c>
      <c r="E4" s="8">
        <v>41826</v>
      </c>
      <c r="F4" s="5" t="s">
        <v>286</v>
      </c>
      <c r="G4" s="5" t="s">
        <v>287</v>
      </c>
      <c r="H4" s="5" t="s">
        <v>288</v>
      </c>
      <c r="I4" s="5" t="s">
        <v>289</v>
      </c>
    </row>
    <row r="5" spans="1:9" x14ac:dyDescent="0.25">
      <c r="A5" s="16" t="s">
        <v>290</v>
      </c>
      <c r="B5" s="5" t="s">
        <v>291</v>
      </c>
      <c r="C5" s="5" t="s">
        <v>2</v>
      </c>
      <c r="D5" s="5" t="s">
        <v>28</v>
      </c>
      <c r="E5" s="8">
        <v>41995</v>
      </c>
      <c r="F5" s="5" t="s">
        <v>292</v>
      </c>
      <c r="G5" s="5" t="s">
        <v>293</v>
      </c>
      <c r="H5" s="5" t="s">
        <v>294</v>
      </c>
      <c r="I5" s="5" t="s">
        <v>289</v>
      </c>
    </row>
    <row r="6" spans="1:9" x14ac:dyDescent="0.25">
      <c r="A6" s="15" t="s">
        <v>748</v>
      </c>
      <c r="B6" s="5" t="s">
        <v>749</v>
      </c>
      <c r="C6" s="5" t="s">
        <v>66</v>
      </c>
      <c r="D6" s="5" t="s">
        <v>28</v>
      </c>
      <c r="E6" s="8">
        <v>42478</v>
      </c>
      <c r="F6" s="5" t="s">
        <v>750</v>
      </c>
      <c r="G6" s="5" t="s">
        <v>751</v>
      </c>
      <c r="H6" s="5" t="s">
        <v>752</v>
      </c>
      <c r="I6" s="5" t="s">
        <v>753</v>
      </c>
    </row>
    <row r="7" spans="1:9" x14ac:dyDescent="0.25">
      <c r="A7" s="15" t="s">
        <v>326</v>
      </c>
      <c r="B7" s="5" t="s">
        <v>327</v>
      </c>
      <c r="C7" s="5" t="s">
        <v>66</v>
      </c>
      <c r="D7" s="5" t="s">
        <v>328</v>
      </c>
      <c r="E7" s="8">
        <v>40488</v>
      </c>
      <c r="F7" s="5" t="s">
        <v>329</v>
      </c>
      <c r="G7" s="5" t="s">
        <v>330</v>
      </c>
      <c r="H7" s="5" t="s">
        <v>331</v>
      </c>
      <c r="I7" s="5" t="s">
        <v>332</v>
      </c>
    </row>
    <row r="8" spans="1:9" x14ac:dyDescent="0.25">
      <c r="A8" s="16" t="s">
        <v>599</v>
      </c>
      <c r="B8" s="5" t="s">
        <v>600</v>
      </c>
      <c r="C8" s="5" t="s">
        <v>2</v>
      </c>
      <c r="D8" s="5" t="s">
        <v>10</v>
      </c>
      <c r="E8" s="8">
        <v>42646</v>
      </c>
      <c r="F8" s="5" t="s">
        <v>601</v>
      </c>
      <c r="G8" s="5" t="s">
        <v>602</v>
      </c>
      <c r="H8" s="5" t="s">
        <v>603</v>
      </c>
      <c r="I8" s="5" t="s">
        <v>268</v>
      </c>
    </row>
    <row r="9" spans="1:9" x14ac:dyDescent="0.25">
      <c r="A9" s="15" t="s">
        <v>522</v>
      </c>
      <c r="B9" s="5" t="s">
        <v>523</v>
      </c>
      <c r="C9" s="5" t="s">
        <v>2</v>
      </c>
      <c r="D9" s="5" t="s">
        <v>402</v>
      </c>
      <c r="E9" s="8">
        <v>41460</v>
      </c>
      <c r="F9" s="5" t="s">
        <v>524</v>
      </c>
      <c r="G9" s="5" t="s">
        <v>525</v>
      </c>
      <c r="H9" s="5" t="s">
        <v>526</v>
      </c>
      <c r="I9" s="5" t="s">
        <v>268</v>
      </c>
    </row>
    <row r="10" spans="1:9" x14ac:dyDescent="0.25">
      <c r="A10" s="16" t="s">
        <v>269</v>
      </c>
      <c r="B10" s="5" t="s">
        <v>270</v>
      </c>
      <c r="C10" s="5" t="s">
        <v>2</v>
      </c>
      <c r="D10" s="5" t="s">
        <v>10</v>
      </c>
      <c r="E10" s="8">
        <v>42312</v>
      </c>
      <c r="F10" s="5" t="s">
        <v>271</v>
      </c>
      <c r="G10" s="5" t="s">
        <v>272</v>
      </c>
      <c r="H10" s="5" t="s">
        <v>273</v>
      </c>
      <c r="I10" s="5" t="s">
        <v>268</v>
      </c>
    </row>
    <row r="11" spans="1:9" x14ac:dyDescent="0.25">
      <c r="A11" s="15" t="s">
        <v>305</v>
      </c>
      <c r="B11" s="6" t="s">
        <v>306</v>
      </c>
      <c r="C11" s="5" t="s">
        <v>2</v>
      </c>
      <c r="D11" s="5" t="s">
        <v>10</v>
      </c>
      <c r="E11" s="8">
        <v>42542</v>
      </c>
      <c r="F11" s="5" t="s">
        <v>307</v>
      </c>
      <c r="G11" s="5" t="s">
        <v>308</v>
      </c>
      <c r="H11" s="5" t="s">
        <v>309</v>
      </c>
      <c r="I11" s="5" t="s">
        <v>268</v>
      </c>
    </row>
    <row r="12" spans="1:9" x14ac:dyDescent="0.25">
      <c r="A12" s="16" t="s">
        <v>310</v>
      </c>
      <c r="B12" s="6" t="s">
        <v>306</v>
      </c>
      <c r="C12" s="5" t="s">
        <v>2</v>
      </c>
      <c r="D12" s="5" t="s">
        <v>10</v>
      </c>
      <c r="E12" s="8">
        <v>42542</v>
      </c>
      <c r="F12" s="5" t="s">
        <v>311</v>
      </c>
      <c r="G12" s="5" t="s">
        <v>308</v>
      </c>
      <c r="H12" s="5" t="s">
        <v>312</v>
      </c>
      <c r="I12" s="5" t="s">
        <v>268</v>
      </c>
    </row>
    <row r="13" spans="1:9" x14ac:dyDescent="0.25">
      <c r="A13" s="15" t="s">
        <v>263</v>
      </c>
      <c r="B13" s="5" t="s">
        <v>264</v>
      </c>
      <c r="C13" s="5" t="s">
        <v>2</v>
      </c>
      <c r="D13" s="5" t="s">
        <v>10</v>
      </c>
      <c r="E13" s="8">
        <v>42318</v>
      </c>
      <c r="F13" s="5" t="s">
        <v>265</v>
      </c>
      <c r="G13" s="5" t="s">
        <v>266</v>
      </c>
      <c r="H13" s="5" t="s">
        <v>267</v>
      </c>
      <c r="I13" s="5" t="s">
        <v>268</v>
      </c>
    </row>
    <row r="14" spans="1:9" x14ac:dyDescent="0.25">
      <c r="A14" s="15" t="s">
        <v>274</v>
      </c>
      <c r="B14" s="5" t="s">
        <v>275</v>
      </c>
      <c r="C14" s="5" t="s">
        <v>2</v>
      </c>
      <c r="D14" s="5" t="s">
        <v>116</v>
      </c>
      <c r="E14" s="8">
        <v>42191</v>
      </c>
      <c r="F14" s="5" t="s">
        <v>276</v>
      </c>
      <c r="G14" s="5" t="s">
        <v>277</v>
      </c>
      <c r="H14" s="5" t="s">
        <v>278</v>
      </c>
      <c r="I14" s="5" t="s">
        <v>268</v>
      </c>
    </row>
    <row r="15" spans="1:9" x14ac:dyDescent="0.25">
      <c r="A15" s="16" t="s">
        <v>474</v>
      </c>
      <c r="B15" s="6" t="s">
        <v>475</v>
      </c>
      <c r="C15" s="5" t="s">
        <v>2</v>
      </c>
      <c r="D15" s="5" t="s">
        <v>28</v>
      </c>
      <c r="E15" s="8">
        <v>41600</v>
      </c>
      <c r="F15" s="5" t="s">
        <v>476</v>
      </c>
      <c r="G15" s="5" t="s">
        <v>477</v>
      </c>
      <c r="H15" s="5" t="s">
        <v>478</v>
      </c>
      <c r="I15" s="5" t="s">
        <v>268</v>
      </c>
    </row>
    <row r="16" spans="1:9" x14ac:dyDescent="0.25">
      <c r="A16" s="15" t="s">
        <v>542</v>
      </c>
      <c r="B16" s="6" t="s">
        <v>475</v>
      </c>
      <c r="C16" s="5" t="s">
        <v>2</v>
      </c>
      <c r="D16" s="5" t="s">
        <v>10</v>
      </c>
      <c r="E16" s="8">
        <v>41600</v>
      </c>
      <c r="F16" s="5" t="s">
        <v>476</v>
      </c>
      <c r="G16" s="5" t="s">
        <v>543</v>
      </c>
      <c r="H16" s="5" t="s">
        <v>544</v>
      </c>
      <c r="I16" s="5" t="s">
        <v>268</v>
      </c>
    </row>
    <row r="17" spans="1:9" x14ac:dyDescent="0.25">
      <c r="A17" s="15" t="s">
        <v>446</v>
      </c>
      <c r="B17" s="5" t="s">
        <v>447</v>
      </c>
      <c r="C17" s="5" t="s">
        <v>2</v>
      </c>
      <c r="D17" s="5" t="s">
        <v>10</v>
      </c>
      <c r="E17" s="8">
        <v>42404</v>
      </c>
      <c r="F17" s="5" t="s">
        <v>448</v>
      </c>
      <c r="G17" s="5" t="s">
        <v>449</v>
      </c>
      <c r="H17" s="5" t="s">
        <v>450</v>
      </c>
      <c r="I17" s="5" t="s">
        <v>268</v>
      </c>
    </row>
    <row r="18" spans="1:9" x14ac:dyDescent="0.25">
      <c r="A18" s="15" t="s">
        <v>191</v>
      </c>
      <c r="B18" s="5" t="s">
        <v>192</v>
      </c>
      <c r="C18" s="5" t="s">
        <v>2</v>
      </c>
      <c r="D18" s="5" t="s">
        <v>28</v>
      </c>
      <c r="E18" s="8">
        <v>42532</v>
      </c>
      <c r="F18" s="5" t="s">
        <v>193</v>
      </c>
      <c r="G18" s="5" t="s">
        <v>194</v>
      </c>
      <c r="H18" s="5" t="s">
        <v>195</v>
      </c>
      <c r="I18" s="5" t="s">
        <v>196</v>
      </c>
    </row>
    <row r="19" spans="1:9" x14ac:dyDescent="0.25">
      <c r="A19" s="16" t="s">
        <v>197</v>
      </c>
      <c r="B19" s="5" t="s">
        <v>198</v>
      </c>
      <c r="C19" s="5" t="s">
        <v>2</v>
      </c>
      <c r="D19" s="5" t="s">
        <v>28</v>
      </c>
      <c r="E19" s="8">
        <v>42553</v>
      </c>
      <c r="F19" s="5" t="s">
        <v>199</v>
      </c>
      <c r="G19" s="5" t="s">
        <v>200</v>
      </c>
      <c r="H19" s="5" t="s">
        <v>201</v>
      </c>
      <c r="I19" s="5" t="s">
        <v>196</v>
      </c>
    </row>
    <row r="20" spans="1:9" x14ac:dyDescent="0.25">
      <c r="A20" s="15" t="s">
        <v>604</v>
      </c>
      <c r="B20" s="5" t="s">
        <v>605</v>
      </c>
      <c r="C20" s="5" t="s">
        <v>66</v>
      </c>
      <c r="D20" s="5" t="s">
        <v>10</v>
      </c>
      <c r="E20" s="8">
        <v>42627</v>
      </c>
      <c r="F20" s="5" t="s">
        <v>606</v>
      </c>
      <c r="G20" s="5" t="s">
        <v>607</v>
      </c>
      <c r="H20" s="5" t="s">
        <v>608</v>
      </c>
      <c r="I20" s="5" t="s">
        <v>609</v>
      </c>
    </row>
    <row r="21" spans="1:9" x14ac:dyDescent="0.25">
      <c r="A21" s="16" t="s">
        <v>618</v>
      </c>
      <c r="B21" s="5" t="s">
        <v>619</v>
      </c>
      <c r="C21" s="5" t="s">
        <v>66</v>
      </c>
      <c r="D21" s="5" t="s">
        <v>10</v>
      </c>
      <c r="E21" s="8">
        <v>42694</v>
      </c>
      <c r="F21" s="5" t="s">
        <v>620</v>
      </c>
      <c r="G21" s="5" t="s">
        <v>621</v>
      </c>
      <c r="H21" s="5" t="s">
        <v>622</v>
      </c>
      <c r="I21" s="5" t="s">
        <v>609</v>
      </c>
    </row>
    <row r="22" spans="1:9" x14ac:dyDescent="0.25">
      <c r="A22" s="15" t="s">
        <v>824</v>
      </c>
      <c r="B22" s="5" t="s">
        <v>825</v>
      </c>
      <c r="C22" s="5" t="s">
        <v>2</v>
      </c>
      <c r="D22" s="5" t="s">
        <v>10</v>
      </c>
      <c r="E22" s="8">
        <v>41714</v>
      </c>
      <c r="F22" s="5" t="s">
        <v>826</v>
      </c>
      <c r="G22" s="5" t="s">
        <v>827</v>
      </c>
      <c r="H22" s="5" t="s">
        <v>828</v>
      </c>
      <c r="I22" s="5" t="s">
        <v>609</v>
      </c>
    </row>
    <row r="23" spans="1:9" x14ac:dyDescent="0.25">
      <c r="A23" s="15" t="s">
        <v>661</v>
      </c>
      <c r="B23" s="5" t="s">
        <v>662</v>
      </c>
      <c r="C23" s="5" t="s">
        <v>2</v>
      </c>
      <c r="D23" s="5" t="s">
        <v>10</v>
      </c>
      <c r="E23" s="8">
        <v>42792</v>
      </c>
      <c r="F23" s="5" t="s">
        <v>663</v>
      </c>
      <c r="G23" s="5" t="s">
        <v>664</v>
      </c>
      <c r="H23" s="5" t="s">
        <v>665</v>
      </c>
      <c r="I23" s="5" t="s">
        <v>609</v>
      </c>
    </row>
    <row r="24" spans="1:9" x14ac:dyDescent="0.25">
      <c r="A24" s="15" t="s">
        <v>648</v>
      </c>
      <c r="B24" s="5" t="s">
        <v>653</v>
      </c>
      <c r="C24" s="5" t="s">
        <v>2</v>
      </c>
      <c r="D24" s="5" t="s">
        <v>10</v>
      </c>
      <c r="E24" s="8">
        <v>42056</v>
      </c>
      <c r="F24" s="5" t="s">
        <v>654</v>
      </c>
      <c r="G24" s="5" t="s">
        <v>655</v>
      </c>
      <c r="H24" s="5" t="s">
        <v>652</v>
      </c>
      <c r="I24" s="5" t="s">
        <v>609</v>
      </c>
    </row>
    <row r="25" spans="1:9" x14ac:dyDescent="0.25">
      <c r="A25" s="16" t="s">
        <v>656</v>
      </c>
      <c r="B25" s="5" t="s">
        <v>657</v>
      </c>
      <c r="C25" s="5" t="s">
        <v>66</v>
      </c>
      <c r="D25" s="5" t="s">
        <v>10</v>
      </c>
      <c r="E25" s="8">
        <v>43172</v>
      </c>
      <c r="F25" s="5" t="s">
        <v>658</v>
      </c>
      <c r="G25" s="5" t="s">
        <v>659</v>
      </c>
      <c r="H25" s="5" t="s">
        <v>660</v>
      </c>
      <c r="I25" s="5" t="s">
        <v>609</v>
      </c>
    </row>
    <row r="26" spans="1:9" x14ac:dyDescent="0.25">
      <c r="A26" s="16" t="s">
        <v>628</v>
      </c>
      <c r="B26" s="5" t="s">
        <v>629</v>
      </c>
      <c r="C26" s="5" t="s">
        <v>2</v>
      </c>
      <c r="D26" s="5" t="s">
        <v>10</v>
      </c>
      <c r="E26" s="8">
        <v>42138</v>
      </c>
      <c r="F26" s="5" t="s">
        <v>630</v>
      </c>
      <c r="G26" s="5" t="s">
        <v>631</v>
      </c>
      <c r="H26" s="5" t="s">
        <v>632</v>
      </c>
      <c r="I26" s="5" t="s">
        <v>609</v>
      </c>
    </row>
    <row r="27" spans="1:9" x14ac:dyDescent="0.25">
      <c r="A27" s="16" t="s">
        <v>638</v>
      </c>
      <c r="B27" s="5" t="s">
        <v>639</v>
      </c>
      <c r="C27" s="5" t="s">
        <v>66</v>
      </c>
      <c r="D27" s="5" t="s">
        <v>10</v>
      </c>
      <c r="E27" s="8">
        <v>41933</v>
      </c>
      <c r="F27" s="5" t="s">
        <v>640</v>
      </c>
      <c r="G27" s="5" t="s">
        <v>641</v>
      </c>
      <c r="H27" s="5" t="s">
        <v>642</v>
      </c>
      <c r="I27" s="5" t="s">
        <v>609</v>
      </c>
    </row>
    <row r="28" spans="1:9" x14ac:dyDescent="0.25">
      <c r="A28" s="15" t="s">
        <v>683</v>
      </c>
      <c r="B28" s="5" t="s">
        <v>684</v>
      </c>
      <c r="C28" s="5" t="s">
        <v>66</v>
      </c>
      <c r="D28" s="5" t="s">
        <v>10</v>
      </c>
      <c r="E28" s="8">
        <v>42555</v>
      </c>
      <c r="F28" s="5" t="s">
        <v>685</v>
      </c>
      <c r="G28" s="5" t="s">
        <v>686</v>
      </c>
      <c r="H28" s="5" t="s">
        <v>687</v>
      </c>
      <c r="I28" s="5" t="s">
        <v>609</v>
      </c>
    </row>
    <row r="29" spans="1:9" x14ac:dyDescent="0.25">
      <c r="A29" s="15" t="s">
        <v>643</v>
      </c>
      <c r="B29" s="5" t="s">
        <v>644</v>
      </c>
      <c r="C29" s="5" t="s">
        <v>66</v>
      </c>
      <c r="D29" s="5" t="s">
        <v>10</v>
      </c>
      <c r="E29" s="8">
        <v>42465</v>
      </c>
      <c r="F29" s="5" t="s">
        <v>645</v>
      </c>
      <c r="G29" s="5" t="s">
        <v>646</v>
      </c>
      <c r="H29" s="5" t="s">
        <v>647</v>
      </c>
      <c r="I29" s="5" t="s">
        <v>609</v>
      </c>
    </row>
    <row r="30" spans="1:9" x14ac:dyDescent="0.25">
      <c r="A30" s="16" t="s">
        <v>648</v>
      </c>
      <c r="B30" s="5" t="s">
        <v>649</v>
      </c>
      <c r="C30" s="5" t="s">
        <v>2</v>
      </c>
      <c r="D30" s="5" t="s">
        <v>10</v>
      </c>
      <c r="E30" s="8">
        <v>42642</v>
      </c>
      <c r="F30" s="5" t="s">
        <v>650</v>
      </c>
      <c r="G30" s="5" t="s">
        <v>651</v>
      </c>
      <c r="H30" s="5" t="s">
        <v>652</v>
      </c>
      <c r="I30" s="5" t="s">
        <v>609</v>
      </c>
    </row>
    <row r="31" spans="1:9" x14ac:dyDescent="0.25">
      <c r="A31" s="15" t="s">
        <v>623</v>
      </c>
      <c r="B31" s="5" t="s">
        <v>624</v>
      </c>
      <c r="C31" s="5" t="s">
        <v>2</v>
      </c>
      <c r="D31" s="5" t="s">
        <v>10</v>
      </c>
      <c r="E31" s="8">
        <v>42252</v>
      </c>
      <c r="F31" s="5" t="s">
        <v>625</v>
      </c>
      <c r="G31" s="5" t="s">
        <v>626</v>
      </c>
      <c r="H31" s="5" t="s">
        <v>627</v>
      </c>
      <c r="I31" s="5" t="s">
        <v>609</v>
      </c>
    </row>
    <row r="32" spans="1:9" x14ac:dyDescent="0.25">
      <c r="A32" s="16" t="s">
        <v>610</v>
      </c>
      <c r="B32" s="5" t="s">
        <v>611</v>
      </c>
      <c r="C32" s="5" t="s">
        <v>66</v>
      </c>
      <c r="D32" s="5" t="s">
        <v>10</v>
      </c>
      <c r="E32" s="8">
        <v>42499</v>
      </c>
      <c r="F32" s="5" t="s">
        <v>612</v>
      </c>
      <c r="G32" s="5" t="s">
        <v>613</v>
      </c>
      <c r="H32" s="5" t="s">
        <v>614</v>
      </c>
      <c r="I32" s="5" t="s">
        <v>609</v>
      </c>
    </row>
    <row r="33" spans="1:9" x14ac:dyDescent="0.25">
      <c r="A33" s="15" t="s">
        <v>633</v>
      </c>
      <c r="B33" s="5" t="s">
        <v>634</v>
      </c>
      <c r="C33" s="5" t="s">
        <v>2</v>
      </c>
      <c r="D33" s="5" t="s">
        <v>10</v>
      </c>
      <c r="E33" s="8">
        <v>42640</v>
      </c>
      <c r="F33" s="5" t="s">
        <v>635</v>
      </c>
      <c r="G33" s="5" t="s">
        <v>636</v>
      </c>
      <c r="H33" s="5" t="s">
        <v>637</v>
      </c>
      <c r="I33" s="5" t="s">
        <v>609</v>
      </c>
    </row>
    <row r="34" spans="1:9" x14ac:dyDescent="0.25">
      <c r="A34" s="15" t="s">
        <v>715</v>
      </c>
      <c r="B34" s="5" t="s">
        <v>716</v>
      </c>
      <c r="C34" s="5" t="s">
        <v>2</v>
      </c>
      <c r="D34" s="5" t="s">
        <v>10</v>
      </c>
      <c r="E34" s="8">
        <v>42948</v>
      </c>
      <c r="F34" s="5" t="s">
        <v>717</v>
      </c>
      <c r="G34" s="5" t="s">
        <v>718</v>
      </c>
      <c r="H34" s="5" t="s">
        <v>719</v>
      </c>
      <c r="I34" s="5" t="s">
        <v>677</v>
      </c>
    </row>
    <row r="35" spans="1:9" x14ac:dyDescent="0.25">
      <c r="A35" s="15" t="s">
        <v>705</v>
      </c>
      <c r="B35" s="5" t="s">
        <v>706</v>
      </c>
      <c r="C35" s="5" t="s">
        <v>2</v>
      </c>
      <c r="D35" s="5" t="s">
        <v>10</v>
      </c>
      <c r="E35" s="8">
        <v>42855</v>
      </c>
      <c r="F35" s="5" t="s">
        <v>707</v>
      </c>
      <c r="G35" s="5" t="s">
        <v>708</v>
      </c>
      <c r="H35" s="5" t="s">
        <v>709</v>
      </c>
      <c r="I35" s="5" t="s">
        <v>677</v>
      </c>
    </row>
    <row r="36" spans="1:9" x14ac:dyDescent="0.25">
      <c r="A36" s="16" t="s">
        <v>710</v>
      </c>
      <c r="B36" s="5" t="s">
        <v>711</v>
      </c>
      <c r="C36" s="5" t="s">
        <v>66</v>
      </c>
      <c r="D36" s="5" t="s">
        <v>10</v>
      </c>
      <c r="E36" s="8">
        <v>42884</v>
      </c>
      <c r="F36" s="5" t="s">
        <v>712</v>
      </c>
      <c r="G36" s="5" t="s">
        <v>713</v>
      </c>
      <c r="H36" s="5" t="s">
        <v>714</v>
      </c>
      <c r="I36" s="5" t="s">
        <v>677</v>
      </c>
    </row>
    <row r="37" spans="1:9" x14ac:dyDescent="0.25">
      <c r="A37" s="15" t="s">
        <v>672</v>
      </c>
      <c r="B37" s="5" t="s">
        <v>673</v>
      </c>
      <c r="C37" s="5" t="s">
        <v>2</v>
      </c>
      <c r="D37" s="5" t="s">
        <v>28</v>
      </c>
      <c r="E37" s="8">
        <v>42683</v>
      </c>
      <c r="F37" s="5" t="s">
        <v>674</v>
      </c>
      <c r="G37" s="5" t="s">
        <v>675</v>
      </c>
      <c r="H37" s="5" t="s">
        <v>676</v>
      </c>
      <c r="I37" s="5" t="s">
        <v>677</v>
      </c>
    </row>
    <row r="38" spans="1:9" x14ac:dyDescent="0.25">
      <c r="A38" s="16" t="s">
        <v>732</v>
      </c>
      <c r="B38" s="5" t="s">
        <v>733</v>
      </c>
      <c r="C38" s="5" t="s">
        <v>2</v>
      </c>
      <c r="D38" s="5" t="s">
        <v>28</v>
      </c>
      <c r="E38" s="8">
        <v>42702</v>
      </c>
      <c r="F38" s="5" t="s">
        <v>734</v>
      </c>
      <c r="G38" s="5" t="s">
        <v>735</v>
      </c>
      <c r="H38" s="5" t="s">
        <v>736</v>
      </c>
      <c r="I38" s="5" t="s">
        <v>677</v>
      </c>
    </row>
    <row r="39" spans="1:9" x14ac:dyDescent="0.25">
      <c r="A39" s="16" t="s">
        <v>688</v>
      </c>
      <c r="B39" s="5" t="s">
        <v>689</v>
      </c>
      <c r="C39" s="5" t="s">
        <v>2</v>
      </c>
      <c r="D39" s="5" t="s">
        <v>59</v>
      </c>
      <c r="E39" s="8">
        <v>42689</v>
      </c>
      <c r="F39" s="5" t="s">
        <v>690</v>
      </c>
      <c r="G39" s="5" t="s">
        <v>691</v>
      </c>
      <c r="H39" s="5" t="s">
        <v>692</v>
      </c>
      <c r="I39" s="5" t="s">
        <v>677</v>
      </c>
    </row>
    <row r="40" spans="1:9" x14ac:dyDescent="0.25">
      <c r="A40" s="16" t="s">
        <v>700</v>
      </c>
      <c r="B40" s="5" t="s">
        <v>701</v>
      </c>
      <c r="C40" s="5" t="s">
        <v>2</v>
      </c>
      <c r="D40" s="5" t="s">
        <v>10</v>
      </c>
      <c r="E40" s="8">
        <v>42950</v>
      </c>
      <c r="F40" s="5" t="s">
        <v>702</v>
      </c>
      <c r="G40" s="5" t="s">
        <v>703</v>
      </c>
      <c r="H40" s="5" t="s">
        <v>704</v>
      </c>
      <c r="I40" s="5" t="s">
        <v>677</v>
      </c>
    </row>
    <row r="41" spans="1:9" x14ac:dyDescent="0.25">
      <c r="A41" s="16" t="s">
        <v>678</v>
      </c>
      <c r="B41" s="5" t="s">
        <v>679</v>
      </c>
      <c r="C41" s="5" t="s">
        <v>2</v>
      </c>
      <c r="D41" s="5" t="s">
        <v>365</v>
      </c>
      <c r="E41" s="8">
        <v>42773</v>
      </c>
      <c r="F41" s="5" t="s">
        <v>680</v>
      </c>
      <c r="G41" s="5" t="s">
        <v>681</v>
      </c>
      <c r="H41" s="5" t="s">
        <v>682</v>
      </c>
      <c r="I41" s="5" t="s">
        <v>677</v>
      </c>
    </row>
    <row r="42" spans="1:9" x14ac:dyDescent="0.25">
      <c r="A42" s="15" t="s">
        <v>102</v>
      </c>
      <c r="B42" s="5" t="s">
        <v>103</v>
      </c>
      <c r="C42" s="5" t="s">
        <v>66</v>
      </c>
      <c r="D42" s="5" t="s">
        <v>104</v>
      </c>
      <c r="E42" s="8">
        <v>43137</v>
      </c>
      <c r="F42" s="5" t="s">
        <v>105</v>
      </c>
      <c r="G42" s="5" t="s">
        <v>106</v>
      </c>
      <c r="H42" s="5" t="s">
        <v>107</v>
      </c>
      <c r="I42" s="5" t="s">
        <v>96</v>
      </c>
    </row>
    <row r="43" spans="1:9" x14ac:dyDescent="0.25">
      <c r="A43" s="15" t="s">
        <v>91</v>
      </c>
      <c r="B43" s="5" t="s">
        <v>92</v>
      </c>
      <c r="C43" s="5" t="s">
        <v>66</v>
      </c>
      <c r="D43" s="5" t="s">
        <v>10</v>
      </c>
      <c r="E43" s="8">
        <v>42899</v>
      </c>
      <c r="F43" s="5" t="s">
        <v>93</v>
      </c>
      <c r="G43" s="5" t="s">
        <v>94</v>
      </c>
      <c r="H43" s="5" t="s">
        <v>95</v>
      </c>
      <c r="I43" s="5" t="s">
        <v>96</v>
      </c>
    </row>
    <row r="44" spans="1:9" x14ac:dyDescent="0.25">
      <c r="A44" s="16" t="s">
        <v>97</v>
      </c>
      <c r="B44" s="5" t="s">
        <v>98</v>
      </c>
      <c r="C44" s="5" t="s">
        <v>2</v>
      </c>
      <c r="D44" s="5" t="s">
        <v>28</v>
      </c>
      <c r="E44" s="8">
        <v>42865</v>
      </c>
      <c r="F44" s="5" t="s">
        <v>99</v>
      </c>
      <c r="G44" s="5" t="s">
        <v>100</v>
      </c>
      <c r="H44" s="5" t="s">
        <v>101</v>
      </c>
      <c r="I44" s="5" t="s">
        <v>96</v>
      </c>
    </row>
    <row r="45" spans="1:9" x14ac:dyDescent="0.25">
      <c r="A45" s="15" t="s">
        <v>779</v>
      </c>
      <c r="B45" s="5" t="s">
        <v>780</v>
      </c>
      <c r="C45" s="5" t="s">
        <v>2</v>
      </c>
      <c r="D45" s="5" t="s">
        <v>10</v>
      </c>
      <c r="E45" s="8">
        <v>43091</v>
      </c>
      <c r="F45" s="5" t="s">
        <v>781</v>
      </c>
      <c r="G45" s="5" t="s">
        <v>782</v>
      </c>
      <c r="H45" s="5" t="s">
        <v>783</v>
      </c>
      <c r="I45" s="5" t="s">
        <v>725</v>
      </c>
    </row>
    <row r="46" spans="1:9" x14ac:dyDescent="0.25">
      <c r="A46" s="16" t="s">
        <v>794</v>
      </c>
      <c r="B46" s="5" t="s">
        <v>795</v>
      </c>
      <c r="C46" s="5" t="s">
        <v>2</v>
      </c>
      <c r="D46" s="5" t="s">
        <v>10</v>
      </c>
      <c r="E46" s="8">
        <v>42977</v>
      </c>
      <c r="F46" s="5" t="s">
        <v>796</v>
      </c>
      <c r="G46" s="5" t="s">
        <v>797</v>
      </c>
      <c r="H46" s="5" t="s">
        <v>798</v>
      </c>
      <c r="I46" s="5" t="s">
        <v>725</v>
      </c>
    </row>
    <row r="47" spans="1:9" x14ac:dyDescent="0.25">
      <c r="A47" s="16" t="s">
        <v>720</v>
      </c>
      <c r="B47" s="5" t="s">
        <v>721</v>
      </c>
      <c r="C47" s="5" t="s">
        <v>2</v>
      </c>
      <c r="D47" s="5" t="s">
        <v>28</v>
      </c>
      <c r="E47" s="8">
        <v>41969</v>
      </c>
      <c r="F47" s="5" t="s">
        <v>722</v>
      </c>
      <c r="G47" s="5" t="s">
        <v>723</v>
      </c>
      <c r="H47" s="5" t="s">
        <v>724</v>
      </c>
      <c r="I47" s="5" t="s">
        <v>725</v>
      </c>
    </row>
    <row r="48" spans="1:9" x14ac:dyDescent="0.25">
      <c r="A48" s="16" t="s">
        <v>743</v>
      </c>
      <c r="B48" s="5" t="s">
        <v>744</v>
      </c>
      <c r="C48" s="5" t="s">
        <v>2</v>
      </c>
      <c r="D48" s="5" t="s">
        <v>28</v>
      </c>
      <c r="E48" s="8">
        <v>41824</v>
      </c>
      <c r="F48" s="5" t="s">
        <v>745</v>
      </c>
      <c r="G48" s="5" t="s">
        <v>746</v>
      </c>
      <c r="H48" s="5" t="s">
        <v>747</v>
      </c>
      <c r="I48" s="5" t="s">
        <v>725</v>
      </c>
    </row>
    <row r="49" spans="1:9" x14ac:dyDescent="0.25">
      <c r="A49" s="15" t="s">
        <v>726</v>
      </c>
      <c r="B49" s="5" t="s">
        <v>727</v>
      </c>
      <c r="C49" s="6" t="s">
        <v>728</v>
      </c>
      <c r="D49" s="5" t="s">
        <v>28</v>
      </c>
      <c r="E49" s="8">
        <v>42316</v>
      </c>
      <c r="F49" s="5" t="s">
        <v>729</v>
      </c>
      <c r="G49" s="5" t="s">
        <v>730</v>
      </c>
      <c r="H49" s="5" t="s">
        <v>731</v>
      </c>
      <c r="I49" s="5" t="s">
        <v>725</v>
      </c>
    </row>
    <row r="50" spans="1:9" x14ac:dyDescent="0.25">
      <c r="A50" s="16" t="s">
        <v>135</v>
      </c>
      <c r="B50" s="5" t="s">
        <v>136</v>
      </c>
      <c r="C50" s="5" t="s">
        <v>66</v>
      </c>
      <c r="D50" s="5" t="s">
        <v>10</v>
      </c>
      <c r="E50" s="8">
        <v>42133</v>
      </c>
      <c r="F50" s="5" t="s">
        <v>137</v>
      </c>
      <c r="G50" s="5" t="s">
        <v>138</v>
      </c>
      <c r="H50" s="5" t="s">
        <v>139</v>
      </c>
      <c r="I50" s="5" t="s">
        <v>113</v>
      </c>
    </row>
    <row r="51" spans="1:9" x14ac:dyDescent="0.25">
      <c r="A51" s="16" t="s">
        <v>114</v>
      </c>
      <c r="B51" s="5" t="s">
        <v>115</v>
      </c>
      <c r="C51" s="5" t="s">
        <v>2</v>
      </c>
      <c r="D51" s="5" t="s">
        <v>116</v>
      </c>
      <c r="E51" s="8">
        <v>42997</v>
      </c>
      <c r="F51" s="5" t="s">
        <v>117</v>
      </c>
      <c r="G51" s="5" t="s">
        <v>118</v>
      </c>
      <c r="H51" s="5" t="s">
        <v>119</v>
      </c>
      <c r="I51" s="5" t="s">
        <v>113</v>
      </c>
    </row>
    <row r="52" spans="1:9" x14ac:dyDescent="0.25">
      <c r="A52" s="16" t="s">
        <v>125</v>
      </c>
      <c r="B52" s="5" t="s">
        <v>126</v>
      </c>
      <c r="C52" s="5" t="s">
        <v>66</v>
      </c>
      <c r="D52" s="5" t="s">
        <v>10</v>
      </c>
      <c r="E52" s="8">
        <v>42110</v>
      </c>
      <c r="F52" s="5" t="s">
        <v>127</v>
      </c>
      <c r="G52" s="5" t="s">
        <v>128</v>
      </c>
      <c r="H52" s="5" t="s">
        <v>129</v>
      </c>
      <c r="I52" s="5" t="s">
        <v>113</v>
      </c>
    </row>
    <row r="53" spans="1:9" x14ac:dyDescent="0.25">
      <c r="A53" s="15" t="s">
        <v>150</v>
      </c>
      <c r="B53" s="5" t="s">
        <v>151</v>
      </c>
      <c r="C53" s="5" t="s">
        <v>2</v>
      </c>
      <c r="D53" s="5" t="s">
        <v>10</v>
      </c>
      <c r="E53" s="8">
        <v>42181</v>
      </c>
      <c r="F53" s="5" t="s">
        <v>152</v>
      </c>
      <c r="G53" s="5" t="s">
        <v>153</v>
      </c>
      <c r="H53" s="5" t="s">
        <v>154</v>
      </c>
      <c r="I53" s="5" t="s">
        <v>113</v>
      </c>
    </row>
    <row r="54" spans="1:9" x14ac:dyDescent="0.25">
      <c r="A54" s="15" t="s">
        <v>140</v>
      </c>
      <c r="B54" s="5" t="s">
        <v>141</v>
      </c>
      <c r="C54" s="5" t="s">
        <v>2</v>
      </c>
      <c r="D54" s="5" t="s">
        <v>10</v>
      </c>
      <c r="E54" s="8">
        <v>42970</v>
      </c>
      <c r="F54" s="5" t="s">
        <v>142</v>
      </c>
      <c r="G54" s="5" t="s">
        <v>143</v>
      </c>
      <c r="H54" s="5" t="s">
        <v>144</v>
      </c>
      <c r="I54" s="5" t="s">
        <v>113</v>
      </c>
    </row>
    <row r="55" spans="1:9" x14ac:dyDescent="0.25">
      <c r="A55" s="15" t="s">
        <v>108</v>
      </c>
      <c r="B55" s="5" t="s">
        <v>109</v>
      </c>
      <c r="C55" s="5" t="s">
        <v>66</v>
      </c>
      <c r="D55" s="5" t="s">
        <v>59</v>
      </c>
      <c r="E55" s="8">
        <v>42563</v>
      </c>
      <c r="F55" s="5" t="s">
        <v>110</v>
      </c>
      <c r="G55" s="5" t="s">
        <v>111</v>
      </c>
      <c r="H55" s="5" t="s">
        <v>112</v>
      </c>
      <c r="I55" s="5" t="s">
        <v>113</v>
      </c>
    </row>
    <row r="56" spans="1:9" x14ac:dyDescent="0.25">
      <c r="A56" s="15" t="s">
        <v>120</v>
      </c>
      <c r="B56" s="5" t="s">
        <v>121</v>
      </c>
      <c r="C56" s="5" t="s">
        <v>66</v>
      </c>
      <c r="D56" s="5" t="s">
        <v>28</v>
      </c>
      <c r="E56" s="8">
        <v>42812</v>
      </c>
      <c r="F56" s="5" t="s">
        <v>122</v>
      </c>
      <c r="G56" s="5" t="s">
        <v>123</v>
      </c>
      <c r="H56" s="5" t="s">
        <v>124</v>
      </c>
      <c r="I56" s="5" t="s">
        <v>113</v>
      </c>
    </row>
    <row r="57" spans="1:9" x14ac:dyDescent="0.25">
      <c r="A57" s="15" t="s">
        <v>130</v>
      </c>
      <c r="B57" s="5" t="s">
        <v>131</v>
      </c>
      <c r="C57" s="5" t="s">
        <v>66</v>
      </c>
      <c r="D57" s="5" t="s">
        <v>28</v>
      </c>
      <c r="E57" s="8">
        <v>41369</v>
      </c>
      <c r="F57" s="5" t="s">
        <v>132</v>
      </c>
      <c r="G57" s="5" t="s">
        <v>133</v>
      </c>
      <c r="H57" s="5" t="s">
        <v>134</v>
      </c>
      <c r="I57" s="5" t="s">
        <v>113</v>
      </c>
    </row>
    <row r="58" spans="1:9" x14ac:dyDescent="0.25">
      <c r="A58" s="16" t="s">
        <v>145</v>
      </c>
      <c r="B58" s="5" t="s">
        <v>146</v>
      </c>
      <c r="C58" s="5" t="s">
        <v>66</v>
      </c>
      <c r="D58" s="5" t="s">
        <v>28</v>
      </c>
      <c r="E58" s="8">
        <v>42663</v>
      </c>
      <c r="F58" s="5" t="s">
        <v>147</v>
      </c>
      <c r="G58" s="5" t="s">
        <v>148</v>
      </c>
      <c r="H58" s="5" t="s">
        <v>149</v>
      </c>
      <c r="I58" s="5" t="s">
        <v>113</v>
      </c>
    </row>
    <row r="59" spans="1:9" x14ac:dyDescent="0.25">
      <c r="A59" s="16" t="s">
        <v>545</v>
      </c>
      <c r="B59" s="5" t="s">
        <v>546</v>
      </c>
      <c r="C59" s="5" t="s">
        <v>2</v>
      </c>
      <c r="D59" s="5" t="s">
        <v>28</v>
      </c>
      <c r="E59" s="8">
        <v>43177</v>
      </c>
      <c r="F59" s="5" t="s">
        <v>547</v>
      </c>
      <c r="G59" s="5" t="s">
        <v>548</v>
      </c>
      <c r="H59" s="5" t="s">
        <v>549</v>
      </c>
      <c r="I59" s="5" t="s">
        <v>550</v>
      </c>
    </row>
    <row r="60" spans="1:9" x14ac:dyDescent="0.25">
      <c r="A60" s="15" t="s">
        <v>436</v>
      </c>
      <c r="B60" s="5" t="s">
        <v>437</v>
      </c>
      <c r="C60" s="5" t="s">
        <v>66</v>
      </c>
      <c r="D60" s="5" t="s">
        <v>28</v>
      </c>
      <c r="E60" s="8">
        <v>41900</v>
      </c>
      <c r="F60" s="5" t="s">
        <v>438</v>
      </c>
      <c r="G60" s="5" t="s">
        <v>439</v>
      </c>
      <c r="H60" s="5" t="s">
        <v>440</v>
      </c>
      <c r="I60" s="5" t="s">
        <v>441</v>
      </c>
    </row>
    <row r="61" spans="1:9" x14ac:dyDescent="0.25">
      <c r="A61" s="15" t="s">
        <v>551</v>
      </c>
      <c r="B61" s="5" t="s">
        <v>552</v>
      </c>
      <c r="C61" s="5" t="s">
        <v>66</v>
      </c>
      <c r="D61" s="5" t="s">
        <v>553</v>
      </c>
      <c r="E61" s="8">
        <v>41574</v>
      </c>
      <c r="F61" s="5" t="s">
        <v>554</v>
      </c>
      <c r="G61" s="5" t="s">
        <v>555</v>
      </c>
      <c r="H61" s="5" t="s">
        <v>556</v>
      </c>
      <c r="I61" s="5" t="s">
        <v>902</v>
      </c>
    </row>
    <row r="62" spans="1:9" x14ac:dyDescent="0.25">
      <c r="A62" s="15" t="s">
        <v>358</v>
      </c>
      <c r="B62" s="5" t="s">
        <v>359</v>
      </c>
      <c r="C62" s="5" t="s">
        <v>2</v>
      </c>
      <c r="D62" s="5" t="s">
        <v>28</v>
      </c>
      <c r="E62" s="8">
        <v>42489</v>
      </c>
      <c r="F62" s="5" t="s">
        <v>360</v>
      </c>
      <c r="G62" s="5" t="s">
        <v>361</v>
      </c>
      <c r="H62" s="5" t="s">
        <v>362</v>
      </c>
      <c r="I62" s="5" t="s">
        <v>902</v>
      </c>
    </row>
    <row r="63" spans="1:9" x14ac:dyDescent="0.25">
      <c r="A63" s="15" t="s">
        <v>369</v>
      </c>
      <c r="B63" s="5" t="s">
        <v>370</v>
      </c>
      <c r="C63" s="5" t="s">
        <v>2</v>
      </c>
      <c r="D63" s="5" t="s">
        <v>28</v>
      </c>
      <c r="E63" s="8">
        <v>41019</v>
      </c>
      <c r="F63" s="5" t="s">
        <v>371</v>
      </c>
      <c r="G63" s="11" t="s">
        <v>372</v>
      </c>
      <c r="H63" s="5" t="s">
        <v>373</v>
      </c>
      <c r="I63" s="5" t="s">
        <v>902</v>
      </c>
    </row>
    <row r="64" spans="1:9" x14ac:dyDescent="0.25">
      <c r="A64" s="15" t="s">
        <v>532</v>
      </c>
      <c r="B64" s="5" t="s">
        <v>533</v>
      </c>
      <c r="C64" s="5" t="s">
        <v>2</v>
      </c>
      <c r="D64" s="5" t="s">
        <v>204</v>
      </c>
      <c r="E64" s="8">
        <v>41871</v>
      </c>
      <c r="F64" s="5" t="s">
        <v>534</v>
      </c>
      <c r="G64" s="5" t="s">
        <v>535</v>
      </c>
      <c r="H64" s="5" t="s">
        <v>536</v>
      </c>
      <c r="I64" s="5" t="s">
        <v>902</v>
      </c>
    </row>
    <row r="65" spans="1:9" x14ac:dyDescent="0.25">
      <c r="A65" s="16" t="s">
        <v>537</v>
      </c>
      <c r="B65" s="5" t="s">
        <v>538</v>
      </c>
      <c r="C65" s="5" t="s">
        <v>66</v>
      </c>
      <c r="D65" s="5" t="s">
        <v>28</v>
      </c>
      <c r="E65" s="8">
        <v>41895</v>
      </c>
      <c r="F65" s="5" t="s">
        <v>539</v>
      </c>
      <c r="G65" s="5" t="s">
        <v>540</v>
      </c>
      <c r="H65" s="5" t="s">
        <v>541</v>
      </c>
      <c r="I65" s="5" t="s">
        <v>902</v>
      </c>
    </row>
    <row r="66" spans="1:9" x14ac:dyDescent="0.25">
      <c r="A66" s="16" t="s">
        <v>374</v>
      </c>
      <c r="B66" s="5" t="s">
        <v>375</v>
      </c>
      <c r="C66" s="5" t="s">
        <v>2</v>
      </c>
      <c r="D66" s="5" t="s">
        <v>28</v>
      </c>
      <c r="E66" s="8">
        <v>42161</v>
      </c>
      <c r="F66" s="5" t="s">
        <v>376</v>
      </c>
      <c r="G66" s="5" t="s">
        <v>377</v>
      </c>
      <c r="H66" s="5" t="s">
        <v>378</v>
      </c>
      <c r="I66" s="5" t="s">
        <v>902</v>
      </c>
    </row>
    <row r="67" spans="1:9" x14ac:dyDescent="0.25">
      <c r="A67" s="16" t="s">
        <v>363</v>
      </c>
      <c r="B67" s="5" t="s">
        <v>364</v>
      </c>
      <c r="C67" s="5" t="s">
        <v>2</v>
      </c>
      <c r="D67" s="5" t="s">
        <v>365</v>
      </c>
      <c r="E67" s="8">
        <v>42382</v>
      </c>
      <c r="F67" s="5" t="s">
        <v>366</v>
      </c>
      <c r="G67" s="5" t="s">
        <v>367</v>
      </c>
      <c r="H67" s="5" t="s">
        <v>368</v>
      </c>
      <c r="I67" s="5" t="s">
        <v>902</v>
      </c>
    </row>
    <row r="68" spans="1:9" x14ac:dyDescent="0.25">
      <c r="A68" s="16" t="s">
        <v>384</v>
      </c>
      <c r="B68" s="7" t="s">
        <v>385</v>
      </c>
      <c r="C68" s="7" t="s">
        <v>2</v>
      </c>
      <c r="D68" s="7" t="s">
        <v>28</v>
      </c>
      <c r="E68" s="8">
        <v>41616</v>
      </c>
      <c r="F68" s="7" t="s">
        <v>386</v>
      </c>
      <c r="G68" s="7" t="s">
        <v>387</v>
      </c>
      <c r="H68" s="7" t="s">
        <v>388</v>
      </c>
      <c r="I68" s="5" t="s">
        <v>902</v>
      </c>
    </row>
    <row r="69" spans="1:9" x14ac:dyDescent="0.25">
      <c r="A69" s="16" t="s">
        <v>527</v>
      </c>
      <c r="B69" s="5" t="s">
        <v>528</v>
      </c>
      <c r="C69" s="5" t="s">
        <v>66</v>
      </c>
      <c r="D69" s="5" t="s">
        <v>28</v>
      </c>
      <c r="E69" s="8">
        <v>42087</v>
      </c>
      <c r="F69" s="5" t="s">
        <v>529</v>
      </c>
      <c r="G69" s="5" t="s">
        <v>530</v>
      </c>
      <c r="H69" s="5" t="s">
        <v>531</v>
      </c>
      <c r="I69" s="5" t="s">
        <v>902</v>
      </c>
    </row>
    <row r="70" spans="1:9" x14ac:dyDescent="0.25">
      <c r="A70" s="15" t="s">
        <v>349</v>
      </c>
      <c r="B70" s="5" t="s">
        <v>350</v>
      </c>
      <c r="C70" s="5" t="s">
        <v>2</v>
      </c>
      <c r="D70" s="5" t="s">
        <v>10</v>
      </c>
      <c r="E70" s="8">
        <v>41951</v>
      </c>
      <c r="F70" s="5" t="s">
        <v>351</v>
      </c>
      <c r="G70" s="5" t="s">
        <v>184</v>
      </c>
      <c r="H70" s="5" t="s">
        <v>352</v>
      </c>
      <c r="I70" s="5" t="s">
        <v>902</v>
      </c>
    </row>
    <row r="71" spans="1:9" x14ac:dyDescent="0.25">
      <c r="A71" s="15" t="s">
        <v>512</v>
      </c>
      <c r="B71" s="5" t="s">
        <v>513</v>
      </c>
      <c r="C71" s="5" t="s">
        <v>66</v>
      </c>
      <c r="D71" s="5" t="s">
        <v>204</v>
      </c>
      <c r="E71" s="8">
        <v>41841</v>
      </c>
      <c r="F71" s="5" t="s">
        <v>514</v>
      </c>
      <c r="G71" s="5" t="s">
        <v>515</v>
      </c>
      <c r="H71" s="5" t="s">
        <v>516</v>
      </c>
      <c r="I71" s="5" t="s">
        <v>902</v>
      </c>
    </row>
    <row r="72" spans="1:9" x14ac:dyDescent="0.25">
      <c r="A72" s="16" t="s">
        <v>517</v>
      </c>
      <c r="B72" s="5" t="s">
        <v>518</v>
      </c>
      <c r="C72" s="5" t="s">
        <v>66</v>
      </c>
      <c r="D72" s="5" t="s">
        <v>10</v>
      </c>
      <c r="E72" s="8">
        <v>41762</v>
      </c>
      <c r="F72" s="5" t="s">
        <v>519</v>
      </c>
      <c r="G72" s="5" t="s">
        <v>520</v>
      </c>
      <c r="H72" s="5" t="s">
        <v>521</v>
      </c>
      <c r="I72" s="5" t="s">
        <v>902</v>
      </c>
    </row>
    <row r="73" spans="1:9" x14ac:dyDescent="0.25">
      <c r="A73" s="16" t="s">
        <v>496</v>
      </c>
      <c r="B73" s="5" t="s">
        <v>497</v>
      </c>
      <c r="C73" s="5" t="s">
        <v>66</v>
      </c>
      <c r="D73" s="5" t="s">
        <v>365</v>
      </c>
      <c r="E73" s="8">
        <v>41407</v>
      </c>
      <c r="F73" s="5" t="s">
        <v>498</v>
      </c>
      <c r="G73" s="5" t="s">
        <v>499</v>
      </c>
      <c r="H73" s="5" t="s">
        <v>500</v>
      </c>
      <c r="I73" s="5" t="s">
        <v>902</v>
      </c>
    </row>
    <row r="74" spans="1:9" ht="15.75" thickBot="1" x14ac:dyDescent="0.3">
      <c r="A74" s="15" t="s">
        <v>379</v>
      </c>
      <c r="B74" s="7" t="s">
        <v>380</v>
      </c>
      <c r="C74" s="7" t="s">
        <v>2</v>
      </c>
      <c r="D74" s="7" t="s">
        <v>28</v>
      </c>
      <c r="E74" s="8">
        <v>41601</v>
      </c>
      <c r="F74" s="7" t="s">
        <v>381</v>
      </c>
      <c r="G74" s="7" t="s">
        <v>382</v>
      </c>
      <c r="H74" s="7" t="s">
        <v>383</v>
      </c>
      <c r="I74" s="5" t="s">
        <v>902</v>
      </c>
    </row>
    <row r="75" spans="1:9" ht="15.75" thickBot="1" x14ac:dyDescent="0.3">
      <c r="A75" s="17" t="s">
        <v>425</v>
      </c>
      <c r="B75" s="13" t="s">
        <v>426</v>
      </c>
      <c r="C75" s="13" t="s">
        <v>66</v>
      </c>
      <c r="D75" s="13" t="s">
        <v>28</v>
      </c>
      <c r="E75" s="8">
        <v>41634</v>
      </c>
      <c r="F75" s="13" t="s">
        <v>427</v>
      </c>
      <c r="G75" s="13" t="s">
        <v>428</v>
      </c>
      <c r="H75" s="13" t="s">
        <v>429</v>
      </c>
      <c r="I75" s="13" t="s">
        <v>902</v>
      </c>
    </row>
    <row r="76" spans="1:9" ht="15.75" thickBot="1" x14ac:dyDescent="0.3">
      <c r="A76" s="18" t="s">
        <v>557</v>
      </c>
      <c r="B76" s="13" t="s">
        <v>558</v>
      </c>
      <c r="C76" s="13" t="s">
        <v>2</v>
      </c>
      <c r="D76" s="13" t="s">
        <v>10</v>
      </c>
      <c r="E76" s="8">
        <v>42141</v>
      </c>
      <c r="F76" s="13" t="s">
        <v>559</v>
      </c>
      <c r="G76" s="13" t="s">
        <v>560</v>
      </c>
      <c r="H76" s="13" t="s">
        <v>561</v>
      </c>
      <c r="I76" s="13" t="s">
        <v>902</v>
      </c>
    </row>
    <row r="77" spans="1:9" ht="15.75" thickBot="1" x14ac:dyDescent="0.3">
      <c r="A77" s="17" t="s">
        <v>615</v>
      </c>
      <c r="B77" s="13" t="s">
        <v>616</v>
      </c>
      <c r="C77" s="13" t="s">
        <v>66</v>
      </c>
      <c r="D77" s="13" t="s">
        <v>28</v>
      </c>
      <c r="E77" s="8">
        <v>41586</v>
      </c>
      <c r="F77" s="13" t="s">
        <v>376</v>
      </c>
      <c r="G77" s="13" t="s">
        <v>377</v>
      </c>
      <c r="H77" s="13" t="s">
        <v>617</v>
      </c>
      <c r="I77" s="13" t="s">
        <v>902</v>
      </c>
    </row>
    <row r="78" spans="1:9" ht="15.75" thickBot="1" x14ac:dyDescent="0.3">
      <c r="A78" s="18" t="s">
        <v>880</v>
      </c>
      <c r="B78" s="13" t="s">
        <v>881</v>
      </c>
      <c r="C78" s="13" t="s">
        <v>2</v>
      </c>
      <c r="D78" s="13" t="s">
        <v>10</v>
      </c>
      <c r="E78" s="8">
        <v>42066</v>
      </c>
      <c r="F78" s="13" t="s">
        <v>882</v>
      </c>
      <c r="G78" s="13" t="s">
        <v>883</v>
      </c>
      <c r="H78" s="13" t="s">
        <v>884</v>
      </c>
      <c r="I78" s="13" t="s">
        <v>699</v>
      </c>
    </row>
    <row r="79" spans="1:9" ht="15.75" thickBot="1" x14ac:dyDescent="0.3">
      <c r="A79" s="18" t="s">
        <v>808</v>
      </c>
      <c r="B79" s="13" t="s">
        <v>809</v>
      </c>
      <c r="C79" s="13" t="s">
        <v>2</v>
      </c>
      <c r="D79" s="13" t="s">
        <v>10</v>
      </c>
      <c r="E79" s="8">
        <v>41632</v>
      </c>
      <c r="F79" s="13" t="s">
        <v>810</v>
      </c>
      <c r="G79" s="13" t="s">
        <v>811</v>
      </c>
      <c r="H79" s="13" t="s">
        <v>812</v>
      </c>
      <c r="I79" s="13" t="s">
        <v>699</v>
      </c>
    </row>
    <row r="80" spans="1:9" ht="15.75" thickBot="1" x14ac:dyDescent="0.3">
      <c r="A80" s="17" t="s">
        <v>813</v>
      </c>
      <c r="B80" s="13" t="s">
        <v>814</v>
      </c>
      <c r="C80" s="13" t="s">
        <v>2</v>
      </c>
      <c r="D80" s="13" t="s">
        <v>815</v>
      </c>
      <c r="E80" s="8">
        <v>42005</v>
      </c>
      <c r="F80" s="13" t="s">
        <v>816</v>
      </c>
      <c r="G80" s="13" t="s">
        <v>817</v>
      </c>
      <c r="H80" s="13" t="s">
        <v>818</v>
      </c>
      <c r="I80" s="13" t="s">
        <v>699</v>
      </c>
    </row>
    <row r="81" spans="1:9" ht="15.75" thickBot="1" x14ac:dyDescent="0.3">
      <c r="A81" s="17" t="s">
        <v>693</v>
      </c>
      <c r="B81" s="13" t="s">
        <v>694</v>
      </c>
      <c r="C81" s="13" t="s">
        <v>2</v>
      </c>
      <c r="D81" s="13" t="s">
        <v>695</v>
      </c>
      <c r="E81" s="8">
        <v>41905</v>
      </c>
      <c r="F81" s="13" t="s">
        <v>696</v>
      </c>
      <c r="G81" s="13" t="s">
        <v>697</v>
      </c>
      <c r="H81" s="13" t="s">
        <v>698</v>
      </c>
      <c r="I81" s="13" t="s">
        <v>699</v>
      </c>
    </row>
    <row r="82" spans="1:9" ht="15.75" thickBot="1" x14ac:dyDescent="0.3">
      <c r="A82" s="17" t="s">
        <v>562</v>
      </c>
      <c r="B82" s="13" t="s">
        <v>563</v>
      </c>
      <c r="C82" s="13" t="s">
        <v>2</v>
      </c>
      <c r="D82" s="13" t="s">
        <v>10</v>
      </c>
      <c r="E82" s="8">
        <v>42621</v>
      </c>
      <c r="F82" s="13" t="s">
        <v>564</v>
      </c>
      <c r="G82" s="13" t="s">
        <v>565</v>
      </c>
      <c r="H82" s="13" t="s">
        <v>566</v>
      </c>
      <c r="I82" s="13" t="s">
        <v>567</v>
      </c>
    </row>
    <row r="83" spans="1:9" ht="15.75" thickBot="1" x14ac:dyDescent="0.3">
      <c r="A83" s="17" t="s">
        <v>573</v>
      </c>
      <c r="B83" s="13" t="s">
        <v>574</v>
      </c>
      <c r="C83" s="13" t="s">
        <v>2</v>
      </c>
      <c r="D83" s="13" t="s">
        <v>10</v>
      </c>
      <c r="E83" s="8">
        <v>42543</v>
      </c>
      <c r="F83" s="13" t="s">
        <v>575</v>
      </c>
      <c r="G83" s="13" t="s">
        <v>576</v>
      </c>
      <c r="H83" s="13" t="s">
        <v>577</v>
      </c>
      <c r="I83" s="13" t="s">
        <v>567</v>
      </c>
    </row>
    <row r="84" spans="1:9" ht="15.75" thickBot="1" x14ac:dyDescent="0.3">
      <c r="A84" s="17" t="s">
        <v>582</v>
      </c>
      <c r="B84" s="13" t="s">
        <v>583</v>
      </c>
      <c r="C84" s="13" t="s">
        <v>66</v>
      </c>
      <c r="D84" s="13" t="s">
        <v>28</v>
      </c>
      <c r="E84" s="8">
        <v>41261</v>
      </c>
      <c r="F84" s="13" t="s">
        <v>584</v>
      </c>
      <c r="G84" s="13" t="s">
        <v>585</v>
      </c>
      <c r="H84" s="13" t="s">
        <v>586</v>
      </c>
      <c r="I84" s="13" t="s">
        <v>567</v>
      </c>
    </row>
    <row r="85" spans="1:9" ht="15.75" thickBot="1" x14ac:dyDescent="0.3">
      <c r="A85" s="18" t="s">
        <v>573</v>
      </c>
      <c r="B85" s="13" t="s">
        <v>578</v>
      </c>
      <c r="C85" s="13" t="s">
        <v>66</v>
      </c>
      <c r="D85" s="13" t="s">
        <v>579</v>
      </c>
      <c r="E85" s="8">
        <v>40834</v>
      </c>
      <c r="F85" s="13" t="s">
        <v>580</v>
      </c>
      <c r="G85" s="13" t="s">
        <v>581</v>
      </c>
      <c r="H85" s="13" t="s">
        <v>577</v>
      </c>
      <c r="I85" s="13" t="s">
        <v>567</v>
      </c>
    </row>
    <row r="86" spans="1:9" ht="15.75" thickBot="1" x14ac:dyDescent="0.3">
      <c r="A86" s="18" t="s">
        <v>568</v>
      </c>
      <c r="B86" s="13" t="s">
        <v>569</v>
      </c>
      <c r="C86" s="13" t="s">
        <v>2</v>
      </c>
      <c r="D86" s="13" t="s">
        <v>10</v>
      </c>
      <c r="E86" s="8">
        <v>42412</v>
      </c>
      <c r="F86" s="13" t="s">
        <v>570</v>
      </c>
      <c r="G86" s="13" t="s">
        <v>571</v>
      </c>
      <c r="H86" s="13" t="s">
        <v>572</v>
      </c>
      <c r="I86" s="13" t="s">
        <v>567</v>
      </c>
    </row>
    <row r="87" spans="1:9" ht="15.75" thickBot="1" x14ac:dyDescent="0.3">
      <c r="A87" s="18" t="s">
        <v>870</v>
      </c>
      <c r="B87" s="13" t="s">
        <v>871</v>
      </c>
      <c r="C87" s="13" t="s">
        <v>2</v>
      </c>
      <c r="D87" s="13" t="s">
        <v>10</v>
      </c>
      <c r="E87" s="8">
        <v>42921</v>
      </c>
      <c r="F87" s="13" t="s">
        <v>872</v>
      </c>
      <c r="G87" s="13" t="s">
        <v>873</v>
      </c>
      <c r="H87" s="13" t="s">
        <v>874</v>
      </c>
      <c r="I87" s="13" t="s">
        <v>567</v>
      </c>
    </row>
    <row r="88" spans="1:9" ht="15.75" thickBot="1" x14ac:dyDescent="0.3">
      <c r="A88" s="17" t="s">
        <v>26</v>
      </c>
      <c r="B88" s="13" t="s">
        <v>27</v>
      </c>
      <c r="C88" s="13" t="s">
        <v>2</v>
      </c>
      <c r="D88" s="13" t="s">
        <v>28</v>
      </c>
      <c r="E88" s="8">
        <v>42037</v>
      </c>
      <c r="F88" s="13" t="s">
        <v>29</v>
      </c>
      <c r="G88" s="13" t="s">
        <v>30</v>
      </c>
      <c r="H88" s="13" t="s">
        <v>31</v>
      </c>
      <c r="I88" s="13" t="s">
        <v>25</v>
      </c>
    </row>
    <row r="89" spans="1:9" ht="15.75" thickBot="1" x14ac:dyDescent="0.3">
      <c r="A89" s="18" t="s">
        <v>52</v>
      </c>
      <c r="B89" s="13" t="s">
        <v>53</v>
      </c>
      <c r="C89" s="13" t="s">
        <v>2</v>
      </c>
      <c r="D89" s="13" t="s">
        <v>10</v>
      </c>
      <c r="E89" s="8">
        <v>42729</v>
      </c>
      <c r="F89" s="13" t="s">
        <v>54</v>
      </c>
      <c r="G89" s="13" t="s">
        <v>55</v>
      </c>
      <c r="H89" s="13" t="s">
        <v>56</v>
      </c>
      <c r="I89" s="13" t="s">
        <v>25</v>
      </c>
    </row>
    <row r="90" spans="1:9" ht="15.75" thickBot="1" x14ac:dyDescent="0.3">
      <c r="A90" s="18" t="s">
        <v>32</v>
      </c>
      <c r="B90" s="13" t="s">
        <v>33</v>
      </c>
      <c r="C90" s="13" t="s">
        <v>2</v>
      </c>
      <c r="D90" s="13" t="s">
        <v>10</v>
      </c>
      <c r="E90" s="8">
        <v>42841</v>
      </c>
      <c r="F90" s="13" t="s">
        <v>34</v>
      </c>
      <c r="G90" s="13" t="s">
        <v>35</v>
      </c>
      <c r="H90" s="13" t="s">
        <v>36</v>
      </c>
      <c r="I90" s="13" t="s">
        <v>25</v>
      </c>
    </row>
    <row r="91" spans="1:9" ht="15.75" thickBot="1" x14ac:dyDescent="0.3">
      <c r="A91" s="18" t="s">
        <v>42</v>
      </c>
      <c r="B91" s="13" t="s">
        <v>43</v>
      </c>
      <c r="C91" s="13" t="s">
        <v>2</v>
      </c>
      <c r="D91" s="13" t="s">
        <v>10</v>
      </c>
      <c r="E91" s="8">
        <v>42577</v>
      </c>
      <c r="F91" s="13" t="s">
        <v>44</v>
      </c>
      <c r="G91" s="13" t="s">
        <v>45</v>
      </c>
      <c r="H91" s="13" t="s">
        <v>46</v>
      </c>
      <c r="I91" s="13" t="s">
        <v>25</v>
      </c>
    </row>
    <row r="92" spans="1:9" ht="15.75" thickBot="1" x14ac:dyDescent="0.3">
      <c r="A92" s="18" t="s">
        <v>20</v>
      </c>
      <c r="B92" s="13" t="s">
        <v>21</v>
      </c>
      <c r="C92" s="13" t="s">
        <v>2</v>
      </c>
      <c r="D92" s="13" t="s">
        <v>10</v>
      </c>
      <c r="E92" s="8">
        <v>42488</v>
      </c>
      <c r="F92" s="13" t="s">
        <v>22</v>
      </c>
      <c r="G92" s="13" t="s">
        <v>23</v>
      </c>
      <c r="H92" s="13" t="s">
        <v>24</v>
      </c>
      <c r="I92" s="13" t="s">
        <v>25</v>
      </c>
    </row>
    <row r="93" spans="1:9" ht="15.75" thickBot="1" x14ac:dyDescent="0.3">
      <c r="A93" s="17" t="s">
        <v>47</v>
      </c>
      <c r="B93" s="13" t="s">
        <v>48</v>
      </c>
      <c r="C93" s="13" t="s">
        <v>2</v>
      </c>
      <c r="D93" s="13" t="s">
        <v>10</v>
      </c>
      <c r="E93" s="8">
        <v>41482</v>
      </c>
      <c r="F93" s="13" t="s">
        <v>49</v>
      </c>
      <c r="G93" s="13" t="s">
        <v>50</v>
      </c>
      <c r="H93" s="13" t="s">
        <v>51</v>
      </c>
      <c r="I93" s="13" t="s">
        <v>25</v>
      </c>
    </row>
    <row r="94" spans="1:9" ht="15.75" thickBot="1" x14ac:dyDescent="0.3">
      <c r="A94" s="17" t="s">
        <v>37</v>
      </c>
      <c r="B94" s="13" t="s">
        <v>38</v>
      </c>
      <c r="C94" s="13" t="s">
        <v>2</v>
      </c>
      <c r="D94" s="13" t="s">
        <v>10</v>
      </c>
      <c r="E94" s="8">
        <v>42307</v>
      </c>
      <c r="F94" s="13" t="s">
        <v>39</v>
      </c>
      <c r="G94" s="13" t="s">
        <v>40</v>
      </c>
      <c r="H94" s="13" t="s">
        <v>41</v>
      </c>
      <c r="I94" s="13" t="s">
        <v>25</v>
      </c>
    </row>
    <row r="95" spans="1:9" ht="15.75" thickBot="1" x14ac:dyDescent="0.3">
      <c r="A95" s="18" t="s">
        <v>666</v>
      </c>
      <c r="B95" s="13" t="s">
        <v>667</v>
      </c>
      <c r="C95" s="13" t="s">
        <v>2</v>
      </c>
      <c r="D95" s="13" t="s">
        <v>28</v>
      </c>
      <c r="E95" s="8">
        <v>42464</v>
      </c>
      <c r="F95" s="13" t="s">
        <v>668</v>
      </c>
      <c r="G95" s="13" t="s">
        <v>669</v>
      </c>
      <c r="H95" s="13" t="s">
        <v>670</v>
      </c>
      <c r="I95" s="13" t="s">
        <v>671</v>
      </c>
    </row>
    <row r="96" spans="1:9" ht="15.75" thickBot="1" x14ac:dyDescent="0.3">
      <c r="A96" s="17" t="s">
        <v>855</v>
      </c>
      <c r="B96" s="13" t="s">
        <v>856</v>
      </c>
      <c r="C96" s="13" t="s">
        <v>2</v>
      </c>
      <c r="D96" s="13" t="s">
        <v>204</v>
      </c>
      <c r="E96" s="8">
        <v>42456</v>
      </c>
      <c r="F96" s="13" t="s">
        <v>857</v>
      </c>
      <c r="G96" s="13" t="s">
        <v>858</v>
      </c>
      <c r="H96" s="13" t="s">
        <v>859</v>
      </c>
      <c r="I96" s="13" t="s">
        <v>342</v>
      </c>
    </row>
    <row r="97" spans="1:9" ht="15.75" thickBot="1" x14ac:dyDescent="0.3">
      <c r="A97" s="17" t="s">
        <v>338</v>
      </c>
      <c r="B97" s="13" t="s">
        <v>339</v>
      </c>
      <c r="C97" s="13" t="s">
        <v>66</v>
      </c>
      <c r="D97" s="13" t="s">
        <v>28</v>
      </c>
      <c r="E97" s="8">
        <v>41405</v>
      </c>
      <c r="F97" s="13" t="s">
        <v>389</v>
      </c>
      <c r="G97" s="13" t="s">
        <v>340</v>
      </c>
      <c r="H97" s="13" t="s">
        <v>341</v>
      </c>
      <c r="I97" s="13" t="s">
        <v>342</v>
      </c>
    </row>
    <row r="98" spans="1:9" ht="15.75" thickBot="1" x14ac:dyDescent="0.3">
      <c r="A98" s="17" t="s">
        <v>491</v>
      </c>
      <c r="B98" s="13" t="s">
        <v>492</v>
      </c>
      <c r="C98" s="13" t="s">
        <v>66</v>
      </c>
      <c r="D98" s="13" t="s">
        <v>10</v>
      </c>
      <c r="E98" s="8">
        <v>41917</v>
      </c>
      <c r="F98" s="13" t="s">
        <v>493</v>
      </c>
      <c r="G98" s="13" t="s">
        <v>494</v>
      </c>
      <c r="H98" s="13" t="s">
        <v>495</v>
      </c>
      <c r="I98" s="13" t="s">
        <v>490</v>
      </c>
    </row>
    <row r="99" spans="1:9" ht="15.75" thickBot="1" x14ac:dyDescent="0.3">
      <c r="A99" s="17" t="s">
        <v>501</v>
      </c>
      <c r="B99" s="13" t="s">
        <v>502</v>
      </c>
      <c r="C99" s="13" t="s">
        <v>66</v>
      </c>
      <c r="D99" s="13" t="s">
        <v>10</v>
      </c>
      <c r="E99" s="8">
        <v>41708</v>
      </c>
      <c r="F99" s="13" t="s">
        <v>503</v>
      </c>
      <c r="G99" s="13" t="s">
        <v>504</v>
      </c>
      <c r="H99" s="13" t="s">
        <v>505</v>
      </c>
      <c r="I99" s="13" t="s">
        <v>490</v>
      </c>
    </row>
    <row r="100" spans="1:9" ht="15.75" thickBot="1" x14ac:dyDescent="0.3">
      <c r="A100" s="18" t="s">
        <v>485</v>
      </c>
      <c r="B100" s="13" t="s">
        <v>486</v>
      </c>
      <c r="C100" s="13" t="s">
        <v>2</v>
      </c>
      <c r="D100" s="13" t="s">
        <v>10</v>
      </c>
      <c r="E100" s="8">
        <v>42134</v>
      </c>
      <c r="F100" s="13" t="s">
        <v>487</v>
      </c>
      <c r="G100" s="13" t="s">
        <v>488</v>
      </c>
      <c r="H100" s="13" t="s">
        <v>489</v>
      </c>
      <c r="I100" s="13" t="s">
        <v>490</v>
      </c>
    </row>
    <row r="101" spans="1:9" ht="15.75" thickBot="1" x14ac:dyDescent="0.3">
      <c r="A101" s="17" t="s">
        <v>458</v>
      </c>
      <c r="B101" s="13" t="s">
        <v>459</v>
      </c>
      <c r="C101" s="13" t="s">
        <v>2</v>
      </c>
      <c r="D101" s="13" t="s">
        <v>28</v>
      </c>
      <c r="E101" s="8">
        <v>41599</v>
      </c>
      <c r="F101" s="13" t="s">
        <v>460</v>
      </c>
      <c r="G101" s="13" t="s">
        <v>461</v>
      </c>
      <c r="H101" s="13" t="s">
        <v>462</v>
      </c>
      <c r="I101" s="13" t="s">
        <v>14</v>
      </c>
    </row>
    <row r="102" spans="1:9" ht="15.75" thickBot="1" x14ac:dyDescent="0.3">
      <c r="A102" s="18" t="s">
        <v>391</v>
      </c>
      <c r="B102" s="13" t="s">
        <v>392</v>
      </c>
      <c r="C102" s="13" t="s">
        <v>2</v>
      </c>
      <c r="D102" s="13" t="s">
        <v>10</v>
      </c>
      <c r="E102" s="8">
        <v>41889</v>
      </c>
      <c r="F102" s="13" t="s">
        <v>393</v>
      </c>
      <c r="G102" s="13" t="s">
        <v>394</v>
      </c>
      <c r="H102" s="13" t="s">
        <v>395</v>
      </c>
      <c r="I102" s="13" t="s">
        <v>14</v>
      </c>
    </row>
    <row r="103" spans="1:9" ht="15.75" thickBot="1" x14ac:dyDescent="0.3">
      <c r="A103" s="18" t="s">
        <v>279</v>
      </c>
      <c r="B103" s="13" t="s">
        <v>280</v>
      </c>
      <c r="C103" s="13" t="s">
        <v>66</v>
      </c>
      <c r="D103" s="13" t="s">
        <v>28</v>
      </c>
      <c r="E103" s="8">
        <v>42022</v>
      </c>
      <c r="F103" s="13" t="s">
        <v>281</v>
      </c>
      <c r="G103" s="13" t="s">
        <v>282</v>
      </c>
      <c r="H103" s="13" t="s">
        <v>283</v>
      </c>
      <c r="I103" s="13" t="s">
        <v>14</v>
      </c>
    </row>
    <row r="104" spans="1:9" ht="15.75" thickBot="1" x14ac:dyDescent="0.3">
      <c r="A104" s="18" t="s">
        <v>333</v>
      </c>
      <c r="B104" s="13" t="s">
        <v>334</v>
      </c>
      <c r="C104" s="13" t="s">
        <v>66</v>
      </c>
      <c r="D104" s="13" t="s">
        <v>10</v>
      </c>
      <c r="E104" s="8">
        <v>42774</v>
      </c>
      <c r="F104" s="13" t="s">
        <v>335</v>
      </c>
      <c r="G104" s="13" t="s">
        <v>336</v>
      </c>
      <c r="H104" s="13" t="s">
        <v>337</v>
      </c>
      <c r="I104" s="13" t="s">
        <v>14</v>
      </c>
    </row>
    <row r="105" spans="1:9" ht="15.75" thickBot="1" x14ac:dyDescent="0.3">
      <c r="A105" s="17" t="s">
        <v>15</v>
      </c>
      <c r="B105" s="14" t="s">
        <v>16</v>
      </c>
      <c r="C105" s="13" t="s">
        <v>2</v>
      </c>
      <c r="D105" s="13" t="s">
        <v>10</v>
      </c>
      <c r="E105" s="8">
        <v>41776</v>
      </c>
      <c r="F105" s="13" t="s">
        <v>17</v>
      </c>
      <c r="G105" s="13" t="s">
        <v>18</v>
      </c>
      <c r="H105" s="13" t="s">
        <v>19</v>
      </c>
      <c r="I105" s="13" t="s">
        <v>14</v>
      </c>
    </row>
    <row r="106" spans="1:9" ht="15.75" thickBot="1" x14ac:dyDescent="0.3">
      <c r="A106" s="18" t="s">
        <v>401</v>
      </c>
      <c r="B106" s="14" t="s">
        <v>16</v>
      </c>
      <c r="C106" s="13" t="s">
        <v>2</v>
      </c>
      <c r="D106" s="13" t="s">
        <v>402</v>
      </c>
      <c r="E106" s="8">
        <v>41776</v>
      </c>
      <c r="F106" s="13" t="s">
        <v>403</v>
      </c>
      <c r="G106" s="13" t="s">
        <v>404</v>
      </c>
      <c r="H106" s="13" t="s">
        <v>405</v>
      </c>
      <c r="I106" s="13" t="s">
        <v>14</v>
      </c>
    </row>
    <row r="107" spans="1:9" ht="15.75" thickBot="1" x14ac:dyDescent="0.3">
      <c r="A107" s="17" t="s">
        <v>406</v>
      </c>
      <c r="B107" s="14" t="s">
        <v>407</v>
      </c>
      <c r="C107" s="13" t="s">
        <v>2</v>
      </c>
      <c r="D107" s="13" t="s">
        <v>10</v>
      </c>
      <c r="E107" s="8">
        <v>41776</v>
      </c>
      <c r="F107" s="13" t="s">
        <v>408</v>
      </c>
      <c r="G107" s="13" t="s">
        <v>409</v>
      </c>
      <c r="H107" s="13" t="s">
        <v>410</v>
      </c>
      <c r="I107" s="13" t="s">
        <v>14</v>
      </c>
    </row>
    <row r="108" spans="1:9" ht="15.75" thickBot="1" x14ac:dyDescent="0.3">
      <c r="A108" s="18" t="s">
        <v>353</v>
      </c>
      <c r="B108" s="13" t="s">
        <v>354</v>
      </c>
      <c r="C108" s="13" t="s">
        <v>66</v>
      </c>
      <c r="D108" s="13" t="s">
        <v>10</v>
      </c>
      <c r="E108" s="8">
        <v>41756</v>
      </c>
      <c r="F108" s="13" t="s">
        <v>355</v>
      </c>
      <c r="G108" s="13" t="s">
        <v>356</v>
      </c>
      <c r="H108" s="13" t="s">
        <v>357</v>
      </c>
      <c r="I108" s="13" t="s">
        <v>14</v>
      </c>
    </row>
    <row r="109" spans="1:9" ht="15.75" thickBot="1" x14ac:dyDescent="0.3">
      <c r="A109" s="17" t="s">
        <v>416</v>
      </c>
      <c r="B109" s="13" t="s">
        <v>417</v>
      </c>
      <c r="C109" s="13" t="s">
        <v>2</v>
      </c>
      <c r="D109" s="13" t="s">
        <v>28</v>
      </c>
      <c r="E109" s="8">
        <v>41702</v>
      </c>
      <c r="F109" s="13" t="s">
        <v>418</v>
      </c>
      <c r="G109" s="13" t="s">
        <v>419</v>
      </c>
      <c r="H109" s="13" t="s">
        <v>420</v>
      </c>
      <c r="I109" s="13" t="s">
        <v>14</v>
      </c>
    </row>
    <row r="110" spans="1:9" ht="15.75" thickBot="1" x14ac:dyDescent="0.3">
      <c r="A110" s="18" t="s">
        <v>300</v>
      </c>
      <c r="B110" s="13" t="s">
        <v>301</v>
      </c>
      <c r="C110" s="13" t="s">
        <v>2</v>
      </c>
      <c r="D110" s="13" t="s">
        <v>10</v>
      </c>
      <c r="E110" s="8">
        <v>42367</v>
      </c>
      <c r="F110" s="13" t="s">
        <v>302</v>
      </c>
      <c r="G110" s="13" t="s">
        <v>303</v>
      </c>
      <c r="H110" s="13" t="s">
        <v>304</v>
      </c>
      <c r="I110" s="13" t="s">
        <v>14</v>
      </c>
    </row>
    <row r="111" spans="1:9" ht="15.75" thickBot="1" x14ac:dyDescent="0.3">
      <c r="A111" s="18" t="s">
        <v>442</v>
      </c>
      <c r="B111" s="13" t="s">
        <v>443</v>
      </c>
      <c r="C111" s="13" t="s">
        <v>2</v>
      </c>
      <c r="D111" s="13" t="s">
        <v>315</v>
      </c>
      <c r="E111" s="8">
        <v>42181</v>
      </c>
      <c r="F111" s="13" t="s">
        <v>444</v>
      </c>
      <c r="G111" s="13" t="s">
        <v>194</v>
      </c>
      <c r="H111" s="13" t="s">
        <v>445</v>
      </c>
      <c r="I111" s="13" t="s">
        <v>14</v>
      </c>
    </row>
    <row r="112" spans="1:9" ht="15.75" thickBot="1" x14ac:dyDescent="0.3">
      <c r="A112" s="18" t="s">
        <v>463</v>
      </c>
      <c r="B112" s="13" t="s">
        <v>464</v>
      </c>
      <c r="C112" s="13" t="s">
        <v>2</v>
      </c>
      <c r="D112" s="13" t="s">
        <v>28</v>
      </c>
      <c r="E112" s="8">
        <v>42256</v>
      </c>
      <c r="F112" s="13" t="s">
        <v>465</v>
      </c>
      <c r="G112" s="13" t="s">
        <v>466</v>
      </c>
      <c r="H112" s="13" t="s">
        <v>467</v>
      </c>
      <c r="I112" s="13" t="s">
        <v>14</v>
      </c>
    </row>
    <row r="113" spans="1:9" ht="15.75" thickBot="1" x14ac:dyDescent="0.3">
      <c r="A113" s="17" t="s">
        <v>295</v>
      </c>
      <c r="B113" s="13" t="s">
        <v>296</v>
      </c>
      <c r="C113" s="13" t="s">
        <v>2</v>
      </c>
      <c r="D113" s="13" t="s">
        <v>10</v>
      </c>
      <c r="E113" s="8">
        <v>41644</v>
      </c>
      <c r="F113" s="13" t="s">
        <v>297</v>
      </c>
      <c r="G113" s="13" t="s">
        <v>298</v>
      </c>
      <c r="H113" s="13" t="s">
        <v>299</v>
      </c>
      <c r="I113" s="13" t="s">
        <v>14</v>
      </c>
    </row>
    <row r="114" spans="1:9" ht="15.75" thickBot="1" x14ac:dyDescent="0.3">
      <c r="A114" s="18" t="s">
        <v>421</v>
      </c>
      <c r="B114" s="13" t="s">
        <v>422</v>
      </c>
      <c r="C114" s="13" t="s">
        <v>2</v>
      </c>
      <c r="D114" s="13" t="s">
        <v>423</v>
      </c>
      <c r="E114" s="8">
        <v>41644</v>
      </c>
      <c r="F114" s="13" t="s">
        <v>297</v>
      </c>
      <c r="G114" s="13" t="s">
        <v>298</v>
      </c>
      <c r="H114" s="13" t="s">
        <v>424</v>
      </c>
      <c r="I114" s="13" t="s">
        <v>14</v>
      </c>
    </row>
    <row r="115" spans="1:9" ht="15.75" thickBot="1" x14ac:dyDescent="0.3">
      <c r="A115" s="18" t="s">
        <v>411</v>
      </c>
      <c r="B115" s="13" t="s">
        <v>412</v>
      </c>
      <c r="C115" s="13" t="s">
        <v>2</v>
      </c>
      <c r="D115" s="13" t="s">
        <v>59</v>
      </c>
      <c r="E115" s="8">
        <v>41903</v>
      </c>
      <c r="F115" s="13" t="s">
        <v>413</v>
      </c>
      <c r="G115" s="13" t="s">
        <v>414</v>
      </c>
      <c r="H115" s="13" t="s">
        <v>415</v>
      </c>
      <c r="I115" s="13" t="s">
        <v>14</v>
      </c>
    </row>
    <row r="116" spans="1:9" ht="15.75" thickBot="1" x14ac:dyDescent="0.3">
      <c r="A116" s="17" t="s">
        <v>396</v>
      </c>
      <c r="B116" s="13" t="s">
        <v>397</v>
      </c>
      <c r="C116" s="13" t="s">
        <v>2</v>
      </c>
      <c r="D116" s="13" t="s">
        <v>10</v>
      </c>
      <c r="E116" s="8">
        <v>42591</v>
      </c>
      <c r="F116" s="13" t="s">
        <v>398</v>
      </c>
      <c r="G116" s="13" t="s">
        <v>399</v>
      </c>
      <c r="H116" s="13" t="s">
        <v>400</v>
      </c>
      <c r="I116" s="13" t="s">
        <v>14</v>
      </c>
    </row>
    <row r="117" spans="1:9" ht="15.75" thickBot="1" x14ac:dyDescent="0.3">
      <c r="A117" s="18" t="s">
        <v>8</v>
      </c>
      <c r="B117" s="14" t="s">
        <v>9</v>
      </c>
      <c r="C117" s="13" t="s">
        <v>2</v>
      </c>
      <c r="D117" s="13" t="s">
        <v>10</v>
      </c>
      <c r="E117" s="8">
        <v>42501</v>
      </c>
      <c r="F117" s="13" t="s">
        <v>11</v>
      </c>
      <c r="G117" s="13" t="s">
        <v>12</v>
      </c>
      <c r="H117" s="13" t="s">
        <v>13</v>
      </c>
      <c r="I117" s="13" t="s">
        <v>14</v>
      </c>
    </row>
    <row r="118" spans="1:9" ht="15.75" thickBot="1" x14ac:dyDescent="0.3">
      <c r="A118" s="18" t="s">
        <v>320</v>
      </c>
      <c r="B118" s="14" t="s">
        <v>321</v>
      </c>
      <c r="C118" s="13" t="s">
        <v>2</v>
      </c>
      <c r="D118" s="14" t="s">
        <v>322</v>
      </c>
      <c r="E118" s="8">
        <v>42501</v>
      </c>
      <c r="F118" s="13" t="s">
        <v>323</v>
      </c>
      <c r="G118" s="13" t="s">
        <v>324</v>
      </c>
      <c r="H118" s="13" t="s">
        <v>325</v>
      </c>
      <c r="I118" s="13" t="s">
        <v>14</v>
      </c>
    </row>
    <row r="119" spans="1:9" ht="15.75" thickBot="1" x14ac:dyDescent="0.3">
      <c r="A119" s="18" t="s">
        <v>257</v>
      </c>
      <c r="B119" s="13" t="s">
        <v>258</v>
      </c>
      <c r="C119" s="13" t="s">
        <v>2</v>
      </c>
      <c r="D119" s="14" t="s">
        <v>259</v>
      </c>
      <c r="E119" s="8">
        <v>42162</v>
      </c>
      <c r="F119" s="13" t="s">
        <v>260</v>
      </c>
      <c r="G119" s="13" t="s">
        <v>261</v>
      </c>
      <c r="H119" s="13" t="s">
        <v>262</v>
      </c>
      <c r="I119" s="13" t="s">
        <v>14</v>
      </c>
    </row>
    <row r="120" spans="1:9" ht="15.75" thickBot="1" x14ac:dyDescent="0.3">
      <c r="A120" s="18" t="s">
        <v>430</v>
      </c>
      <c r="B120" s="13" t="s">
        <v>431</v>
      </c>
      <c r="C120" s="13" t="s">
        <v>66</v>
      </c>
      <c r="D120" s="13" t="s">
        <v>10</v>
      </c>
      <c r="E120" s="8">
        <v>41619</v>
      </c>
      <c r="F120" s="13" t="s">
        <v>432</v>
      </c>
      <c r="G120" s="13" t="s">
        <v>433</v>
      </c>
      <c r="H120" s="13" t="s">
        <v>434</v>
      </c>
      <c r="I120" s="13" t="s">
        <v>435</v>
      </c>
    </row>
    <row r="121" spans="1:9" ht="15.75" thickBot="1" x14ac:dyDescent="0.3">
      <c r="A121" s="18" t="s">
        <v>860</v>
      </c>
      <c r="B121" s="13" t="s">
        <v>861</v>
      </c>
      <c r="C121" s="13" t="s">
        <v>66</v>
      </c>
      <c r="D121" s="13" t="s">
        <v>28</v>
      </c>
      <c r="E121" s="8">
        <v>42220</v>
      </c>
      <c r="F121" s="13" t="s">
        <v>862</v>
      </c>
      <c r="G121" s="13" t="s">
        <v>863</v>
      </c>
      <c r="H121" s="13" t="s">
        <v>864</v>
      </c>
      <c r="I121" s="13" t="s">
        <v>435</v>
      </c>
    </row>
    <row r="122" spans="1:9" ht="15.75" thickBot="1" x14ac:dyDescent="0.3">
      <c r="A122" s="18" t="s">
        <v>819</v>
      </c>
      <c r="B122" s="13" t="s">
        <v>820</v>
      </c>
      <c r="C122" s="13" t="s">
        <v>2</v>
      </c>
      <c r="D122" s="13" t="s">
        <v>10</v>
      </c>
      <c r="E122" s="8">
        <v>42102</v>
      </c>
      <c r="F122" s="13" t="s">
        <v>821</v>
      </c>
      <c r="G122" s="13" t="s">
        <v>822</v>
      </c>
      <c r="H122" s="13" t="s">
        <v>823</v>
      </c>
      <c r="I122" s="13" t="s">
        <v>435</v>
      </c>
    </row>
    <row r="123" spans="1:9" ht="15.75" thickBot="1" x14ac:dyDescent="0.3">
      <c r="A123" s="17" t="s">
        <v>865</v>
      </c>
      <c r="B123" s="13" t="s">
        <v>866</v>
      </c>
      <c r="C123" s="13" t="s">
        <v>2</v>
      </c>
      <c r="D123" s="13" t="s">
        <v>10</v>
      </c>
      <c r="E123" s="8">
        <v>42267</v>
      </c>
      <c r="F123" s="13" t="s">
        <v>867</v>
      </c>
      <c r="G123" s="13" t="s">
        <v>868</v>
      </c>
      <c r="H123" s="13" t="s">
        <v>869</v>
      </c>
      <c r="I123" s="13" t="s">
        <v>435</v>
      </c>
    </row>
    <row r="124" spans="1:9" ht="15.75" thickBot="1" x14ac:dyDescent="0.3">
      <c r="A124" s="18" t="s">
        <v>764</v>
      </c>
      <c r="B124" s="13" t="s">
        <v>765</v>
      </c>
      <c r="C124" s="13" t="s">
        <v>2</v>
      </c>
      <c r="D124" s="13" t="s">
        <v>10</v>
      </c>
      <c r="E124" s="8">
        <v>42049</v>
      </c>
      <c r="F124" s="13" t="s">
        <v>766</v>
      </c>
      <c r="G124" s="13" t="s">
        <v>767</v>
      </c>
      <c r="H124" s="13" t="s">
        <v>768</v>
      </c>
      <c r="I124" s="13" t="s">
        <v>435</v>
      </c>
    </row>
    <row r="125" spans="1:9" ht="15.75" thickBot="1" x14ac:dyDescent="0.3">
      <c r="A125" s="18" t="s">
        <v>784</v>
      </c>
      <c r="B125" s="14" t="s">
        <v>785</v>
      </c>
      <c r="C125" s="13" t="s">
        <v>66</v>
      </c>
      <c r="D125" s="13" t="s">
        <v>10</v>
      </c>
      <c r="E125" s="8">
        <v>41682</v>
      </c>
      <c r="F125" s="13" t="s">
        <v>786</v>
      </c>
      <c r="G125" s="13" t="s">
        <v>787</v>
      </c>
      <c r="H125" s="13" t="s">
        <v>788</v>
      </c>
      <c r="I125" s="13" t="s">
        <v>435</v>
      </c>
    </row>
    <row r="126" spans="1:9" ht="15.75" thickBot="1" x14ac:dyDescent="0.3">
      <c r="A126" s="17" t="s">
        <v>799</v>
      </c>
      <c r="B126" s="14" t="s">
        <v>785</v>
      </c>
      <c r="C126" s="13" t="s">
        <v>66</v>
      </c>
      <c r="D126" s="13" t="s">
        <v>10</v>
      </c>
      <c r="E126" s="8">
        <v>41682</v>
      </c>
      <c r="F126" s="13" t="s">
        <v>786</v>
      </c>
      <c r="G126" s="13" t="s">
        <v>787</v>
      </c>
      <c r="H126" s="13" t="s">
        <v>800</v>
      </c>
      <c r="I126" s="13" t="s">
        <v>435</v>
      </c>
    </row>
    <row r="127" spans="1:9" ht="15.75" thickBot="1" x14ac:dyDescent="0.3">
      <c r="A127" s="18" t="s">
        <v>754</v>
      </c>
      <c r="B127" s="13" t="s">
        <v>755</v>
      </c>
      <c r="C127" s="13" t="s">
        <v>66</v>
      </c>
      <c r="D127" s="13" t="s">
        <v>10</v>
      </c>
      <c r="E127" s="8">
        <v>41860</v>
      </c>
      <c r="F127" s="13" t="s">
        <v>756</v>
      </c>
      <c r="G127" s="13" t="s">
        <v>757</v>
      </c>
      <c r="H127" s="13" t="s">
        <v>758</v>
      </c>
      <c r="I127" s="13" t="s">
        <v>435</v>
      </c>
    </row>
    <row r="128" spans="1:9" ht="15.75" thickBot="1" x14ac:dyDescent="0.3">
      <c r="A128" s="17" t="s">
        <v>834</v>
      </c>
      <c r="B128" s="13" t="s">
        <v>835</v>
      </c>
      <c r="C128" s="13" t="s">
        <v>2</v>
      </c>
      <c r="D128" s="13" t="s">
        <v>10</v>
      </c>
      <c r="E128" s="8">
        <v>42233</v>
      </c>
      <c r="F128" s="13" t="s">
        <v>836</v>
      </c>
      <c r="G128" s="13" t="s">
        <v>837</v>
      </c>
      <c r="H128" s="13" t="s">
        <v>838</v>
      </c>
      <c r="I128" s="13" t="s">
        <v>435</v>
      </c>
    </row>
    <row r="129" spans="1:9" ht="15.75" thickBot="1" x14ac:dyDescent="0.3">
      <c r="A129" s="18" t="s">
        <v>774</v>
      </c>
      <c r="B129" s="13" t="s">
        <v>775</v>
      </c>
      <c r="C129" s="13" t="s">
        <v>66</v>
      </c>
      <c r="D129" s="13" t="s">
        <v>10</v>
      </c>
      <c r="E129" s="8">
        <v>46000</v>
      </c>
      <c r="F129" s="13" t="s">
        <v>776</v>
      </c>
      <c r="G129" s="13" t="s">
        <v>777</v>
      </c>
      <c r="H129" s="13" t="s">
        <v>778</v>
      </c>
      <c r="I129" s="13" t="s">
        <v>435</v>
      </c>
    </row>
    <row r="130" spans="1:9" ht="15.75" thickBot="1" x14ac:dyDescent="0.3">
      <c r="A130" s="17" t="s">
        <v>789</v>
      </c>
      <c r="B130" s="14" t="s">
        <v>790</v>
      </c>
      <c r="C130" s="13" t="s">
        <v>66</v>
      </c>
      <c r="D130" s="13" t="s">
        <v>10</v>
      </c>
      <c r="E130" s="8">
        <v>42228</v>
      </c>
      <c r="F130" s="13" t="s">
        <v>791</v>
      </c>
      <c r="G130" s="13" t="s">
        <v>792</v>
      </c>
      <c r="H130" s="13" t="s">
        <v>793</v>
      </c>
      <c r="I130" s="13" t="s">
        <v>435</v>
      </c>
    </row>
    <row r="131" spans="1:9" ht="15.75" thickBot="1" x14ac:dyDescent="0.3">
      <c r="A131" s="18" t="s">
        <v>801</v>
      </c>
      <c r="B131" s="14" t="s">
        <v>790</v>
      </c>
      <c r="C131" s="13" t="s">
        <v>66</v>
      </c>
      <c r="D131" s="13" t="s">
        <v>10</v>
      </c>
      <c r="E131" s="8">
        <v>42228</v>
      </c>
      <c r="F131" s="13" t="s">
        <v>791</v>
      </c>
      <c r="G131" s="13" t="s">
        <v>792</v>
      </c>
      <c r="H131" s="13" t="s">
        <v>802</v>
      </c>
      <c r="I131" s="13" t="s">
        <v>435</v>
      </c>
    </row>
    <row r="132" spans="1:9" ht="15.75" thickBot="1" x14ac:dyDescent="0.3">
      <c r="A132" s="18" t="s">
        <v>897</v>
      </c>
      <c r="B132" s="12" t="s">
        <v>898</v>
      </c>
      <c r="C132" s="12" t="s">
        <v>66</v>
      </c>
      <c r="D132" s="12" t="s">
        <v>28</v>
      </c>
      <c r="E132" s="8">
        <v>42228</v>
      </c>
      <c r="F132" s="12" t="s">
        <v>899</v>
      </c>
      <c r="G132" s="12" t="s">
        <v>900</v>
      </c>
      <c r="H132" s="12" t="s">
        <v>901</v>
      </c>
      <c r="I132" s="12" t="s">
        <v>435</v>
      </c>
    </row>
    <row r="133" spans="1:9" ht="15.75" thickBot="1" x14ac:dyDescent="0.3">
      <c r="A133" s="17" t="s">
        <v>759</v>
      </c>
      <c r="B133" s="13" t="s">
        <v>760</v>
      </c>
      <c r="C133" s="13" t="s">
        <v>2</v>
      </c>
      <c r="D133" s="13" t="s">
        <v>10</v>
      </c>
      <c r="E133" s="8">
        <v>42697</v>
      </c>
      <c r="F133" s="13" t="s">
        <v>761</v>
      </c>
      <c r="G133" s="13" t="s">
        <v>762</v>
      </c>
      <c r="H133" s="13" t="s">
        <v>763</v>
      </c>
      <c r="I133" s="13" t="s">
        <v>435</v>
      </c>
    </row>
    <row r="134" spans="1:9" ht="15.75" thickBot="1" x14ac:dyDescent="0.3">
      <c r="A134" s="18" t="s">
        <v>829</v>
      </c>
      <c r="B134" s="14" t="s">
        <v>830</v>
      </c>
      <c r="C134" s="13" t="s">
        <v>2</v>
      </c>
      <c r="D134" s="13" t="s">
        <v>402</v>
      </c>
      <c r="E134" s="8">
        <v>42101</v>
      </c>
      <c r="F134" s="13" t="s">
        <v>831</v>
      </c>
      <c r="G134" s="13" t="s">
        <v>832</v>
      </c>
      <c r="H134" s="13" t="s">
        <v>833</v>
      </c>
      <c r="I134" s="13" t="s">
        <v>435</v>
      </c>
    </row>
    <row r="135" spans="1:9" ht="15.75" thickBot="1" x14ac:dyDescent="0.3">
      <c r="A135" s="18" t="s">
        <v>839</v>
      </c>
      <c r="B135" s="14" t="s">
        <v>840</v>
      </c>
      <c r="C135" s="13" t="s">
        <v>2</v>
      </c>
      <c r="D135" s="13" t="s">
        <v>10</v>
      </c>
      <c r="E135" s="8">
        <v>42101</v>
      </c>
      <c r="F135" s="13" t="s">
        <v>841</v>
      </c>
      <c r="G135" s="13" t="s">
        <v>842</v>
      </c>
      <c r="H135" s="13" t="s">
        <v>843</v>
      </c>
      <c r="I135" s="13" t="s">
        <v>435</v>
      </c>
    </row>
    <row r="136" spans="1:9" ht="15.75" thickBot="1" x14ac:dyDescent="0.3">
      <c r="A136" s="17" t="s">
        <v>803</v>
      </c>
      <c r="B136" s="13" t="s">
        <v>804</v>
      </c>
      <c r="C136" s="13" t="s">
        <v>2</v>
      </c>
      <c r="D136" s="13" t="s">
        <v>10</v>
      </c>
      <c r="E136" s="8">
        <v>41602</v>
      </c>
      <c r="F136" s="13" t="s">
        <v>805</v>
      </c>
      <c r="G136" s="13" t="s">
        <v>806</v>
      </c>
      <c r="H136" s="13" t="s">
        <v>807</v>
      </c>
      <c r="I136" s="13" t="s">
        <v>435</v>
      </c>
    </row>
    <row r="137" spans="1:9" ht="15.75" thickBot="1" x14ac:dyDescent="0.3">
      <c r="A137" s="17" t="s">
        <v>769</v>
      </c>
      <c r="B137" s="13" t="s">
        <v>770</v>
      </c>
      <c r="C137" s="13" t="s">
        <v>2</v>
      </c>
      <c r="D137" s="13" t="s">
        <v>10</v>
      </c>
      <c r="E137" s="8">
        <v>41953</v>
      </c>
      <c r="F137" s="13" t="s">
        <v>771</v>
      </c>
      <c r="G137" s="13" t="s">
        <v>772</v>
      </c>
      <c r="H137" s="13" t="s">
        <v>773</v>
      </c>
      <c r="I137" s="13" t="s">
        <v>435</v>
      </c>
    </row>
    <row r="138" spans="1:9" ht="15.75" thickBot="1" x14ac:dyDescent="0.3">
      <c r="A138" s="18" t="s">
        <v>451</v>
      </c>
      <c r="B138" s="13" t="s">
        <v>452</v>
      </c>
      <c r="C138" s="13" t="s">
        <v>2</v>
      </c>
      <c r="D138" s="13" t="s">
        <v>453</v>
      </c>
      <c r="E138" s="8">
        <v>42703</v>
      </c>
      <c r="F138" s="13" t="s">
        <v>454</v>
      </c>
      <c r="G138" s="13" t="s">
        <v>455</v>
      </c>
      <c r="H138" s="13" t="s">
        <v>456</v>
      </c>
      <c r="I138" s="13" t="s">
        <v>457</v>
      </c>
    </row>
    <row r="139" spans="1:9" ht="15.75" thickBot="1" x14ac:dyDescent="0.3">
      <c r="A139" s="17" t="s">
        <v>251</v>
      </c>
      <c r="B139" s="13" t="s">
        <v>252</v>
      </c>
      <c r="C139" s="13" t="s">
        <v>2</v>
      </c>
      <c r="D139" s="13" t="s">
        <v>10</v>
      </c>
      <c r="E139" s="8">
        <v>41692</v>
      </c>
      <c r="F139" s="13" t="s">
        <v>253</v>
      </c>
      <c r="G139" s="13" t="s">
        <v>254</v>
      </c>
      <c r="H139" s="13" t="s">
        <v>255</v>
      </c>
      <c r="I139" s="13" t="s">
        <v>256</v>
      </c>
    </row>
    <row r="140" spans="1:9" ht="15.75" thickBot="1" x14ac:dyDescent="0.3">
      <c r="A140" s="18" t="s">
        <v>849</v>
      </c>
      <c r="B140" s="13" t="s">
        <v>850</v>
      </c>
      <c r="C140" s="13" t="s">
        <v>2</v>
      </c>
      <c r="D140" s="13" t="s">
        <v>10</v>
      </c>
      <c r="E140" s="8">
        <v>41531</v>
      </c>
      <c r="F140" s="13" t="s">
        <v>851</v>
      </c>
      <c r="G140" s="13" t="s">
        <v>852</v>
      </c>
      <c r="H140" s="13" t="s">
        <v>853</v>
      </c>
      <c r="I140" s="13" t="s">
        <v>854</v>
      </c>
    </row>
    <row r="141" spans="1:9" ht="15.75" thickBot="1" x14ac:dyDescent="0.3">
      <c r="A141" s="17" t="s">
        <v>844</v>
      </c>
      <c r="B141" s="13" t="s">
        <v>845</v>
      </c>
      <c r="C141" s="13" t="s">
        <v>2</v>
      </c>
      <c r="D141" s="13" t="s">
        <v>10</v>
      </c>
      <c r="E141" s="8">
        <v>41548</v>
      </c>
      <c r="F141" s="13" t="s">
        <v>846</v>
      </c>
      <c r="G141" s="13" t="s">
        <v>847</v>
      </c>
      <c r="H141" s="13" t="s">
        <v>848</v>
      </c>
      <c r="I141" s="13" t="s">
        <v>484</v>
      </c>
    </row>
    <row r="142" spans="1:9" ht="15.75" thickBot="1" x14ac:dyDescent="0.3">
      <c r="A142" s="18" t="s">
        <v>889</v>
      </c>
      <c r="B142" s="14" t="s">
        <v>890</v>
      </c>
      <c r="C142" s="13" t="s">
        <v>66</v>
      </c>
      <c r="D142" s="13" t="s">
        <v>10</v>
      </c>
      <c r="E142" s="8">
        <v>41752</v>
      </c>
      <c r="F142" s="13" t="s">
        <v>891</v>
      </c>
      <c r="G142" s="13" t="s">
        <v>892</v>
      </c>
      <c r="H142" s="13" t="s">
        <v>893</v>
      </c>
      <c r="I142" s="13" t="s">
        <v>484</v>
      </c>
    </row>
    <row r="143" spans="1:9" ht="15.75" thickBot="1" x14ac:dyDescent="0.3">
      <c r="A143" s="17" t="s">
        <v>894</v>
      </c>
      <c r="B143" s="14" t="s">
        <v>890</v>
      </c>
      <c r="C143" s="13" t="s">
        <v>66</v>
      </c>
      <c r="D143" s="13" t="s">
        <v>10</v>
      </c>
      <c r="E143" s="8">
        <v>41752</v>
      </c>
      <c r="F143" s="13" t="s">
        <v>891</v>
      </c>
      <c r="G143" s="13" t="s">
        <v>895</v>
      </c>
      <c r="H143" s="13" t="s">
        <v>896</v>
      </c>
      <c r="I143" s="13" t="s">
        <v>484</v>
      </c>
    </row>
    <row r="144" spans="1:9" ht="15.75" thickBot="1" x14ac:dyDescent="0.3">
      <c r="A144" s="17" t="s">
        <v>479</v>
      </c>
      <c r="B144" s="13" t="s">
        <v>480</v>
      </c>
      <c r="C144" s="13" t="s">
        <v>66</v>
      </c>
      <c r="D144" s="13" t="s">
        <v>10</v>
      </c>
      <c r="E144" s="8">
        <v>41779</v>
      </c>
      <c r="F144" s="13" t="s">
        <v>481</v>
      </c>
      <c r="G144" s="13" t="s">
        <v>482</v>
      </c>
      <c r="H144" s="13" t="s">
        <v>483</v>
      </c>
      <c r="I144" s="13" t="s">
        <v>484</v>
      </c>
    </row>
    <row r="145" spans="1:9" ht="15.75" thickBot="1" x14ac:dyDescent="0.3">
      <c r="A145" s="17" t="s">
        <v>875</v>
      </c>
      <c r="B145" s="14" t="s">
        <v>876</v>
      </c>
      <c r="C145" s="13" t="s">
        <v>2</v>
      </c>
      <c r="D145" s="13" t="s">
        <v>10</v>
      </c>
      <c r="E145" s="8">
        <v>45935</v>
      </c>
      <c r="F145" s="13" t="s">
        <v>877</v>
      </c>
      <c r="G145" s="13" t="s">
        <v>878</v>
      </c>
      <c r="H145" s="13" t="s">
        <v>879</v>
      </c>
      <c r="I145" s="13" t="s">
        <v>484</v>
      </c>
    </row>
    <row r="146" spans="1:9" ht="15.75" thickBot="1" x14ac:dyDescent="0.3">
      <c r="A146" s="17" t="s">
        <v>885</v>
      </c>
      <c r="B146" s="14" t="s">
        <v>886</v>
      </c>
      <c r="C146" s="13" t="s">
        <v>2</v>
      </c>
      <c r="D146" s="13" t="s">
        <v>10</v>
      </c>
      <c r="E146" s="8">
        <v>41552</v>
      </c>
      <c r="F146" s="13" t="s">
        <v>887</v>
      </c>
      <c r="G146" s="13" t="s">
        <v>878</v>
      </c>
      <c r="H146" s="13" t="s">
        <v>888</v>
      </c>
      <c r="I146" s="13" t="s">
        <v>484</v>
      </c>
    </row>
    <row r="147" spans="1:9" ht="15.75" thickBot="1" x14ac:dyDescent="0.3">
      <c r="A147" s="17" t="s">
        <v>737</v>
      </c>
      <c r="B147" s="13" t="s">
        <v>738</v>
      </c>
      <c r="C147" s="13" t="s">
        <v>66</v>
      </c>
      <c r="D147" s="13" t="s">
        <v>10</v>
      </c>
      <c r="E147" s="8">
        <v>43228</v>
      </c>
      <c r="F147" s="13" t="s">
        <v>739</v>
      </c>
      <c r="G147" s="13" t="s">
        <v>740</v>
      </c>
      <c r="H147" s="13" t="s">
        <v>741</v>
      </c>
      <c r="I147" s="13" t="s">
        <v>742</v>
      </c>
    </row>
    <row r="148" spans="1:9" ht="15.75" thickBot="1" x14ac:dyDescent="0.3">
      <c r="A148" s="18" t="s">
        <v>587</v>
      </c>
      <c r="B148" s="13" t="s">
        <v>588</v>
      </c>
      <c r="C148" s="13" t="s">
        <v>66</v>
      </c>
      <c r="D148" s="14" t="s">
        <v>589</v>
      </c>
      <c r="E148" s="8">
        <v>41607</v>
      </c>
      <c r="F148" s="13" t="s">
        <v>590</v>
      </c>
      <c r="G148" s="13" t="s">
        <v>591</v>
      </c>
      <c r="H148" s="13" t="s">
        <v>592</v>
      </c>
      <c r="I148" s="13" t="s">
        <v>593</v>
      </c>
    </row>
    <row r="149" spans="1:9" ht="15.75" thickBot="1" x14ac:dyDescent="0.3">
      <c r="A149" s="18" t="s">
        <v>506</v>
      </c>
      <c r="B149" s="13" t="s">
        <v>507</v>
      </c>
      <c r="C149" s="13" t="s">
        <v>2</v>
      </c>
      <c r="D149" s="13" t="s">
        <v>116</v>
      </c>
      <c r="E149" s="8">
        <v>42541</v>
      </c>
      <c r="F149" s="13" t="s">
        <v>508</v>
      </c>
      <c r="G149" s="13" t="s">
        <v>509</v>
      </c>
      <c r="H149" s="13" t="s">
        <v>510</v>
      </c>
      <c r="I149" s="13" t="s">
        <v>511</v>
      </c>
    </row>
    <row r="150" spans="1:9" ht="15.75" thickBot="1" x14ac:dyDescent="0.3">
      <c r="A150" s="17" t="s">
        <v>468</v>
      </c>
      <c r="B150" s="13" t="s">
        <v>469</v>
      </c>
      <c r="C150" s="13" t="s">
        <v>2</v>
      </c>
      <c r="D150" s="13" t="s">
        <v>28</v>
      </c>
      <c r="E150" s="8">
        <v>41513</v>
      </c>
      <c r="F150" s="13" t="s">
        <v>470</v>
      </c>
      <c r="G150" s="13" t="s">
        <v>471</v>
      </c>
      <c r="H150" s="13" t="s">
        <v>472</v>
      </c>
      <c r="I150" s="13" t="s">
        <v>473</v>
      </c>
    </row>
    <row r="151" spans="1:9" ht="15.75" thickBot="1" x14ac:dyDescent="0.3">
      <c r="A151" s="17" t="s">
        <v>594</v>
      </c>
      <c r="B151" s="13" t="s">
        <v>595</v>
      </c>
      <c r="C151" s="13" t="s">
        <v>66</v>
      </c>
      <c r="D151" s="13" t="s">
        <v>10</v>
      </c>
      <c r="E151" s="8">
        <v>40625</v>
      </c>
      <c r="F151" s="13" t="s">
        <v>596</v>
      </c>
      <c r="G151" s="13" t="s">
        <v>597</v>
      </c>
      <c r="H151" s="13" t="s">
        <v>598</v>
      </c>
      <c r="I151" s="13" t="s">
        <v>319</v>
      </c>
    </row>
    <row r="152" spans="1:9" ht="15.75" thickBot="1" x14ac:dyDescent="0.3">
      <c r="A152" s="17" t="s">
        <v>313</v>
      </c>
      <c r="B152" s="13" t="s">
        <v>314</v>
      </c>
      <c r="C152" s="13" t="s">
        <v>66</v>
      </c>
      <c r="D152" s="13" t="s">
        <v>315</v>
      </c>
      <c r="E152" s="8">
        <v>40393</v>
      </c>
      <c r="F152" s="13" t="s">
        <v>316</v>
      </c>
      <c r="G152" s="13" t="s">
        <v>317</v>
      </c>
      <c r="H152" s="13" t="s">
        <v>318</v>
      </c>
      <c r="I152" s="13" t="s">
        <v>319</v>
      </c>
    </row>
    <row r="153" spans="1:9" ht="15.75" thickBot="1" x14ac:dyDescent="0.3">
      <c r="A153" s="19" t="s">
        <v>220</v>
      </c>
      <c r="B153" s="14" t="s">
        <v>221</v>
      </c>
      <c r="C153" s="14" t="s">
        <v>66</v>
      </c>
      <c r="D153" s="14" t="s">
        <v>10</v>
      </c>
      <c r="E153" s="10">
        <v>42259</v>
      </c>
      <c r="F153" s="14" t="s">
        <v>222</v>
      </c>
      <c r="G153" s="14" t="s">
        <v>223</v>
      </c>
      <c r="H153" s="14" t="s">
        <v>224</v>
      </c>
      <c r="I153" s="14" t="s">
        <v>214</v>
      </c>
    </row>
    <row r="154" spans="1:9" ht="15.75" thickBot="1" x14ac:dyDescent="0.3">
      <c r="A154" s="19" t="s">
        <v>233</v>
      </c>
      <c r="B154" s="14" t="s">
        <v>234</v>
      </c>
      <c r="C154" s="14" t="s">
        <v>66</v>
      </c>
      <c r="D154" s="14" t="s">
        <v>10</v>
      </c>
      <c r="E154" s="10">
        <v>42259</v>
      </c>
      <c r="F154" s="14" t="s">
        <v>222</v>
      </c>
      <c r="G154" s="14" t="s">
        <v>235</v>
      </c>
      <c r="H154" s="14" t="s">
        <v>236</v>
      </c>
      <c r="I154" s="14" t="s">
        <v>214</v>
      </c>
    </row>
    <row r="155" spans="1:9" ht="15.75" thickBot="1" x14ac:dyDescent="0.3">
      <c r="A155" s="19" t="s">
        <v>237</v>
      </c>
      <c r="B155" s="14" t="s">
        <v>238</v>
      </c>
      <c r="C155" s="14" t="s">
        <v>66</v>
      </c>
      <c r="D155" s="14" t="s">
        <v>28</v>
      </c>
      <c r="E155" s="10">
        <v>42347</v>
      </c>
      <c r="F155" s="14" t="s">
        <v>239</v>
      </c>
      <c r="G155" s="14" t="s">
        <v>240</v>
      </c>
      <c r="H155" s="14" t="s">
        <v>241</v>
      </c>
      <c r="I155" s="14" t="s">
        <v>214</v>
      </c>
    </row>
    <row r="156" spans="1:9" ht="15.75" thickBot="1" x14ac:dyDescent="0.3">
      <c r="A156" s="19" t="s">
        <v>242</v>
      </c>
      <c r="B156" s="14" t="s">
        <v>243</v>
      </c>
      <c r="C156" s="14" t="s">
        <v>66</v>
      </c>
      <c r="D156" s="14" t="s">
        <v>10</v>
      </c>
      <c r="E156" s="10">
        <v>42347</v>
      </c>
      <c r="F156" s="14" t="s">
        <v>222</v>
      </c>
      <c r="G156" s="14" t="s">
        <v>244</v>
      </c>
      <c r="H156" s="14" t="s">
        <v>245</v>
      </c>
      <c r="I156" s="14" t="s">
        <v>214</v>
      </c>
    </row>
    <row r="157" spans="1:9" ht="15.75" thickBot="1" x14ac:dyDescent="0.3">
      <c r="A157" s="17" t="s">
        <v>215</v>
      </c>
      <c r="B157" s="13" t="s">
        <v>216</v>
      </c>
      <c r="C157" s="13" t="s">
        <v>2</v>
      </c>
      <c r="D157" s="13" t="s">
        <v>204</v>
      </c>
      <c r="E157" s="8">
        <v>42354</v>
      </c>
      <c r="F157" s="13" t="s">
        <v>217</v>
      </c>
      <c r="G157" s="13" t="s">
        <v>218</v>
      </c>
      <c r="H157" s="13" t="s">
        <v>219</v>
      </c>
      <c r="I157" s="13" t="s">
        <v>214</v>
      </c>
    </row>
    <row r="158" spans="1:9" ht="15.75" thickBot="1" x14ac:dyDescent="0.3">
      <c r="A158" s="18" t="s">
        <v>246</v>
      </c>
      <c r="B158" s="13" t="s">
        <v>247</v>
      </c>
      <c r="C158" s="13" t="s">
        <v>66</v>
      </c>
      <c r="D158" s="13" t="s">
        <v>10</v>
      </c>
      <c r="E158" s="8">
        <v>42217</v>
      </c>
      <c r="F158" s="13" t="s">
        <v>248</v>
      </c>
      <c r="G158" s="13" t="s">
        <v>249</v>
      </c>
      <c r="H158" s="13" t="s">
        <v>250</v>
      </c>
      <c r="I158" s="13" t="s">
        <v>214</v>
      </c>
    </row>
    <row r="159" spans="1:9" ht="15.75" thickBot="1" x14ac:dyDescent="0.3">
      <c r="A159" s="18" t="s">
        <v>209</v>
      </c>
      <c r="B159" s="13" t="s">
        <v>210</v>
      </c>
      <c r="C159" s="13" t="s">
        <v>2</v>
      </c>
      <c r="D159" s="13" t="s">
        <v>10</v>
      </c>
      <c r="E159" s="8">
        <v>42114</v>
      </c>
      <c r="F159" s="13" t="s">
        <v>211</v>
      </c>
      <c r="G159" s="13" t="s">
        <v>212</v>
      </c>
      <c r="H159" s="13" t="s">
        <v>213</v>
      </c>
      <c r="I159" s="13" t="s">
        <v>214</v>
      </c>
    </row>
    <row r="160" spans="1:9" ht="15.75" thickBot="1" x14ac:dyDescent="0.3">
      <c r="A160" s="18" t="s">
        <v>155</v>
      </c>
      <c r="B160" s="13" t="s">
        <v>156</v>
      </c>
      <c r="C160" s="13" t="s">
        <v>66</v>
      </c>
      <c r="D160" s="13" t="s">
        <v>10</v>
      </c>
      <c r="E160" s="8">
        <v>42724</v>
      </c>
      <c r="F160" s="13" t="s">
        <v>157</v>
      </c>
      <c r="G160" s="13" t="s">
        <v>158</v>
      </c>
      <c r="H160" s="13" t="s">
        <v>159</v>
      </c>
      <c r="I160" s="13" t="s">
        <v>160</v>
      </c>
    </row>
    <row r="161" spans="1:9" ht="15.75" thickBot="1" x14ac:dyDescent="0.3">
      <c r="A161" s="17" t="s">
        <v>161</v>
      </c>
      <c r="B161" s="13" t="s">
        <v>162</v>
      </c>
      <c r="C161" s="13" t="s">
        <v>2</v>
      </c>
      <c r="D161" s="13" t="s">
        <v>10</v>
      </c>
      <c r="E161" s="8">
        <v>41707</v>
      </c>
      <c r="F161" s="13" t="s">
        <v>163</v>
      </c>
      <c r="G161" s="13" t="s">
        <v>164</v>
      </c>
      <c r="H161" s="13" t="s">
        <v>165</v>
      </c>
      <c r="I161" s="13" t="s">
        <v>160</v>
      </c>
    </row>
    <row r="162" spans="1:9" ht="15.75" thickBot="1" x14ac:dyDescent="0.3">
      <c r="A162" s="17" t="s">
        <v>171</v>
      </c>
      <c r="B162" s="13" t="s">
        <v>172</v>
      </c>
      <c r="C162" s="13" t="s">
        <v>2</v>
      </c>
      <c r="D162" s="13" t="s">
        <v>10</v>
      </c>
      <c r="E162" s="8">
        <v>42225</v>
      </c>
      <c r="F162" s="13" t="s">
        <v>173</v>
      </c>
      <c r="G162" s="13" t="s">
        <v>174</v>
      </c>
      <c r="H162" s="13" t="s">
        <v>175</v>
      </c>
      <c r="I162" s="13" t="s">
        <v>160</v>
      </c>
    </row>
    <row r="163" spans="1:9" ht="15.75" thickBot="1" x14ac:dyDescent="0.3">
      <c r="A163" s="18" t="s">
        <v>176</v>
      </c>
      <c r="B163" s="13" t="s">
        <v>177</v>
      </c>
      <c r="C163" s="13" t="s">
        <v>2</v>
      </c>
      <c r="D163" s="13" t="s">
        <v>10</v>
      </c>
      <c r="E163" s="8">
        <v>41509</v>
      </c>
      <c r="F163" s="13" t="s">
        <v>178</v>
      </c>
      <c r="G163" s="13" t="s">
        <v>179</v>
      </c>
      <c r="H163" s="13" t="s">
        <v>180</v>
      </c>
      <c r="I163" s="13" t="s">
        <v>160</v>
      </c>
    </row>
    <row r="164" spans="1:9" ht="15.75" thickBot="1" x14ac:dyDescent="0.3">
      <c r="A164" s="18" t="s">
        <v>166</v>
      </c>
      <c r="B164" s="13" t="s">
        <v>167</v>
      </c>
      <c r="C164" s="13" t="s">
        <v>66</v>
      </c>
      <c r="D164" s="13" t="s">
        <v>59</v>
      </c>
      <c r="E164" s="8">
        <v>42459</v>
      </c>
      <c r="F164" s="13" t="s">
        <v>168</v>
      </c>
      <c r="G164" s="13" t="s">
        <v>169</v>
      </c>
      <c r="H164" s="13" t="s">
        <v>170</v>
      </c>
      <c r="I164" s="13" t="s">
        <v>160</v>
      </c>
    </row>
    <row r="165" spans="1:9" ht="15.75" thickBot="1" x14ac:dyDescent="0.3">
      <c r="A165" s="17" t="s">
        <v>181</v>
      </c>
      <c r="B165" s="13" t="s">
        <v>182</v>
      </c>
      <c r="C165" s="13" t="s">
        <v>66</v>
      </c>
      <c r="D165" s="13" t="s">
        <v>59</v>
      </c>
      <c r="E165" s="8">
        <v>42122</v>
      </c>
      <c r="F165" s="13" t="s">
        <v>183</v>
      </c>
      <c r="G165" s="13" t="s">
        <v>184</v>
      </c>
      <c r="H165" s="13" t="s">
        <v>185</v>
      </c>
      <c r="I165" s="13" t="s">
        <v>160</v>
      </c>
    </row>
    <row r="166" spans="1:9" ht="15.75" thickBot="1" x14ac:dyDescent="0.3">
      <c r="A166" s="18" t="s">
        <v>186</v>
      </c>
      <c r="B166" s="13" t="s">
        <v>187</v>
      </c>
      <c r="C166" s="13" t="s">
        <v>2</v>
      </c>
      <c r="D166" s="13" t="s">
        <v>10</v>
      </c>
      <c r="E166" s="8">
        <v>42604</v>
      </c>
      <c r="F166" s="13" t="s">
        <v>188</v>
      </c>
      <c r="G166" s="13" t="s">
        <v>189</v>
      </c>
      <c r="H166" s="13" t="s">
        <v>190</v>
      </c>
      <c r="I166" s="13" t="s">
        <v>160</v>
      </c>
    </row>
    <row r="167" spans="1:9" ht="15.75" thickBot="1" x14ac:dyDescent="0.3">
      <c r="A167" s="18" t="s">
        <v>64</v>
      </c>
      <c r="B167" s="13" t="s">
        <v>65</v>
      </c>
      <c r="C167" s="13" t="s">
        <v>66</v>
      </c>
      <c r="D167" s="13" t="s">
        <v>10</v>
      </c>
      <c r="E167" s="8">
        <v>41787</v>
      </c>
      <c r="F167" s="13" t="s">
        <v>67</v>
      </c>
      <c r="G167" s="13" t="s">
        <v>68</v>
      </c>
      <c r="H167" s="13" t="s">
        <v>69</v>
      </c>
      <c r="I167" s="13" t="s">
        <v>63</v>
      </c>
    </row>
    <row r="168" spans="1:9" ht="15.75" thickBot="1" x14ac:dyDescent="0.3">
      <c r="A168" s="18" t="s">
        <v>85</v>
      </c>
      <c r="B168" s="13" t="s">
        <v>86</v>
      </c>
      <c r="C168" s="13" t="s">
        <v>66</v>
      </c>
      <c r="D168" s="13" t="s">
        <v>87</v>
      </c>
      <c r="E168" s="8">
        <v>41091</v>
      </c>
      <c r="F168" s="13" t="s">
        <v>88</v>
      </c>
      <c r="G168" s="13" t="s">
        <v>89</v>
      </c>
      <c r="H168" s="13" t="s">
        <v>90</v>
      </c>
      <c r="I168" s="13" t="s">
        <v>63</v>
      </c>
    </row>
    <row r="169" spans="1:9" ht="15.75" thickBot="1" x14ac:dyDescent="0.3">
      <c r="A169" s="17" t="s">
        <v>57</v>
      </c>
      <c r="B169" s="13" t="s">
        <v>58</v>
      </c>
      <c r="C169" s="13" t="s">
        <v>2</v>
      </c>
      <c r="D169" s="13" t="s">
        <v>59</v>
      </c>
      <c r="E169" s="8">
        <v>41853</v>
      </c>
      <c r="F169" s="13" t="s">
        <v>60</v>
      </c>
      <c r="G169" s="13" t="s">
        <v>61</v>
      </c>
      <c r="H169" s="13" t="s">
        <v>62</v>
      </c>
      <c r="I169" s="13" t="s">
        <v>63</v>
      </c>
    </row>
    <row r="170" spans="1:9" ht="15.75" thickBot="1" x14ac:dyDescent="0.3">
      <c r="A170" s="17" t="s">
        <v>70</v>
      </c>
      <c r="B170" s="13" t="s">
        <v>71</v>
      </c>
      <c r="C170" s="13" t="s">
        <v>66</v>
      </c>
      <c r="D170" s="13" t="s">
        <v>59</v>
      </c>
      <c r="E170" s="8">
        <v>42271</v>
      </c>
      <c r="F170" s="13" t="s">
        <v>72</v>
      </c>
      <c r="G170" s="13" t="s">
        <v>73</v>
      </c>
      <c r="H170" s="13" t="s">
        <v>74</v>
      </c>
      <c r="I170" s="13" t="s">
        <v>63</v>
      </c>
    </row>
    <row r="171" spans="1:9" ht="15.75" thickBot="1" x14ac:dyDescent="0.3">
      <c r="A171" s="17" t="s">
        <v>80</v>
      </c>
      <c r="B171" s="13" t="s">
        <v>81</v>
      </c>
      <c r="C171" s="13" t="s">
        <v>2</v>
      </c>
      <c r="D171" s="13" t="s">
        <v>10</v>
      </c>
      <c r="E171" s="8">
        <v>40717</v>
      </c>
      <c r="F171" s="13" t="s">
        <v>82</v>
      </c>
      <c r="G171" s="13" t="s">
        <v>83</v>
      </c>
      <c r="H171" s="13" t="s">
        <v>84</v>
      </c>
      <c r="I171" s="13" t="s">
        <v>63</v>
      </c>
    </row>
    <row r="172" spans="1:9" ht="15.75" thickBot="1" x14ac:dyDescent="0.3">
      <c r="A172" s="18" t="s">
        <v>75</v>
      </c>
      <c r="B172" s="13" t="s">
        <v>76</v>
      </c>
      <c r="C172" s="13" t="s">
        <v>66</v>
      </c>
      <c r="D172" s="13" t="s">
        <v>59</v>
      </c>
      <c r="E172" s="8">
        <v>42339</v>
      </c>
      <c r="F172" s="13" t="s">
        <v>77</v>
      </c>
      <c r="G172" s="13" t="s">
        <v>78</v>
      </c>
      <c r="H172" s="13" t="s">
        <v>79</v>
      </c>
      <c r="I172" s="13" t="s">
        <v>63</v>
      </c>
    </row>
    <row r="173" spans="1:9" ht="15.75" thickBot="1" x14ac:dyDescent="0.3">
      <c r="A173" s="17" t="s">
        <v>0</v>
      </c>
      <c r="B173" s="13" t="s">
        <v>1</v>
      </c>
      <c r="C173" s="13" t="s">
        <v>2</v>
      </c>
      <c r="D173" s="13" t="s">
        <v>3</v>
      </c>
      <c r="E173" s="8">
        <v>40885</v>
      </c>
      <c r="F173" s="13" t="s">
        <v>4</v>
      </c>
      <c r="G173" s="13" t="s">
        <v>5</v>
      </c>
      <c r="H173" s="13" t="s">
        <v>6</v>
      </c>
      <c r="I173" s="13" t="s">
        <v>7</v>
      </c>
    </row>
    <row r="174" spans="1:9" ht="15.75" thickBot="1" x14ac:dyDescent="0.3">
      <c r="A174" s="17" t="s">
        <v>202</v>
      </c>
      <c r="B174" s="13" t="s">
        <v>203</v>
      </c>
      <c r="C174" s="13" t="s">
        <v>2</v>
      </c>
      <c r="D174" s="13" t="s">
        <v>204</v>
      </c>
      <c r="E174" s="8">
        <v>41794</v>
      </c>
      <c r="F174" s="13" t="s">
        <v>205</v>
      </c>
      <c r="G174" s="13" t="s">
        <v>206</v>
      </c>
      <c r="H174" s="13" t="s">
        <v>207</v>
      </c>
      <c r="I174" s="13" t="s">
        <v>208</v>
      </c>
    </row>
    <row r="175" spans="1:9" ht="15.75" thickBot="1" x14ac:dyDescent="0.3">
      <c r="A175" s="18" t="s">
        <v>343</v>
      </c>
      <c r="B175" s="13" t="s">
        <v>344</v>
      </c>
      <c r="C175" s="13" t="s">
        <v>66</v>
      </c>
      <c r="D175" s="13" t="s">
        <v>10</v>
      </c>
      <c r="E175" s="8">
        <v>43448</v>
      </c>
      <c r="F175" s="13" t="s">
        <v>345</v>
      </c>
      <c r="G175" s="13" t="s">
        <v>346</v>
      </c>
      <c r="H175" s="13" t="s">
        <v>347</v>
      </c>
      <c r="I175" s="13" t="s">
        <v>348</v>
      </c>
    </row>
    <row r="176" spans="1:9" x14ac:dyDescent="0.25">
      <c r="A176" s="20" t="s">
        <v>349</v>
      </c>
      <c r="B176" t="s">
        <v>350</v>
      </c>
      <c r="C176" t="s">
        <v>2</v>
      </c>
      <c r="D176" t="s">
        <v>10</v>
      </c>
      <c r="E176" s="8">
        <v>41951</v>
      </c>
      <c r="F176" t="s">
        <v>351</v>
      </c>
      <c r="G176" t="s">
        <v>184</v>
      </c>
      <c r="H176" t="s">
        <v>352</v>
      </c>
      <c r="I176" t="s">
        <v>1296</v>
      </c>
    </row>
    <row r="177" spans="1:11" x14ac:dyDescent="0.25">
      <c r="A177" s="20" t="s">
        <v>353</v>
      </c>
      <c r="B177" t="s">
        <v>354</v>
      </c>
      <c r="C177" t="s">
        <v>66</v>
      </c>
      <c r="D177" t="s">
        <v>10</v>
      </c>
      <c r="E177" s="8">
        <v>41756</v>
      </c>
      <c r="F177" t="s">
        <v>355</v>
      </c>
      <c r="G177" t="s">
        <v>356</v>
      </c>
      <c r="H177" t="s">
        <v>357</v>
      </c>
      <c r="I177" t="s">
        <v>14</v>
      </c>
      <c r="K177" s="4" t="s">
        <v>904</v>
      </c>
    </row>
    <row r="178" spans="1:11" x14ac:dyDescent="0.25">
      <c r="A178" s="20" t="s">
        <v>358</v>
      </c>
      <c r="B178" t="s">
        <v>359</v>
      </c>
      <c r="C178" t="s">
        <v>2</v>
      </c>
      <c r="D178" t="s">
        <v>28</v>
      </c>
      <c r="E178" s="8">
        <v>42489</v>
      </c>
      <c r="F178" t="s">
        <v>360</v>
      </c>
      <c r="G178" t="s">
        <v>361</v>
      </c>
      <c r="H178" t="s">
        <v>362</v>
      </c>
      <c r="I178" t="s">
        <v>1296</v>
      </c>
      <c r="K178" s="4" t="s">
        <v>390</v>
      </c>
    </row>
    <row r="179" spans="1:11" x14ac:dyDescent="0.25">
      <c r="A179" s="20" t="s">
        <v>363</v>
      </c>
      <c r="B179" t="s">
        <v>364</v>
      </c>
      <c r="C179" t="s">
        <v>2</v>
      </c>
      <c r="D179" t="s">
        <v>365</v>
      </c>
      <c r="E179" s="8">
        <v>42382</v>
      </c>
      <c r="F179" t="s">
        <v>366</v>
      </c>
      <c r="G179" t="s">
        <v>367</v>
      </c>
      <c r="H179" t="s">
        <v>368</v>
      </c>
      <c r="I179" t="s">
        <v>1296</v>
      </c>
    </row>
    <row r="180" spans="1:11" x14ac:dyDescent="0.25">
      <c r="A180" s="20" t="s">
        <v>369</v>
      </c>
      <c r="B180" t="s">
        <v>370</v>
      </c>
      <c r="C180" t="s">
        <v>2</v>
      </c>
      <c r="D180" t="s">
        <v>28</v>
      </c>
      <c r="E180" s="8">
        <v>41019</v>
      </c>
      <c r="F180" t="s">
        <v>371</v>
      </c>
      <c r="G180" t="s">
        <v>372</v>
      </c>
      <c r="H180" t="s">
        <v>373</v>
      </c>
      <c r="I180" t="s">
        <v>1296</v>
      </c>
    </row>
    <row r="181" spans="1:11" x14ac:dyDescent="0.25">
      <c r="A181" s="20" t="s">
        <v>374</v>
      </c>
      <c r="B181" t="s">
        <v>375</v>
      </c>
      <c r="C181" t="s">
        <v>2</v>
      </c>
      <c r="D181" t="s">
        <v>28</v>
      </c>
      <c r="E181" s="8">
        <v>42161</v>
      </c>
      <c r="F181" t="s">
        <v>376</v>
      </c>
      <c r="G181" t="s">
        <v>377</v>
      </c>
      <c r="H181" t="s">
        <v>378</v>
      </c>
      <c r="I181" t="s">
        <v>1296</v>
      </c>
    </row>
    <row r="182" spans="1:11" x14ac:dyDescent="0.25">
      <c r="A182" s="20" t="s">
        <v>379</v>
      </c>
      <c r="B182" t="s">
        <v>380</v>
      </c>
      <c r="C182" t="s">
        <v>2</v>
      </c>
      <c r="D182" t="s">
        <v>28</v>
      </c>
      <c r="E182" s="8">
        <v>41601</v>
      </c>
      <c r="F182" t="s">
        <v>381</v>
      </c>
      <c r="G182" t="s">
        <v>382</v>
      </c>
      <c r="H182" t="s">
        <v>383</v>
      </c>
      <c r="I182" t="s">
        <v>1296</v>
      </c>
    </row>
    <row r="183" spans="1:11" x14ac:dyDescent="0.25">
      <c r="A183" s="20" t="s">
        <v>384</v>
      </c>
      <c r="B183" t="s">
        <v>385</v>
      </c>
      <c r="C183" t="s">
        <v>2</v>
      </c>
      <c r="D183" t="s">
        <v>28</v>
      </c>
      <c r="E183" s="8">
        <v>41616</v>
      </c>
      <c r="F183" t="s">
        <v>386</v>
      </c>
      <c r="G183" t="s">
        <v>387</v>
      </c>
      <c r="H183" t="s">
        <v>388</v>
      </c>
      <c r="I183" t="s">
        <v>1296</v>
      </c>
    </row>
    <row r="184" spans="1:11" x14ac:dyDescent="0.25">
      <c r="A184" s="20" t="s">
        <v>391</v>
      </c>
      <c r="B184" t="s">
        <v>392</v>
      </c>
      <c r="C184" t="s">
        <v>2</v>
      </c>
      <c r="D184" t="s">
        <v>10</v>
      </c>
      <c r="E184" s="8">
        <v>41889</v>
      </c>
      <c r="F184" t="s">
        <v>393</v>
      </c>
      <c r="G184" t="s">
        <v>394</v>
      </c>
      <c r="H184" t="s">
        <v>395</v>
      </c>
      <c r="I184" t="s">
        <v>14</v>
      </c>
    </row>
    <row r="185" spans="1:11" x14ac:dyDescent="0.25">
      <c r="A185" s="20" t="s">
        <v>396</v>
      </c>
      <c r="B185" t="s">
        <v>397</v>
      </c>
      <c r="C185" t="s">
        <v>2</v>
      </c>
      <c r="D185" t="s">
        <v>10</v>
      </c>
      <c r="E185" s="8">
        <v>42591</v>
      </c>
      <c r="F185" t="s">
        <v>398</v>
      </c>
      <c r="G185" t="s">
        <v>399</v>
      </c>
      <c r="H185" t="s">
        <v>400</v>
      </c>
      <c r="I185" t="s">
        <v>14</v>
      </c>
    </row>
    <row r="186" spans="1:11" x14ac:dyDescent="0.25">
      <c r="A186" s="20" t="s">
        <v>401</v>
      </c>
      <c r="B186" t="s">
        <v>16</v>
      </c>
      <c r="C186" t="s">
        <v>2</v>
      </c>
      <c r="D186" t="s">
        <v>402</v>
      </c>
      <c r="E186" s="8">
        <v>41776</v>
      </c>
      <c r="F186" t="s">
        <v>403</v>
      </c>
      <c r="G186" t="s">
        <v>404</v>
      </c>
      <c r="H186" t="s">
        <v>405</v>
      </c>
      <c r="I186" t="s">
        <v>14</v>
      </c>
    </row>
    <row r="187" spans="1:11" x14ac:dyDescent="0.25">
      <c r="A187" s="20" t="s">
        <v>406</v>
      </c>
      <c r="B187" t="s">
        <v>407</v>
      </c>
      <c r="C187" t="s">
        <v>2</v>
      </c>
      <c r="D187" t="s">
        <v>10</v>
      </c>
      <c r="E187" s="8">
        <v>41776</v>
      </c>
      <c r="F187" t="s">
        <v>408</v>
      </c>
      <c r="G187" t="s">
        <v>409</v>
      </c>
      <c r="H187" t="s">
        <v>410</v>
      </c>
      <c r="I187" t="s">
        <v>14</v>
      </c>
    </row>
    <row r="188" spans="1:11" x14ac:dyDescent="0.25">
      <c r="A188" s="20" t="s">
        <v>411</v>
      </c>
      <c r="B188" t="s">
        <v>412</v>
      </c>
      <c r="C188" t="s">
        <v>2</v>
      </c>
      <c r="D188" t="s">
        <v>59</v>
      </c>
      <c r="E188" s="8">
        <v>41903</v>
      </c>
      <c r="F188" t="s">
        <v>413</v>
      </c>
      <c r="G188" t="s">
        <v>414</v>
      </c>
      <c r="H188" t="s">
        <v>415</v>
      </c>
      <c r="I188" t="s">
        <v>14</v>
      </c>
    </row>
    <row r="189" spans="1:11" x14ac:dyDescent="0.25">
      <c r="A189" s="20" t="s">
        <v>416</v>
      </c>
      <c r="B189" t="s">
        <v>417</v>
      </c>
      <c r="C189" t="s">
        <v>2</v>
      </c>
      <c r="D189" t="s">
        <v>28</v>
      </c>
      <c r="E189" s="8">
        <v>41702</v>
      </c>
      <c r="F189" t="s">
        <v>418</v>
      </c>
      <c r="G189" t="s">
        <v>419</v>
      </c>
      <c r="H189" t="s">
        <v>420</v>
      </c>
      <c r="I189" t="s">
        <v>14</v>
      </c>
    </row>
    <row r="190" spans="1:11" x14ac:dyDescent="0.25">
      <c r="A190" s="20" t="s">
        <v>421</v>
      </c>
      <c r="B190" t="s">
        <v>422</v>
      </c>
      <c r="C190" t="s">
        <v>2</v>
      </c>
      <c r="D190" t="s">
        <v>423</v>
      </c>
      <c r="E190" s="8">
        <v>41644</v>
      </c>
      <c r="F190" t="s">
        <v>297</v>
      </c>
      <c r="G190" t="s">
        <v>298</v>
      </c>
      <c r="H190" t="s">
        <v>424</v>
      </c>
      <c r="I190" t="s">
        <v>14</v>
      </c>
    </row>
    <row r="191" spans="1:11" x14ac:dyDescent="0.25">
      <c r="A191" s="20" t="s">
        <v>425</v>
      </c>
      <c r="B191" t="s">
        <v>426</v>
      </c>
      <c r="C191" t="s">
        <v>66</v>
      </c>
      <c r="D191" t="s">
        <v>28</v>
      </c>
      <c r="E191" s="8">
        <v>41634</v>
      </c>
      <c r="F191" t="s">
        <v>427</v>
      </c>
      <c r="G191" t="s">
        <v>428</v>
      </c>
      <c r="H191" t="s">
        <v>429</v>
      </c>
      <c r="I191" t="s">
        <v>1296</v>
      </c>
    </row>
    <row r="192" spans="1:11" x14ac:dyDescent="0.25">
      <c r="A192" s="20" t="s">
        <v>430</v>
      </c>
      <c r="B192" t="s">
        <v>431</v>
      </c>
      <c r="C192" t="s">
        <v>66</v>
      </c>
      <c r="D192" t="s">
        <v>10</v>
      </c>
      <c r="E192" s="8">
        <v>41619</v>
      </c>
      <c r="F192" t="s">
        <v>432</v>
      </c>
      <c r="G192" t="s">
        <v>433</v>
      </c>
      <c r="H192" t="s">
        <v>434</v>
      </c>
      <c r="I192" t="s">
        <v>435</v>
      </c>
    </row>
    <row r="193" spans="1:9" x14ac:dyDescent="0.25">
      <c r="A193" s="20" t="s">
        <v>436</v>
      </c>
      <c r="B193" t="s">
        <v>437</v>
      </c>
      <c r="C193" t="s">
        <v>66</v>
      </c>
      <c r="D193" t="s">
        <v>28</v>
      </c>
      <c r="E193" s="8">
        <v>41900</v>
      </c>
      <c r="F193" t="s">
        <v>438</v>
      </c>
      <c r="G193" t="s">
        <v>439</v>
      </c>
      <c r="H193" t="s">
        <v>440</v>
      </c>
      <c r="I193" t="s">
        <v>441</v>
      </c>
    </row>
    <row r="194" spans="1:9" x14ac:dyDescent="0.25">
      <c r="A194" s="20" t="s">
        <v>442</v>
      </c>
      <c r="B194" t="s">
        <v>443</v>
      </c>
      <c r="C194" t="s">
        <v>2</v>
      </c>
      <c r="D194" t="s">
        <v>315</v>
      </c>
      <c r="E194" s="8">
        <v>42181</v>
      </c>
      <c r="F194" t="s">
        <v>444</v>
      </c>
      <c r="G194" t="s">
        <v>194</v>
      </c>
      <c r="H194" t="s">
        <v>445</v>
      </c>
      <c r="I194" t="s">
        <v>14</v>
      </c>
    </row>
    <row r="195" spans="1:9" x14ac:dyDescent="0.25">
      <c r="A195" s="20" t="s">
        <v>446</v>
      </c>
      <c r="B195" t="s">
        <v>447</v>
      </c>
      <c r="C195" t="s">
        <v>2</v>
      </c>
      <c r="D195" t="s">
        <v>10</v>
      </c>
      <c r="E195" s="8">
        <v>42404</v>
      </c>
      <c r="F195" t="s">
        <v>448</v>
      </c>
      <c r="G195" t="s">
        <v>449</v>
      </c>
      <c r="H195" t="s">
        <v>450</v>
      </c>
      <c r="I195" t="s">
        <v>268</v>
      </c>
    </row>
    <row r="196" spans="1:9" x14ac:dyDescent="0.25">
      <c r="A196" s="20" t="s">
        <v>451</v>
      </c>
      <c r="B196" t="s">
        <v>452</v>
      </c>
      <c r="C196" t="s">
        <v>2</v>
      </c>
      <c r="D196" t="s">
        <v>453</v>
      </c>
      <c r="E196" s="8">
        <v>42703</v>
      </c>
      <c r="F196" t="s">
        <v>454</v>
      </c>
      <c r="G196" t="s">
        <v>455</v>
      </c>
      <c r="H196" t="s">
        <v>456</v>
      </c>
      <c r="I196" t="s">
        <v>457</v>
      </c>
    </row>
    <row r="197" spans="1:9" x14ac:dyDescent="0.25">
      <c r="A197" s="20" t="s">
        <v>458</v>
      </c>
      <c r="B197" t="s">
        <v>459</v>
      </c>
      <c r="C197" t="s">
        <v>2</v>
      </c>
      <c r="D197" t="s">
        <v>28</v>
      </c>
      <c r="E197" s="8">
        <v>41599</v>
      </c>
      <c r="F197" t="s">
        <v>460</v>
      </c>
      <c r="G197" t="s">
        <v>461</v>
      </c>
      <c r="H197" t="s">
        <v>462</v>
      </c>
      <c r="I197" t="s">
        <v>14</v>
      </c>
    </row>
    <row r="198" spans="1:9" x14ac:dyDescent="0.25">
      <c r="A198" s="20" t="s">
        <v>463</v>
      </c>
      <c r="B198" t="s">
        <v>464</v>
      </c>
      <c r="C198" t="s">
        <v>2</v>
      </c>
      <c r="D198" t="s">
        <v>28</v>
      </c>
      <c r="E198" s="8">
        <v>42256</v>
      </c>
      <c r="F198" t="s">
        <v>465</v>
      </c>
      <c r="G198" t="s">
        <v>466</v>
      </c>
      <c r="H198" t="s">
        <v>467</v>
      </c>
      <c r="I198" t="s">
        <v>14</v>
      </c>
    </row>
    <row r="199" spans="1:9" x14ac:dyDescent="0.25">
      <c r="A199" s="20" t="s">
        <v>468</v>
      </c>
      <c r="B199" t="s">
        <v>469</v>
      </c>
      <c r="C199" t="s">
        <v>2</v>
      </c>
      <c r="D199" t="s">
        <v>28</v>
      </c>
      <c r="E199" s="8">
        <v>41513</v>
      </c>
      <c r="F199" t="s">
        <v>470</v>
      </c>
      <c r="G199" t="s">
        <v>471</v>
      </c>
      <c r="H199" t="s">
        <v>472</v>
      </c>
      <c r="I199" t="s">
        <v>473</v>
      </c>
    </row>
    <row r="200" spans="1:9" x14ac:dyDescent="0.25">
      <c r="A200" s="20" t="s">
        <v>474</v>
      </c>
      <c r="B200" t="s">
        <v>475</v>
      </c>
      <c r="C200" t="s">
        <v>2</v>
      </c>
      <c r="D200" t="s">
        <v>28</v>
      </c>
      <c r="E200" s="8">
        <v>41600</v>
      </c>
      <c r="F200" t="s">
        <v>476</v>
      </c>
      <c r="G200" t="s">
        <v>477</v>
      </c>
      <c r="H200" t="s">
        <v>478</v>
      </c>
      <c r="I200" t="s">
        <v>268</v>
      </c>
    </row>
    <row r="201" spans="1:9" x14ac:dyDescent="0.25">
      <c r="A201" s="20" t="s">
        <v>479</v>
      </c>
      <c r="B201" t="s">
        <v>480</v>
      </c>
      <c r="C201" t="s">
        <v>66</v>
      </c>
      <c r="D201" t="s">
        <v>10</v>
      </c>
      <c r="E201" s="8">
        <v>41779</v>
      </c>
      <c r="F201" t="s">
        <v>481</v>
      </c>
      <c r="G201" t="s">
        <v>482</v>
      </c>
      <c r="H201" t="s">
        <v>483</v>
      </c>
      <c r="I201" t="s">
        <v>484</v>
      </c>
    </row>
    <row r="202" spans="1:9" x14ac:dyDescent="0.25">
      <c r="A202" s="20" t="s">
        <v>485</v>
      </c>
      <c r="B202" t="s">
        <v>486</v>
      </c>
      <c r="C202" t="s">
        <v>2</v>
      </c>
      <c r="D202" t="s">
        <v>10</v>
      </c>
      <c r="E202" s="8">
        <v>42134</v>
      </c>
      <c r="F202" t="s">
        <v>487</v>
      </c>
      <c r="G202" t="s">
        <v>488</v>
      </c>
      <c r="H202" t="s">
        <v>489</v>
      </c>
      <c r="I202" t="s">
        <v>490</v>
      </c>
    </row>
    <row r="203" spans="1:9" x14ac:dyDescent="0.25">
      <c r="A203" s="20" t="s">
        <v>491</v>
      </c>
      <c r="B203" t="s">
        <v>492</v>
      </c>
      <c r="C203" t="s">
        <v>66</v>
      </c>
      <c r="D203" t="s">
        <v>10</v>
      </c>
      <c r="E203" s="8">
        <v>41917</v>
      </c>
      <c r="F203" t="s">
        <v>493</v>
      </c>
      <c r="G203" t="s">
        <v>494</v>
      </c>
      <c r="H203" t="s">
        <v>495</v>
      </c>
      <c r="I203" t="s">
        <v>490</v>
      </c>
    </row>
    <row r="204" spans="1:9" x14ac:dyDescent="0.25">
      <c r="A204" s="20" t="s">
        <v>496</v>
      </c>
      <c r="B204" t="s">
        <v>497</v>
      </c>
      <c r="C204" t="s">
        <v>66</v>
      </c>
      <c r="D204" t="s">
        <v>365</v>
      </c>
      <c r="E204" s="8">
        <v>41407</v>
      </c>
      <c r="F204" t="s">
        <v>498</v>
      </c>
      <c r="G204" t="s">
        <v>499</v>
      </c>
      <c r="H204" t="s">
        <v>500</v>
      </c>
      <c r="I204" t="s">
        <v>1452</v>
      </c>
    </row>
    <row r="205" spans="1:9" x14ac:dyDescent="0.25">
      <c r="A205" s="20" t="s">
        <v>501</v>
      </c>
      <c r="B205" t="s">
        <v>502</v>
      </c>
      <c r="C205" t="s">
        <v>66</v>
      </c>
      <c r="D205" t="s">
        <v>10</v>
      </c>
      <c r="E205" s="8">
        <v>41708</v>
      </c>
      <c r="F205" t="s">
        <v>503</v>
      </c>
      <c r="G205" t="s">
        <v>504</v>
      </c>
      <c r="H205" t="s">
        <v>505</v>
      </c>
      <c r="I205" t="s">
        <v>490</v>
      </c>
    </row>
    <row r="206" spans="1:9" x14ac:dyDescent="0.25">
      <c r="A206" s="20" t="s">
        <v>506</v>
      </c>
      <c r="B206" t="s">
        <v>507</v>
      </c>
      <c r="C206" t="s">
        <v>2</v>
      </c>
      <c r="D206" t="s">
        <v>116</v>
      </c>
      <c r="E206" s="8">
        <v>42541</v>
      </c>
      <c r="F206" t="s">
        <v>508</v>
      </c>
      <c r="G206" t="s">
        <v>509</v>
      </c>
      <c r="H206" t="s">
        <v>510</v>
      </c>
      <c r="I206" t="s">
        <v>511</v>
      </c>
    </row>
    <row r="207" spans="1:9" x14ac:dyDescent="0.25">
      <c r="A207" s="20" t="s">
        <v>512</v>
      </c>
      <c r="B207" t="s">
        <v>513</v>
      </c>
      <c r="C207" t="s">
        <v>66</v>
      </c>
      <c r="D207" t="s">
        <v>204</v>
      </c>
      <c r="E207" s="8">
        <v>41841</v>
      </c>
      <c r="F207" t="s">
        <v>514</v>
      </c>
      <c r="G207" t="s">
        <v>515</v>
      </c>
      <c r="H207" t="s">
        <v>516</v>
      </c>
      <c r="I207" t="s">
        <v>1467</v>
      </c>
    </row>
    <row r="208" spans="1:9" x14ac:dyDescent="0.25">
      <c r="A208" s="20" t="s">
        <v>517</v>
      </c>
      <c r="B208" t="s">
        <v>518</v>
      </c>
      <c r="C208" t="s">
        <v>66</v>
      </c>
      <c r="D208" t="s">
        <v>10</v>
      </c>
      <c r="E208" s="8">
        <v>41762</v>
      </c>
      <c r="F208" t="s">
        <v>519</v>
      </c>
      <c r="G208" t="s">
        <v>520</v>
      </c>
      <c r="H208" t="s">
        <v>521</v>
      </c>
      <c r="I208" t="s">
        <v>1467</v>
      </c>
    </row>
    <row r="209" spans="1:9" x14ac:dyDescent="0.25">
      <c r="A209" s="20" t="s">
        <v>522</v>
      </c>
      <c r="B209" t="s">
        <v>523</v>
      </c>
      <c r="C209" t="s">
        <v>2</v>
      </c>
      <c r="D209" t="s">
        <v>402</v>
      </c>
      <c r="E209" s="8">
        <v>41460</v>
      </c>
      <c r="F209" t="s">
        <v>524</v>
      </c>
      <c r="G209" t="s">
        <v>525</v>
      </c>
      <c r="H209" t="s">
        <v>526</v>
      </c>
      <c r="I209" t="s">
        <v>268</v>
      </c>
    </row>
    <row r="210" spans="1:9" x14ac:dyDescent="0.25">
      <c r="A210" s="20" t="s">
        <v>527</v>
      </c>
      <c r="B210" t="s">
        <v>528</v>
      </c>
      <c r="C210" t="s">
        <v>66</v>
      </c>
      <c r="D210" t="s">
        <v>28</v>
      </c>
      <c r="E210" s="8">
        <v>42087</v>
      </c>
      <c r="F210" t="s">
        <v>529</v>
      </c>
      <c r="G210" t="s">
        <v>530</v>
      </c>
      <c r="H210" t="s">
        <v>531</v>
      </c>
      <c r="I210" t="s">
        <v>1467</v>
      </c>
    </row>
    <row r="211" spans="1:9" x14ac:dyDescent="0.25">
      <c r="A211" s="20" t="s">
        <v>532</v>
      </c>
      <c r="B211" t="s">
        <v>533</v>
      </c>
      <c r="C211" t="s">
        <v>2</v>
      </c>
      <c r="D211" t="s">
        <v>204</v>
      </c>
      <c r="E211" s="8">
        <v>41871</v>
      </c>
      <c r="F211" t="s">
        <v>534</v>
      </c>
      <c r="G211" t="s">
        <v>535</v>
      </c>
      <c r="H211" t="s">
        <v>536</v>
      </c>
      <c r="I211" t="s">
        <v>1296</v>
      </c>
    </row>
    <row r="212" spans="1:9" x14ac:dyDescent="0.25">
      <c r="A212" s="20" t="s">
        <v>537</v>
      </c>
      <c r="B212" t="s">
        <v>538</v>
      </c>
      <c r="C212" t="s">
        <v>66</v>
      </c>
      <c r="D212" t="s">
        <v>28</v>
      </c>
      <c r="E212" s="8">
        <v>41895</v>
      </c>
      <c r="F212" t="s">
        <v>539</v>
      </c>
      <c r="G212" t="s">
        <v>540</v>
      </c>
      <c r="H212" t="s">
        <v>541</v>
      </c>
      <c r="I212" t="s">
        <v>1483</v>
      </c>
    </row>
    <row r="213" spans="1:9" x14ac:dyDescent="0.25">
      <c r="A213" s="20" t="s">
        <v>542</v>
      </c>
      <c r="B213" t="s">
        <v>475</v>
      </c>
      <c r="C213" t="s">
        <v>2</v>
      </c>
      <c r="D213" t="s">
        <v>10</v>
      </c>
      <c r="E213" s="8">
        <v>41600</v>
      </c>
      <c r="F213" t="s">
        <v>476</v>
      </c>
      <c r="G213" t="s">
        <v>543</v>
      </c>
      <c r="H213" t="s">
        <v>544</v>
      </c>
      <c r="I213" t="s">
        <v>268</v>
      </c>
    </row>
    <row r="214" spans="1:9" x14ac:dyDescent="0.25">
      <c r="A214" s="20" t="s">
        <v>545</v>
      </c>
      <c r="B214" t="s">
        <v>546</v>
      </c>
      <c r="C214" t="s">
        <v>2</v>
      </c>
      <c r="D214" t="s">
        <v>28</v>
      </c>
      <c r="E214" s="8">
        <v>43177</v>
      </c>
      <c r="F214" t="s">
        <v>547</v>
      </c>
      <c r="G214" t="s">
        <v>548</v>
      </c>
      <c r="H214" t="s">
        <v>549</v>
      </c>
      <c r="I214" t="s">
        <v>550</v>
      </c>
    </row>
    <row r="215" spans="1:9" x14ac:dyDescent="0.25">
      <c r="A215" s="20" t="s">
        <v>551</v>
      </c>
      <c r="B215" t="s">
        <v>552</v>
      </c>
      <c r="C215" t="s">
        <v>66</v>
      </c>
      <c r="D215" t="s">
        <v>553</v>
      </c>
      <c r="E215" s="8">
        <v>41574</v>
      </c>
      <c r="F215" t="s">
        <v>554</v>
      </c>
      <c r="G215" t="s">
        <v>555</v>
      </c>
      <c r="H215" t="s">
        <v>556</v>
      </c>
      <c r="I215" t="s">
        <v>1493</v>
      </c>
    </row>
    <row r="216" spans="1:9" x14ac:dyDescent="0.25">
      <c r="A216" s="20" t="s">
        <v>557</v>
      </c>
      <c r="B216" t="s">
        <v>558</v>
      </c>
      <c r="C216" t="s">
        <v>2</v>
      </c>
      <c r="D216" t="s">
        <v>10</v>
      </c>
      <c r="E216" s="8">
        <v>42141</v>
      </c>
      <c r="F216" t="s">
        <v>559</v>
      </c>
      <c r="G216" t="s">
        <v>560</v>
      </c>
      <c r="H216" t="s">
        <v>561</v>
      </c>
      <c r="I216" t="s">
        <v>1497</v>
      </c>
    </row>
    <row r="217" spans="1:9" x14ac:dyDescent="0.25">
      <c r="A217" s="20" t="s">
        <v>562</v>
      </c>
      <c r="B217" t="s">
        <v>563</v>
      </c>
      <c r="C217" t="s">
        <v>2</v>
      </c>
      <c r="D217" t="s">
        <v>10</v>
      </c>
      <c r="E217" s="8">
        <v>42621</v>
      </c>
      <c r="F217" t="s">
        <v>564</v>
      </c>
      <c r="G217" t="s">
        <v>565</v>
      </c>
      <c r="H217" t="s">
        <v>566</v>
      </c>
      <c r="I217" t="s">
        <v>567</v>
      </c>
    </row>
    <row r="218" spans="1:9" x14ac:dyDescent="0.25">
      <c r="A218" s="20" t="s">
        <v>568</v>
      </c>
      <c r="B218" t="s">
        <v>569</v>
      </c>
      <c r="C218" t="s">
        <v>2</v>
      </c>
      <c r="D218" t="s">
        <v>10</v>
      </c>
      <c r="E218" s="8">
        <v>42412</v>
      </c>
      <c r="F218" t="s">
        <v>570</v>
      </c>
      <c r="G218" t="s">
        <v>571</v>
      </c>
      <c r="H218" t="s">
        <v>572</v>
      </c>
      <c r="I218" t="s">
        <v>567</v>
      </c>
    </row>
    <row r="219" spans="1:9" x14ac:dyDescent="0.25">
      <c r="A219" s="20" t="s">
        <v>573</v>
      </c>
      <c r="B219" t="s">
        <v>574</v>
      </c>
      <c r="C219" t="s">
        <v>2</v>
      </c>
      <c r="D219" t="s">
        <v>10</v>
      </c>
      <c r="E219" s="8">
        <v>42543</v>
      </c>
      <c r="F219" t="s">
        <v>575</v>
      </c>
      <c r="G219" t="s">
        <v>576</v>
      </c>
      <c r="H219" t="s">
        <v>577</v>
      </c>
      <c r="I219" t="s">
        <v>567</v>
      </c>
    </row>
    <row r="220" spans="1:9" x14ac:dyDescent="0.25">
      <c r="A220" s="20" t="s">
        <v>573</v>
      </c>
      <c r="B220" t="s">
        <v>578</v>
      </c>
      <c r="C220" t="s">
        <v>66</v>
      </c>
      <c r="D220" t="s">
        <v>579</v>
      </c>
      <c r="E220" s="8">
        <v>40834</v>
      </c>
      <c r="F220" t="s">
        <v>580</v>
      </c>
      <c r="G220" t="s">
        <v>581</v>
      </c>
      <c r="H220" t="s">
        <v>577</v>
      </c>
      <c r="I220" t="s">
        <v>567</v>
      </c>
    </row>
    <row r="221" spans="1:9" x14ac:dyDescent="0.25">
      <c r="A221" s="20" t="s">
        <v>582</v>
      </c>
      <c r="B221" t="s">
        <v>583</v>
      </c>
      <c r="C221" t="s">
        <v>66</v>
      </c>
      <c r="D221" t="s">
        <v>28</v>
      </c>
      <c r="E221" s="8">
        <v>41261</v>
      </c>
      <c r="F221" t="s">
        <v>584</v>
      </c>
      <c r="G221" t="s">
        <v>585</v>
      </c>
      <c r="H221" t="s">
        <v>586</v>
      </c>
      <c r="I221" t="s">
        <v>567</v>
      </c>
    </row>
    <row r="222" spans="1:9" x14ac:dyDescent="0.25">
      <c r="A222" s="20" t="s">
        <v>587</v>
      </c>
      <c r="B222" t="s">
        <v>588</v>
      </c>
      <c r="C222" t="s">
        <v>66</v>
      </c>
      <c r="D222" t="s">
        <v>589</v>
      </c>
      <c r="E222" s="8">
        <v>41607</v>
      </c>
      <c r="F222" t="s">
        <v>590</v>
      </c>
      <c r="G222" t="s">
        <v>591</v>
      </c>
      <c r="H222" t="s">
        <v>592</v>
      </c>
      <c r="I222" t="s">
        <v>593</v>
      </c>
    </row>
    <row r="223" spans="1:9" x14ac:dyDescent="0.25">
      <c r="A223" s="20" t="s">
        <v>594</v>
      </c>
      <c r="B223" t="s">
        <v>595</v>
      </c>
      <c r="C223" t="s">
        <v>66</v>
      </c>
      <c r="D223" t="s">
        <v>10</v>
      </c>
      <c r="E223" s="8">
        <v>40625</v>
      </c>
      <c r="F223" t="s">
        <v>596</v>
      </c>
      <c r="G223" t="s">
        <v>597</v>
      </c>
      <c r="H223" t="s">
        <v>598</v>
      </c>
      <c r="I223" t="s">
        <v>319</v>
      </c>
    </row>
    <row r="224" spans="1:9" x14ac:dyDescent="0.25">
      <c r="A224" s="20" t="s">
        <v>599</v>
      </c>
      <c r="B224" t="s">
        <v>600</v>
      </c>
      <c r="C224" t="s">
        <v>2</v>
      </c>
      <c r="D224" t="s">
        <v>10</v>
      </c>
      <c r="E224" s="8">
        <v>42646</v>
      </c>
      <c r="F224" t="s">
        <v>601</v>
      </c>
      <c r="G224" t="s">
        <v>602</v>
      </c>
      <c r="H224" t="s">
        <v>603</v>
      </c>
      <c r="I224" t="s">
        <v>268</v>
      </c>
    </row>
    <row r="225" spans="1:9" x14ac:dyDescent="0.25">
      <c r="A225" s="20" t="s">
        <v>604</v>
      </c>
      <c r="B225" t="s">
        <v>605</v>
      </c>
      <c r="C225" t="s">
        <v>66</v>
      </c>
      <c r="D225" t="s">
        <v>10</v>
      </c>
      <c r="E225" s="8">
        <v>42627</v>
      </c>
      <c r="F225" t="s">
        <v>606</v>
      </c>
      <c r="G225" t="s">
        <v>607</v>
      </c>
      <c r="H225" t="s">
        <v>608</v>
      </c>
      <c r="I225" t="s">
        <v>609</v>
      </c>
    </row>
    <row r="226" spans="1:9" x14ac:dyDescent="0.25">
      <c r="A226" s="20" t="s">
        <v>610</v>
      </c>
      <c r="B226" t="s">
        <v>611</v>
      </c>
      <c r="C226" t="s">
        <v>66</v>
      </c>
      <c r="D226" t="s">
        <v>10</v>
      </c>
      <c r="E226" s="8">
        <v>42499</v>
      </c>
      <c r="F226" t="s">
        <v>612</v>
      </c>
      <c r="G226" t="s">
        <v>613</v>
      </c>
      <c r="H226" t="s">
        <v>614</v>
      </c>
      <c r="I226" t="s">
        <v>609</v>
      </c>
    </row>
    <row r="227" spans="1:9" x14ac:dyDescent="0.25">
      <c r="A227" s="20" t="s">
        <v>615</v>
      </c>
      <c r="B227" t="s">
        <v>616</v>
      </c>
      <c r="C227" t="s">
        <v>66</v>
      </c>
      <c r="D227" t="s">
        <v>28</v>
      </c>
      <c r="E227" s="8">
        <v>41586</v>
      </c>
      <c r="F227" t="s">
        <v>376</v>
      </c>
      <c r="G227" t="s">
        <v>377</v>
      </c>
      <c r="H227" t="s">
        <v>617</v>
      </c>
      <c r="I227" t="s">
        <v>1493</v>
      </c>
    </row>
    <row r="228" spans="1:9" x14ac:dyDescent="0.25">
      <c r="A228" s="20" t="s">
        <v>618</v>
      </c>
      <c r="B228" t="s">
        <v>619</v>
      </c>
      <c r="C228" t="s">
        <v>66</v>
      </c>
      <c r="D228" t="s">
        <v>10</v>
      </c>
      <c r="E228" s="8">
        <v>42694</v>
      </c>
      <c r="F228" t="s">
        <v>620</v>
      </c>
      <c r="G228" t="s">
        <v>621</v>
      </c>
      <c r="H228" t="s">
        <v>622</v>
      </c>
      <c r="I228" t="s">
        <v>609</v>
      </c>
    </row>
    <row r="229" spans="1:9" x14ac:dyDescent="0.25">
      <c r="A229" s="20" t="s">
        <v>623</v>
      </c>
      <c r="B229" t="s">
        <v>624</v>
      </c>
      <c r="C229" t="s">
        <v>2</v>
      </c>
      <c r="D229" t="s">
        <v>10</v>
      </c>
      <c r="E229" s="8">
        <v>42252</v>
      </c>
      <c r="F229" t="s">
        <v>625</v>
      </c>
      <c r="G229" t="s">
        <v>626</v>
      </c>
      <c r="H229" t="s">
        <v>627</v>
      </c>
      <c r="I229" t="s">
        <v>609</v>
      </c>
    </row>
    <row r="230" spans="1:9" x14ac:dyDescent="0.25">
      <c r="A230" s="20" t="s">
        <v>628</v>
      </c>
      <c r="B230" t="s">
        <v>629</v>
      </c>
      <c r="C230" t="s">
        <v>2</v>
      </c>
      <c r="D230" t="s">
        <v>10</v>
      </c>
      <c r="E230" s="8">
        <v>42138</v>
      </c>
      <c r="F230" t="s">
        <v>630</v>
      </c>
      <c r="G230" t="s">
        <v>631</v>
      </c>
      <c r="H230" t="s">
        <v>632</v>
      </c>
      <c r="I230" t="s">
        <v>609</v>
      </c>
    </row>
    <row r="231" spans="1:9" x14ac:dyDescent="0.25">
      <c r="A231" s="20" t="s">
        <v>633</v>
      </c>
      <c r="B231" t="s">
        <v>634</v>
      </c>
      <c r="C231" t="s">
        <v>2</v>
      </c>
      <c r="D231" t="s">
        <v>10</v>
      </c>
      <c r="E231" s="8">
        <v>42640</v>
      </c>
      <c r="F231" t="s">
        <v>635</v>
      </c>
      <c r="G231" t="s">
        <v>636</v>
      </c>
      <c r="H231" t="s">
        <v>637</v>
      </c>
      <c r="I231" t="s">
        <v>609</v>
      </c>
    </row>
    <row r="232" spans="1:9" x14ac:dyDescent="0.25">
      <c r="A232" s="20" t="s">
        <v>638</v>
      </c>
      <c r="B232" t="s">
        <v>639</v>
      </c>
      <c r="C232" t="s">
        <v>66</v>
      </c>
      <c r="D232" t="s">
        <v>10</v>
      </c>
      <c r="E232" s="8">
        <v>41933</v>
      </c>
      <c r="F232" t="s">
        <v>640</v>
      </c>
      <c r="G232" t="s">
        <v>641</v>
      </c>
      <c r="H232" t="s">
        <v>642</v>
      </c>
      <c r="I232" t="s">
        <v>609</v>
      </c>
    </row>
    <row r="233" spans="1:9" x14ac:dyDescent="0.25">
      <c r="A233" s="20" t="s">
        <v>643</v>
      </c>
      <c r="B233" t="s">
        <v>644</v>
      </c>
      <c r="C233" t="s">
        <v>66</v>
      </c>
      <c r="D233" t="s">
        <v>10</v>
      </c>
      <c r="E233" s="8">
        <v>42465</v>
      </c>
      <c r="F233" t="s">
        <v>645</v>
      </c>
      <c r="G233" t="s">
        <v>646</v>
      </c>
      <c r="H233" t="s">
        <v>647</v>
      </c>
      <c r="I233" t="s">
        <v>609</v>
      </c>
    </row>
    <row r="234" spans="1:9" x14ac:dyDescent="0.25">
      <c r="A234" s="20" t="s">
        <v>648</v>
      </c>
      <c r="B234" t="s">
        <v>649</v>
      </c>
      <c r="C234" t="s">
        <v>2</v>
      </c>
      <c r="D234" t="s">
        <v>10</v>
      </c>
      <c r="E234" s="8">
        <v>42642</v>
      </c>
      <c r="F234" t="s">
        <v>650</v>
      </c>
      <c r="G234" t="s">
        <v>651</v>
      </c>
      <c r="H234" t="s">
        <v>652</v>
      </c>
      <c r="I234" t="s">
        <v>609</v>
      </c>
    </row>
    <row r="235" spans="1:9" x14ac:dyDescent="0.25">
      <c r="A235" s="20" t="s">
        <v>648</v>
      </c>
      <c r="B235" t="s">
        <v>653</v>
      </c>
      <c r="C235" t="s">
        <v>2</v>
      </c>
      <c r="D235" t="s">
        <v>10</v>
      </c>
      <c r="E235" s="8">
        <v>42056</v>
      </c>
      <c r="F235" t="s">
        <v>654</v>
      </c>
      <c r="G235" t="s">
        <v>655</v>
      </c>
      <c r="H235" t="s">
        <v>652</v>
      </c>
      <c r="I235" t="s">
        <v>609</v>
      </c>
    </row>
    <row r="236" spans="1:9" x14ac:dyDescent="0.25">
      <c r="A236" s="20" t="s">
        <v>656</v>
      </c>
      <c r="B236" t="s">
        <v>657</v>
      </c>
      <c r="C236" t="s">
        <v>66</v>
      </c>
      <c r="D236" t="s">
        <v>10</v>
      </c>
      <c r="E236" s="8">
        <v>43172</v>
      </c>
      <c r="F236" t="s">
        <v>658</v>
      </c>
      <c r="G236" t="s">
        <v>659</v>
      </c>
      <c r="H236" t="s">
        <v>660</v>
      </c>
      <c r="I236" t="s">
        <v>609</v>
      </c>
    </row>
    <row r="237" spans="1:9" x14ac:dyDescent="0.25">
      <c r="A237" s="20" t="s">
        <v>661</v>
      </c>
      <c r="B237" t="s">
        <v>662</v>
      </c>
      <c r="C237" t="s">
        <v>2</v>
      </c>
      <c r="D237" t="s">
        <v>10</v>
      </c>
      <c r="E237" s="8">
        <v>42792</v>
      </c>
      <c r="F237" t="s">
        <v>663</v>
      </c>
      <c r="G237" t="s">
        <v>664</v>
      </c>
      <c r="H237" t="s">
        <v>665</v>
      </c>
      <c r="I237" t="s">
        <v>609</v>
      </c>
    </row>
    <row r="238" spans="1:9" x14ac:dyDescent="0.25">
      <c r="A238" s="20" t="s">
        <v>666</v>
      </c>
      <c r="B238" t="s">
        <v>667</v>
      </c>
      <c r="C238" t="s">
        <v>2</v>
      </c>
      <c r="D238" t="s">
        <v>28</v>
      </c>
      <c r="E238" s="8">
        <v>42464</v>
      </c>
      <c r="F238" t="s">
        <v>668</v>
      </c>
      <c r="G238" t="s">
        <v>669</v>
      </c>
      <c r="H238" t="s">
        <v>670</v>
      </c>
      <c r="I238" t="s">
        <v>671</v>
      </c>
    </row>
    <row r="239" spans="1:9" x14ac:dyDescent="0.25">
      <c r="A239" s="20" t="s">
        <v>672</v>
      </c>
      <c r="B239" t="s">
        <v>673</v>
      </c>
      <c r="C239" t="s">
        <v>2</v>
      </c>
      <c r="D239" t="s">
        <v>28</v>
      </c>
      <c r="E239" s="8">
        <v>42683</v>
      </c>
      <c r="F239" t="s">
        <v>674</v>
      </c>
      <c r="G239" t="s">
        <v>675</v>
      </c>
      <c r="H239" t="s">
        <v>676</v>
      </c>
      <c r="I239" t="s">
        <v>677</v>
      </c>
    </row>
    <row r="240" spans="1:9" x14ac:dyDescent="0.25">
      <c r="A240" s="20" t="s">
        <v>678</v>
      </c>
      <c r="B240" t="s">
        <v>679</v>
      </c>
      <c r="C240" t="s">
        <v>2</v>
      </c>
      <c r="D240" t="s">
        <v>365</v>
      </c>
      <c r="E240" s="8">
        <v>42773</v>
      </c>
      <c r="F240" t="s">
        <v>680</v>
      </c>
      <c r="G240" t="s">
        <v>681</v>
      </c>
      <c r="H240" t="s">
        <v>682</v>
      </c>
      <c r="I240" t="s">
        <v>677</v>
      </c>
    </row>
    <row r="241" spans="1:9" x14ac:dyDescent="0.25">
      <c r="A241" s="20" t="s">
        <v>683</v>
      </c>
      <c r="B241" t="s">
        <v>684</v>
      </c>
      <c r="C241" t="s">
        <v>66</v>
      </c>
      <c r="D241" t="s">
        <v>10</v>
      </c>
      <c r="E241" s="8">
        <v>42555</v>
      </c>
      <c r="F241" t="s">
        <v>685</v>
      </c>
      <c r="G241" t="s">
        <v>686</v>
      </c>
      <c r="H241" t="s">
        <v>687</v>
      </c>
      <c r="I241" t="s">
        <v>609</v>
      </c>
    </row>
    <row r="242" spans="1:9" x14ac:dyDescent="0.25">
      <c r="A242" s="20" t="s">
        <v>688</v>
      </c>
      <c r="B242" t="s">
        <v>689</v>
      </c>
      <c r="C242" t="s">
        <v>2</v>
      </c>
      <c r="D242" t="s">
        <v>59</v>
      </c>
      <c r="E242" s="8">
        <v>42689</v>
      </c>
      <c r="F242" t="s">
        <v>690</v>
      </c>
      <c r="G242" t="s">
        <v>691</v>
      </c>
      <c r="H242" t="s">
        <v>692</v>
      </c>
      <c r="I242" t="s">
        <v>677</v>
      </c>
    </row>
    <row r="243" spans="1:9" x14ac:dyDescent="0.25">
      <c r="A243" s="20" t="s">
        <v>693</v>
      </c>
      <c r="B243" t="s">
        <v>694</v>
      </c>
      <c r="C243" t="s">
        <v>2</v>
      </c>
      <c r="D243" t="s">
        <v>695</v>
      </c>
      <c r="E243" s="8">
        <v>41905</v>
      </c>
      <c r="F243" t="s">
        <v>696</v>
      </c>
      <c r="G243" t="s">
        <v>697</v>
      </c>
      <c r="H243" t="s">
        <v>698</v>
      </c>
      <c r="I243" t="s">
        <v>699</v>
      </c>
    </row>
    <row r="244" spans="1:9" x14ac:dyDescent="0.25">
      <c r="A244" s="20" t="s">
        <v>700</v>
      </c>
      <c r="B244" t="s">
        <v>701</v>
      </c>
      <c r="C244" t="s">
        <v>2</v>
      </c>
      <c r="D244" t="s">
        <v>10</v>
      </c>
      <c r="E244" s="8">
        <v>42950</v>
      </c>
      <c r="F244" t="s">
        <v>702</v>
      </c>
      <c r="G244" t="s">
        <v>703</v>
      </c>
      <c r="H244" t="s">
        <v>704</v>
      </c>
      <c r="I244" t="s">
        <v>677</v>
      </c>
    </row>
    <row r="245" spans="1:9" x14ac:dyDescent="0.25">
      <c r="A245" s="20" t="s">
        <v>705</v>
      </c>
      <c r="B245" t="s">
        <v>706</v>
      </c>
      <c r="C245" t="s">
        <v>2</v>
      </c>
      <c r="D245" t="s">
        <v>10</v>
      </c>
      <c r="E245" s="8">
        <v>42855</v>
      </c>
      <c r="F245" t="s">
        <v>707</v>
      </c>
      <c r="G245" t="s">
        <v>708</v>
      </c>
      <c r="H245" t="s">
        <v>709</v>
      </c>
      <c r="I245" t="s">
        <v>677</v>
      </c>
    </row>
    <row r="246" spans="1:9" x14ac:dyDescent="0.25">
      <c r="A246" s="20" t="s">
        <v>710</v>
      </c>
      <c r="B246" t="s">
        <v>711</v>
      </c>
      <c r="C246" t="s">
        <v>66</v>
      </c>
      <c r="D246" t="s">
        <v>10</v>
      </c>
      <c r="E246" s="8">
        <v>42884</v>
      </c>
      <c r="F246" t="s">
        <v>712</v>
      </c>
      <c r="G246" t="s">
        <v>713</v>
      </c>
      <c r="H246" t="s">
        <v>714</v>
      </c>
      <c r="I246" t="s">
        <v>677</v>
      </c>
    </row>
    <row r="247" spans="1:9" x14ac:dyDescent="0.25">
      <c r="A247" s="20" t="s">
        <v>715</v>
      </c>
      <c r="B247" t="s">
        <v>716</v>
      </c>
      <c r="C247" t="s">
        <v>2</v>
      </c>
      <c r="D247" t="s">
        <v>10</v>
      </c>
      <c r="E247" s="8">
        <v>42948</v>
      </c>
      <c r="F247" t="s">
        <v>717</v>
      </c>
      <c r="G247" t="s">
        <v>718</v>
      </c>
      <c r="H247" t="s">
        <v>719</v>
      </c>
      <c r="I247" t="s">
        <v>677</v>
      </c>
    </row>
    <row r="248" spans="1:9" x14ac:dyDescent="0.25">
      <c r="A248" s="20" t="s">
        <v>720</v>
      </c>
      <c r="B248" t="s">
        <v>721</v>
      </c>
      <c r="C248" t="s">
        <v>2</v>
      </c>
      <c r="D248" t="s">
        <v>28</v>
      </c>
      <c r="E248" s="8">
        <v>41969</v>
      </c>
      <c r="F248" t="s">
        <v>722</v>
      </c>
      <c r="G248" t="s">
        <v>723</v>
      </c>
      <c r="H248" t="s">
        <v>724</v>
      </c>
      <c r="I248" t="s">
        <v>725</v>
      </c>
    </row>
    <row r="249" spans="1:9" x14ac:dyDescent="0.25">
      <c r="A249" s="20" t="s">
        <v>726</v>
      </c>
      <c r="B249" t="s">
        <v>727</v>
      </c>
      <c r="C249" t="s">
        <v>728</v>
      </c>
      <c r="D249" t="s">
        <v>28</v>
      </c>
      <c r="E249" s="8">
        <v>42316</v>
      </c>
      <c r="F249" t="s">
        <v>729</v>
      </c>
      <c r="G249" t="s">
        <v>730</v>
      </c>
      <c r="H249" t="s">
        <v>731</v>
      </c>
      <c r="I249" t="s">
        <v>725</v>
      </c>
    </row>
    <row r="250" spans="1:9" x14ac:dyDescent="0.25">
      <c r="A250" s="20" t="s">
        <v>732</v>
      </c>
      <c r="B250" t="s">
        <v>733</v>
      </c>
      <c r="C250" t="s">
        <v>2</v>
      </c>
      <c r="D250" t="s">
        <v>28</v>
      </c>
      <c r="E250" s="8">
        <v>42702</v>
      </c>
      <c r="F250" t="s">
        <v>734</v>
      </c>
      <c r="G250" t="s">
        <v>735</v>
      </c>
      <c r="H250" t="s">
        <v>736</v>
      </c>
      <c r="I250" t="s">
        <v>677</v>
      </c>
    </row>
    <row r="251" spans="1:9" x14ac:dyDescent="0.25">
      <c r="A251" s="20" t="s">
        <v>737</v>
      </c>
      <c r="B251" t="s">
        <v>738</v>
      </c>
      <c r="C251" t="s">
        <v>66</v>
      </c>
      <c r="D251" t="s">
        <v>10</v>
      </c>
      <c r="E251" s="8">
        <v>43228</v>
      </c>
      <c r="F251" t="s">
        <v>739</v>
      </c>
      <c r="G251" t="s">
        <v>740</v>
      </c>
      <c r="H251" t="s">
        <v>741</v>
      </c>
      <c r="I251" t="s">
        <v>742</v>
      </c>
    </row>
    <row r="252" spans="1:9" x14ac:dyDescent="0.25">
      <c r="A252" s="20" t="s">
        <v>743</v>
      </c>
      <c r="B252" t="s">
        <v>744</v>
      </c>
      <c r="C252" t="s">
        <v>2</v>
      </c>
      <c r="D252" t="s">
        <v>28</v>
      </c>
      <c r="E252" s="8">
        <v>41824</v>
      </c>
      <c r="F252" t="s">
        <v>745</v>
      </c>
      <c r="G252" t="s">
        <v>746</v>
      </c>
      <c r="H252" t="s">
        <v>747</v>
      </c>
      <c r="I252" t="s">
        <v>725</v>
      </c>
    </row>
    <row r="253" spans="1:9" x14ac:dyDescent="0.25">
      <c r="A253" s="20" t="s">
        <v>748</v>
      </c>
      <c r="B253" t="s">
        <v>749</v>
      </c>
      <c r="C253" t="s">
        <v>66</v>
      </c>
      <c r="D253" t="s">
        <v>28</v>
      </c>
      <c r="E253" s="8">
        <v>42478</v>
      </c>
      <c r="F253" t="s">
        <v>750</v>
      </c>
      <c r="G253" t="s">
        <v>751</v>
      </c>
      <c r="H253" t="s">
        <v>752</v>
      </c>
      <c r="I253" t="s">
        <v>753</v>
      </c>
    </row>
    <row r="254" spans="1:9" x14ac:dyDescent="0.25">
      <c r="A254" s="20" t="s">
        <v>754</v>
      </c>
      <c r="B254" t="s">
        <v>755</v>
      </c>
      <c r="C254" t="s">
        <v>66</v>
      </c>
      <c r="D254" t="s">
        <v>10</v>
      </c>
      <c r="E254" s="8">
        <v>41860</v>
      </c>
      <c r="F254" t="s">
        <v>756</v>
      </c>
      <c r="G254" t="s">
        <v>757</v>
      </c>
      <c r="H254" t="s">
        <v>758</v>
      </c>
      <c r="I254" t="s">
        <v>435</v>
      </c>
    </row>
    <row r="255" spans="1:9" x14ac:dyDescent="0.25">
      <c r="A255" s="20" t="s">
        <v>759</v>
      </c>
      <c r="B255" t="s">
        <v>760</v>
      </c>
      <c r="C255" t="s">
        <v>2</v>
      </c>
      <c r="D255" t="s">
        <v>10</v>
      </c>
      <c r="E255" s="8">
        <v>42697</v>
      </c>
      <c r="F255" t="s">
        <v>761</v>
      </c>
      <c r="G255" t="s">
        <v>762</v>
      </c>
      <c r="H255" t="s">
        <v>763</v>
      </c>
      <c r="I255" t="s">
        <v>435</v>
      </c>
    </row>
    <row r="256" spans="1:9" x14ac:dyDescent="0.25">
      <c r="A256" s="20" t="s">
        <v>764</v>
      </c>
      <c r="B256" t="s">
        <v>765</v>
      </c>
      <c r="C256" t="s">
        <v>2</v>
      </c>
      <c r="D256" t="s">
        <v>10</v>
      </c>
      <c r="E256" s="8">
        <v>42049</v>
      </c>
      <c r="F256" t="s">
        <v>766</v>
      </c>
      <c r="G256" t="s">
        <v>767</v>
      </c>
      <c r="H256" t="s">
        <v>768</v>
      </c>
      <c r="I256" t="s">
        <v>435</v>
      </c>
    </row>
    <row r="257" spans="1:9" x14ac:dyDescent="0.25">
      <c r="A257" s="20" t="s">
        <v>769</v>
      </c>
      <c r="B257" t="s">
        <v>770</v>
      </c>
      <c r="C257" t="s">
        <v>2</v>
      </c>
      <c r="D257" t="s">
        <v>10</v>
      </c>
      <c r="E257" s="8">
        <v>41953</v>
      </c>
      <c r="F257" t="s">
        <v>771</v>
      </c>
      <c r="G257" t="s">
        <v>772</v>
      </c>
      <c r="H257" t="s">
        <v>773</v>
      </c>
      <c r="I257" t="s">
        <v>435</v>
      </c>
    </row>
    <row r="258" spans="1:9" x14ac:dyDescent="0.25">
      <c r="A258" s="20" t="s">
        <v>774</v>
      </c>
      <c r="B258" t="s">
        <v>775</v>
      </c>
      <c r="C258" t="s">
        <v>66</v>
      </c>
      <c r="D258" t="s">
        <v>10</v>
      </c>
      <c r="E258" s="8">
        <v>46000</v>
      </c>
      <c r="F258" t="s">
        <v>776</v>
      </c>
      <c r="G258" t="s">
        <v>777</v>
      </c>
      <c r="H258" t="s">
        <v>778</v>
      </c>
      <c r="I258" t="s">
        <v>435</v>
      </c>
    </row>
    <row r="259" spans="1:9" x14ac:dyDescent="0.25">
      <c r="A259" s="20" t="s">
        <v>779</v>
      </c>
      <c r="B259" t="s">
        <v>780</v>
      </c>
      <c r="C259" t="s">
        <v>2</v>
      </c>
      <c r="D259" t="s">
        <v>10</v>
      </c>
      <c r="E259" s="8">
        <v>43091</v>
      </c>
      <c r="F259" t="s">
        <v>781</v>
      </c>
      <c r="G259" t="s">
        <v>782</v>
      </c>
      <c r="H259" t="s">
        <v>783</v>
      </c>
      <c r="I259" t="s">
        <v>725</v>
      </c>
    </row>
    <row r="260" spans="1:9" x14ac:dyDescent="0.25">
      <c r="A260" s="20" t="s">
        <v>784</v>
      </c>
      <c r="B260" t="s">
        <v>785</v>
      </c>
      <c r="C260" t="s">
        <v>66</v>
      </c>
      <c r="D260" t="s">
        <v>10</v>
      </c>
      <c r="E260" s="8">
        <v>41682</v>
      </c>
      <c r="F260" t="s">
        <v>786</v>
      </c>
      <c r="G260" t="s">
        <v>787</v>
      </c>
      <c r="H260" t="s">
        <v>788</v>
      </c>
      <c r="I260" t="s">
        <v>435</v>
      </c>
    </row>
    <row r="261" spans="1:9" x14ac:dyDescent="0.25">
      <c r="A261" s="20" t="s">
        <v>789</v>
      </c>
      <c r="B261" t="s">
        <v>790</v>
      </c>
      <c r="C261" t="s">
        <v>66</v>
      </c>
      <c r="D261" t="s">
        <v>10</v>
      </c>
      <c r="E261" s="8">
        <v>42228</v>
      </c>
      <c r="F261" t="s">
        <v>791</v>
      </c>
      <c r="G261" t="s">
        <v>792</v>
      </c>
      <c r="H261" t="s">
        <v>793</v>
      </c>
      <c r="I261" t="s">
        <v>435</v>
      </c>
    </row>
    <row r="262" spans="1:9" x14ac:dyDescent="0.25">
      <c r="A262" s="20" t="s">
        <v>794</v>
      </c>
      <c r="B262" t="s">
        <v>795</v>
      </c>
      <c r="C262" t="s">
        <v>2</v>
      </c>
      <c r="D262" t="s">
        <v>10</v>
      </c>
      <c r="E262" s="8">
        <v>42977</v>
      </c>
      <c r="F262" t="s">
        <v>796</v>
      </c>
      <c r="G262" t="s">
        <v>797</v>
      </c>
      <c r="H262" t="s">
        <v>798</v>
      </c>
      <c r="I262" t="s">
        <v>725</v>
      </c>
    </row>
    <row r="263" spans="1:9" x14ac:dyDescent="0.25">
      <c r="A263" s="20" t="s">
        <v>799</v>
      </c>
      <c r="B263" t="s">
        <v>785</v>
      </c>
      <c r="C263" t="s">
        <v>66</v>
      </c>
      <c r="D263" t="s">
        <v>10</v>
      </c>
      <c r="E263" s="8">
        <v>41682</v>
      </c>
      <c r="F263" t="s">
        <v>786</v>
      </c>
      <c r="G263" t="s">
        <v>787</v>
      </c>
      <c r="H263" t="s">
        <v>800</v>
      </c>
      <c r="I263" t="s">
        <v>435</v>
      </c>
    </row>
    <row r="264" spans="1:9" x14ac:dyDescent="0.25">
      <c r="A264" s="20" t="s">
        <v>801</v>
      </c>
      <c r="B264" t="s">
        <v>790</v>
      </c>
      <c r="C264" t="s">
        <v>66</v>
      </c>
      <c r="D264" t="s">
        <v>10</v>
      </c>
      <c r="E264" s="8">
        <v>42228</v>
      </c>
      <c r="F264" t="s">
        <v>791</v>
      </c>
      <c r="G264" t="s">
        <v>792</v>
      </c>
      <c r="H264" t="s">
        <v>802</v>
      </c>
      <c r="I264" t="s">
        <v>435</v>
      </c>
    </row>
    <row r="265" spans="1:9" x14ac:dyDescent="0.25">
      <c r="A265" s="20" t="s">
        <v>803</v>
      </c>
      <c r="B265" t="s">
        <v>804</v>
      </c>
      <c r="C265" t="s">
        <v>2</v>
      </c>
      <c r="D265" t="s">
        <v>10</v>
      </c>
      <c r="E265" s="8">
        <v>41602</v>
      </c>
      <c r="F265" t="s">
        <v>805</v>
      </c>
      <c r="G265" t="s">
        <v>806</v>
      </c>
      <c r="H265" t="s">
        <v>807</v>
      </c>
      <c r="I265" t="s">
        <v>435</v>
      </c>
    </row>
    <row r="266" spans="1:9" x14ac:dyDescent="0.25">
      <c r="A266" s="20" t="s">
        <v>808</v>
      </c>
      <c r="B266" t="s">
        <v>809</v>
      </c>
      <c r="C266" t="s">
        <v>2</v>
      </c>
      <c r="D266" t="s">
        <v>10</v>
      </c>
      <c r="E266" s="8">
        <v>41632</v>
      </c>
      <c r="F266" t="s">
        <v>810</v>
      </c>
      <c r="G266" t="s">
        <v>811</v>
      </c>
      <c r="H266" t="s">
        <v>812</v>
      </c>
      <c r="I266" t="s">
        <v>699</v>
      </c>
    </row>
    <row r="267" spans="1:9" x14ac:dyDescent="0.25">
      <c r="A267" s="20" t="s">
        <v>813</v>
      </c>
      <c r="B267" t="s">
        <v>814</v>
      </c>
      <c r="C267" t="s">
        <v>2</v>
      </c>
      <c r="D267" t="s">
        <v>815</v>
      </c>
      <c r="E267" s="8">
        <v>42005</v>
      </c>
      <c r="F267" t="s">
        <v>816</v>
      </c>
      <c r="G267" t="s">
        <v>817</v>
      </c>
      <c r="H267" t="s">
        <v>818</v>
      </c>
      <c r="I267" t="s">
        <v>699</v>
      </c>
    </row>
    <row r="268" spans="1:9" x14ac:dyDescent="0.25">
      <c r="A268" s="20" t="s">
        <v>819</v>
      </c>
      <c r="B268" t="s">
        <v>820</v>
      </c>
      <c r="C268" t="s">
        <v>2</v>
      </c>
      <c r="D268" t="s">
        <v>10</v>
      </c>
      <c r="E268" s="8">
        <v>42102</v>
      </c>
      <c r="F268" t="s">
        <v>821</v>
      </c>
      <c r="G268" t="s">
        <v>822</v>
      </c>
      <c r="H268" t="s">
        <v>823</v>
      </c>
      <c r="I268" t="s">
        <v>435</v>
      </c>
    </row>
    <row r="269" spans="1:9" x14ac:dyDescent="0.25">
      <c r="A269" s="20" t="s">
        <v>824</v>
      </c>
      <c r="B269" t="s">
        <v>825</v>
      </c>
      <c r="C269" t="s">
        <v>2</v>
      </c>
      <c r="D269" t="s">
        <v>10</v>
      </c>
      <c r="E269" s="8">
        <v>41714</v>
      </c>
      <c r="F269" t="s">
        <v>826</v>
      </c>
      <c r="G269" t="s">
        <v>827</v>
      </c>
      <c r="H269" t="s">
        <v>828</v>
      </c>
      <c r="I269" t="s">
        <v>609</v>
      </c>
    </row>
    <row r="270" spans="1:9" x14ac:dyDescent="0.25">
      <c r="A270" s="20" t="s">
        <v>829</v>
      </c>
      <c r="B270" t="s">
        <v>830</v>
      </c>
      <c r="C270" t="s">
        <v>2</v>
      </c>
      <c r="D270" t="s">
        <v>402</v>
      </c>
      <c r="E270" s="8">
        <v>42101</v>
      </c>
      <c r="F270" t="s">
        <v>831</v>
      </c>
      <c r="G270" t="s">
        <v>832</v>
      </c>
      <c r="H270" t="s">
        <v>833</v>
      </c>
      <c r="I270" t="s">
        <v>435</v>
      </c>
    </row>
    <row r="271" spans="1:9" x14ac:dyDescent="0.25">
      <c r="A271" s="20" t="s">
        <v>834</v>
      </c>
      <c r="B271" t="s">
        <v>835</v>
      </c>
      <c r="C271" t="s">
        <v>2</v>
      </c>
      <c r="D271" t="s">
        <v>10</v>
      </c>
      <c r="E271" s="8">
        <v>42233</v>
      </c>
      <c r="F271" t="s">
        <v>836</v>
      </c>
      <c r="G271" t="s">
        <v>837</v>
      </c>
      <c r="H271" t="s">
        <v>838</v>
      </c>
      <c r="I271" t="s">
        <v>435</v>
      </c>
    </row>
    <row r="272" spans="1:9" x14ac:dyDescent="0.25">
      <c r="A272" s="20" t="s">
        <v>839</v>
      </c>
      <c r="B272" t="s">
        <v>840</v>
      </c>
      <c r="C272" t="s">
        <v>2</v>
      </c>
      <c r="D272" t="s">
        <v>10</v>
      </c>
      <c r="E272" s="8">
        <v>42101</v>
      </c>
      <c r="F272" t="s">
        <v>841</v>
      </c>
      <c r="G272" t="s">
        <v>842</v>
      </c>
      <c r="H272" t="s">
        <v>843</v>
      </c>
      <c r="I272" t="s">
        <v>435</v>
      </c>
    </row>
    <row r="273" spans="1:9" x14ac:dyDescent="0.25">
      <c r="A273" s="20" t="s">
        <v>844</v>
      </c>
      <c r="B273" t="s">
        <v>845</v>
      </c>
      <c r="C273" t="s">
        <v>2</v>
      </c>
      <c r="D273" t="s">
        <v>10</v>
      </c>
      <c r="E273" s="8">
        <v>41548</v>
      </c>
      <c r="F273" t="s">
        <v>846</v>
      </c>
      <c r="G273" t="s">
        <v>847</v>
      </c>
      <c r="H273" t="s">
        <v>848</v>
      </c>
      <c r="I273" t="s">
        <v>484</v>
      </c>
    </row>
    <row r="274" spans="1:9" x14ac:dyDescent="0.25">
      <c r="A274" s="20" t="s">
        <v>849</v>
      </c>
      <c r="B274" t="s">
        <v>850</v>
      </c>
      <c r="C274" t="s">
        <v>2</v>
      </c>
      <c r="D274" t="s">
        <v>10</v>
      </c>
      <c r="E274" s="8">
        <v>41531</v>
      </c>
      <c r="F274" t="s">
        <v>851</v>
      </c>
      <c r="G274" t="s">
        <v>852</v>
      </c>
      <c r="H274" t="s">
        <v>853</v>
      </c>
      <c r="I274" t="s">
        <v>854</v>
      </c>
    </row>
    <row r="275" spans="1:9" x14ac:dyDescent="0.25">
      <c r="A275" s="20" t="s">
        <v>855</v>
      </c>
      <c r="B275" t="s">
        <v>856</v>
      </c>
      <c r="C275" t="s">
        <v>2</v>
      </c>
      <c r="D275" t="s">
        <v>204</v>
      </c>
      <c r="E275" s="8">
        <v>42456</v>
      </c>
      <c r="F275" t="s">
        <v>857</v>
      </c>
      <c r="G275" t="s">
        <v>858</v>
      </c>
      <c r="H275" t="s">
        <v>859</v>
      </c>
      <c r="I275" t="s">
        <v>342</v>
      </c>
    </row>
    <row r="276" spans="1:9" x14ac:dyDescent="0.25">
      <c r="A276" s="20" t="s">
        <v>860</v>
      </c>
      <c r="B276" t="s">
        <v>861</v>
      </c>
      <c r="C276" t="s">
        <v>66</v>
      </c>
      <c r="D276" t="s">
        <v>28</v>
      </c>
      <c r="E276" s="8">
        <v>42220</v>
      </c>
      <c r="F276" t="s">
        <v>862</v>
      </c>
      <c r="G276" t="s">
        <v>863</v>
      </c>
      <c r="H276" t="s">
        <v>864</v>
      </c>
      <c r="I276" t="s">
        <v>435</v>
      </c>
    </row>
    <row r="277" spans="1:9" x14ac:dyDescent="0.25">
      <c r="A277" s="20" t="s">
        <v>865</v>
      </c>
      <c r="B277" t="s">
        <v>866</v>
      </c>
      <c r="C277" t="s">
        <v>2</v>
      </c>
      <c r="D277" t="s">
        <v>10</v>
      </c>
      <c r="E277" s="8">
        <v>42267</v>
      </c>
      <c r="F277" t="s">
        <v>867</v>
      </c>
      <c r="G277" t="s">
        <v>868</v>
      </c>
      <c r="H277" t="s">
        <v>869</v>
      </c>
      <c r="I277" t="s">
        <v>435</v>
      </c>
    </row>
    <row r="278" spans="1:9" x14ac:dyDescent="0.25">
      <c r="A278" s="20" t="s">
        <v>870</v>
      </c>
      <c r="B278" t="s">
        <v>871</v>
      </c>
      <c r="C278" t="s">
        <v>2</v>
      </c>
      <c r="D278" t="s">
        <v>10</v>
      </c>
      <c r="E278" s="8">
        <v>42921</v>
      </c>
      <c r="F278" t="s">
        <v>872</v>
      </c>
      <c r="G278" t="s">
        <v>873</v>
      </c>
      <c r="H278" t="s">
        <v>874</v>
      </c>
      <c r="I278" t="s">
        <v>567</v>
      </c>
    </row>
    <row r="279" spans="1:9" x14ac:dyDescent="0.25">
      <c r="A279" s="20" t="s">
        <v>875</v>
      </c>
      <c r="B279" t="s">
        <v>876</v>
      </c>
      <c r="C279" t="s">
        <v>2</v>
      </c>
      <c r="D279" t="s">
        <v>10</v>
      </c>
      <c r="E279" s="8">
        <v>45935</v>
      </c>
      <c r="F279" t="s">
        <v>877</v>
      </c>
      <c r="G279" t="s">
        <v>878</v>
      </c>
      <c r="H279" t="s">
        <v>879</v>
      </c>
      <c r="I279" t="s">
        <v>484</v>
      </c>
    </row>
    <row r="280" spans="1:9" x14ac:dyDescent="0.25">
      <c r="A280" s="20" t="s">
        <v>880</v>
      </c>
      <c r="B280" t="s">
        <v>881</v>
      </c>
      <c r="C280" t="s">
        <v>2</v>
      </c>
      <c r="D280" t="s">
        <v>10</v>
      </c>
      <c r="E280" s="8">
        <v>42066</v>
      </c>
      <c r="F280" t="s">
        <v>882</v>
      </c>
      <c r="G280" t="s">
        <v>883</v>
      </c>
      <c r="H280" t="s">
        <v>884</v>
      </c>
      <c r="I280" t="s">
        <v>699</v>
      </c>
    </row>
    <row r="281" spans="1:9" x14ac:dyDescent="0.25">
      <c r="A281" s="20" t="s">
        <v>885</v>
      </c>
      <c r="B281" t="s">
        <v>886</v>
      </c>
      <c r="C281" t="s">
        <v>2</v>
      </c>
      <c r="D281" t="s">
        <v>10</v>
      </c>
      <c r="E281" s="8">
        <v>41552</v>
      </c>
      <c r="F281" t="s">
        <v>887</v>
      </c>
      <c r="G281" t="s">
        <v>878</v>
      </c>
      <c r="H281" t="s">
        <v>888</v>
      </c>
      <c r="I281" t="s">
        <v>484</v>
      </c>
    </row>
    <row r="282" spans="1:9" x14ac:dyDescent="0.25">
      <c r="A282" s="20" t="s">
        <v>889</v>
      </c>
      <c r="B282" t="s">
        <v>890</v>
      </c>
      <c r="C282" t="s">
        <v>66</v>
      </c>
      <c r="D282" t="s">
        <v>10</v>
      </c>
      <c r="E282" s="8">
        <v>41752</v>
      </c>
      <c r="F282" t="s">
        <v>891</v>
      </c>
      <c r="G282" t="s">
        <v>892</v>
      </c>
      <c r="H282" t="s">
        <v>893</v>
      </c>
      <c r="I282" t="s">
        <v>484</v>
      </c>
    </row>
    <row r="283" spans="1:9" x14ac:dyDescent="0.25">
      <c r="A283" s="20" t="s">
        <v>894</v>
      </c>
      <c r="B283" t="s">
        <v>890</v>
      </c>
      <c r="C283" t="s">
        <v>66</v>
      </c>
      <c r="D283" t="s">
        <v>10</v>
      </c>
      <c r="E283" s="8">
        <v>41752</v>
      </c>
      <c r="F283" t="s">
        <v>891</v>
      </c>
      <c r="G283" t="s">
        <v>895</v>
      </c>
      <c r="H283" t="s">
        <v>896</v>
      </c>
      <c r="I283" t="s">
        <v>484</v>
      </c>
    </row>
    <row r="284" spans="1:9" x14ac:dyDescent="0.25">
      <c r="A284" s="20" t="s">
        <v>897</v>
      </c>
      <c r="B284" t="s">
        <v>898</v>
      </c>
      <c r="C284" t="s">
        <v>66</v>
      </c>
      <c r="D284" t="s">
        <v>28</v>
      </c>
      <c r="E284" s="8">
        <v>42228</v>
      </c>
      <c r="F284" t="s">
        <v>899</v>
      </c>
      <c r="G284" t="s">
        <v>900</v>
      </c>
      <c r="H284" t="s">
        <v>901</v>
      </c>
      <c r="I284" t="s">
        <v>435</v>
      </c>
    </row>
    <row r="285" spans="1:9" x14ac:dyDescent="0.25">
      <c r="A285" s="20" t="s">
        <v>1991</v>
      </c>
      <c r="B285" t="s">
        <v>1986</v>
      </c>
      <c r="C285" t="s">
        <v>66</v>
      </c>
      <c r="D285" t="s">
        <v>10</v>
      </c>
      <c r="E285" s="8">
        <v>45992</v>
      </c>
      <c r="F285" t="s">
        <v>1987</v>
      </c>
      <c r="G285" t="s">
        <v>1988</v>
      </c>
      <c r="H285" t="s">
        <v>3166</v>
      </c>
      <c r="I285" t="s">
        <v>342</v>
      </c>
    </row>
    <row r="286" spans="1:9" x14ac:dyDescent="0.25">
      <c r="A286" s="20" t="s">
        <v>1996</v>
      </c>
      <c r="B286" t="s">
        <v>1228</v>
      </c>
      <c r="C286" t="s">
        <v>66</v>
      </c>
      <c r="D286" t="s">
        <v>10</v>
      </c>
      <c r="E286" s="8">
        <v>45937</v>
      </c>
      <c r="F286" t="s">
        <v>1987</v>
      </c>
      <c r="G286" t="s">
        <v>1988</v>
      </c>
      <c r="H286" t="s">
        <v>3167</v>
      </c>
      <c r="I286" t="s">
        <v>1993</v>
      </c>
    </row>
    <row r="287" spans="1:9" x14ac:dyDescent="0.25">
      <c r="A287" s="20" t="s">
        <v>1999</v>
      </c>
      <c r="B287" t="s">
        <v>1228</v>
      </c>
      <c r="C287" t="s">
        <v>66</v>
      </c>
      <c r="D287" t="s">
        <v>10</v>
      </c>
      <c r="E287" s="8">
        <v>41618</v>
      </c>
      <c r="F287" t="s">
        <v>1987</v>
      </c>
      <c r="G287" t="s">
        <v>1988</v>
      </c>
      <c r="H287" t="s">
        <v>3168</v>
      </c>
      <c r="I287" t="s">
        <v>342</v>
      </c>
    </row>
    <row r="288" spans="1:9" x14ac:dyDescent="0.25">
      <c r="A288" s="20" t="s">
        <v>2003</v>
      </c>
      <c r="B288" t="s">
        <v>898</v>
      </c>
      <c r="C288" t="s">
        <v>66</v>
      </c>
      <c r="D288" t="s">
        <v>28</v>
      </c>
      <c r="E288" s="8">
        <v>42346</v>
      </c>
      <c r="F288" t="s">
        <v>899</v>
      </c>
      <c r="G288" t="s">
        <v>900</v>
      </c>
      <c r="H288" t="s">
        <v>3169</v>
      </c>
      <c r="I288" t="s">
        <v>435</v>
      </c>
    </row>
    <row r="289" spans="1:9" x14ac:dyDescent="0.25">
      <c r="A289" s="20" t="s">
        <v>2006</v>
      </c>
      <c r="B289" t="s">
        <v>856</v>
      </c>
      <c r="C289" t="s">
        <v>2</v>
      </c>
      <c r="D289" t="s">
        <v>204</v>
      </c>
      <c r="E289" s="8">
        <v>42456</v>
      </c>
      <c r="F289" t="s">
        <v>857</v>
      </c>
      <c r="G289" t="s">
        <v>858</v>
      </c>
      <c r="H289" t="s">
        <v>3170</v>
      </c>
      <c r="I289" t="s">
        <v>342</v>
      </c>
    </row>
    <row r="290" spans="1:9" x14ac:dyDescent="0.25">
      <c r="A290" s="20" t="s">
        <v>2014</v>
      </c>
      <c r="B290" t="s">
        <v>2009</v>
      </c>
      <c r="C290" t="s">
        <v>2</v>
      </c>
      <c r="D290" t="s">
        <v>28</v>
      </c>
      <c r="E290" s="8">
        <v>42131</v>
      </c>
      <c r="F290" t="s">
        <v>2010</v>
      </c>
      <c r="G290" t="s">
        <v>2011</v>
      </c>
      <c r="H290" t="s">
        <v>3171</v>
      </c>
      <c r="I290" t="s">
        <v>2008</v>
      </c>
    </row>
    <row r="291" spans="1:9" x14ac:dyDescent="0.25">
      <c r="A291" s="20" t="s">
        <v>2021</v>
      </c>
      <c r="B291" t="s">
        <v>2016</v>
      </c>
      <c r="C291" t="s">
        <v>66</v>
      </c>
      <c r="D291" t="s">
        <v>10</v>
      </c>
      <c r="E291" s="8">
        <v>42460</v>
      </c>
      <c r="F291" t="s">
        <v>2017</v>
      </c>
      <c r="G291" t="s">
        <v>2018</v>
      </c>
      <c r="H291" t="s">
        <v>3172</v>
      </c>
      <c r="I291" t="s">
        <v>441</v>
      </c>
    </row>
    <row r="292" spans="1:9" x14ac:dyDescent="0.25">
      <c r="A292" s="20" t="s">
        <v>2027</v>
      </c>
      <c r="B292" t="s">
        <v>2023</v>
      </c>
      <c r="C292" t="s">
        <v>66</v>
      </c>
      <c r="D292" t="s">
        <v>10</v>
      </c>
      <c r="E292" s="8">
        <v>42294</v>
      </c>
      <c r="F292" t="s">
        <v>2024</v>
      </c>
      <c r="G292" t="s">
        <v>2025</v>
      </c>
      <c r="H292" t="s">
        <v>3173</v>
      </c>
      <c r="I292" t="s">
        <v>441</v>
      </c>
    </row>
    <row r="293" spans="1:9" x14ac:dyDescent="0.25">
      <c r="A293" s="20" t="s">
        <v>2034</v>
      </c>
      <c r="B293" t="s">
        <v>2030</v>
      </c>
      <c r="C293" t="s">
        <v>66</v>
      </c>
      <c r="D293" t="s">
        <v>10</v>
      </c>
      <c r="E293" s="8">
        <v>42746</v>
      </c>
      <c r="F293" t="s">
        <v>2031</v>
      </c>
      <c r="G293" t="s">
        <v>2032</v>
      </c>
      <c r="H293" t="s">
        <v>3174</v>
      </c>
      <c r="I293" t="s">
        <v>441</v>
      </c>
    </row>
    <row r="294" spans="1:9" x14ac:dyDescent="0.25">
      <c r="A294" s="20" t="s">
        <v>2039</v>
      </c>
      <c r="B294" t="s">
        <v>2036</v>
      </c>
      <c r="C294" t="s">
        <v>2</v>
      </c>
      <c r="D294" t="s">
        <v>2037</v>
      </c>
      <c r="E294" s="8">
        <v>46017</v>
      </c>
      <c r="F294" t="s">
        <v>1964</v>
      </c>
      <c r="G294" t="s">
        <v>1965</v>
      </c>
      <c r="H294" t="s">
        <v>3175</v>
      </c>
      <c r="I294" t="s">
        <v>484</v>
      </c>
    </row>
    <row r="295" spans="1:9" x14ac:dyDescent="0.25">
      <c r="A295" s="20" t="s">
        <v>2051</v>
      </c>
      <c r="B295" t="s">
        <v>2047</v>
      </c>
      <c r="C295" t="s">
        <v>2</v>
      </c>
      <c r="D295" t="s">
        <v>59</v>
      </c>
      <c r="E295" s="8">
        <v>42358</v>
      </c>
      <c r="F295" t="s">
        <v>2048</v>
      </c>
      <c r="G295" t="s">
        <v>2049</v>
      </c>
      <c r="H295" t="s">
        <v>3176</v>
      </c>
      <c r="I295" t="s">
        <v>441</v>
      </c>
    </row>
    <row r="296" spans="1:9" x14ac:dyDescent="0.25">
      <c r="A296" s="20" t="s">
        <v>2057</v>
      </c>
      <c r="B296" t="s">
        <v>2053</v>
      </c>
      <c r="C296" t="s">
        <v>66</v>
      </c>
      <c r="D296" t="s">
        <v>10</v>
      </c>
      <c r="E296" s="8">
        <v>41646</v>
      </c>
      <c r="F296" t="s">
        <v>2054</v>
      </c>
      <c r="G296" t="s">
        <v>2055</v>
      </c>
      <c r="H296" t="s">
        <v>3177</v>
      </c>
      <c r="I296" t="s">
        <v>441</v>
      </c>
    </row>
    <row r="297" spans="1:9" x14ac:dyDescent="0.25">
      <c r="A297" s="20" t="s">
        <v>2060</v>
      </c>
      <c r="B297" t="s">
        <v>2036</v>
      </c>
      <c r="C297" t="s">
        <v>2</v>
      </c>
      <c r="D297" t="s">
        <v>10</v>
      </c>
      <c r="E297" s="8">
        <v>46017</v>
      </c>
      <c r="F297" t="s">
        <v>1964</v>
      </c>
      <c r="G297" t="s">
        <v>1965</v>
      </c>
      <c r="H297" t="s">
        <v>3178</v>
      </c>
      <c r="I297" t="s">
        <v>484</v>
      </c>
    </row>
    <row r="298" spans="1:9" x14ac:dyDescent="0.25">
      <c r="A298" s="20" t="s">
        <v>2068</v>
      </c>
      <c r="B298" t="s">
        <v>2036</v>
      </c>
      <c r="C298" t="s">
        <v>2</v>
      </c>
      <c r="D298" t="s">
        <v>10</v>
      </c>
      <c r="E298" s="8">
        <v>46017</v>
      </c>
      <c r="F298" t="s">
        <v>1964</v>
      </c>
      <c r="G298" t="s">
        <v>1965</v>
      </c>
      <c r="H298" t="s">
        <v>3179</v>
      </c>
      <c r="I298" t="s">
        <v>484</v>
      </c>
    </row>
    <row r="299" spans="1:9" x14ac:dyDescent="0.25">
      <c r="A299" s="20" t="s">
        <v>2071</v>
      </c>
      <c r="B299" t="s">
        <v>2036</v>
      </c>
      <c r="C299" t="s">
        <v>2</v>
      </c>
      <c r="D299" t="s">
        <v>10</v>
      </c>
      <c r="E299" s="8">
        <v>46017</v>
      </c>
      <c r="F299" t="s">
        <v>1964</v>
      </c>
      <c r="G299" t="s">
        <v>1965</v>
      </c>
      <c r="H299" t="s">
        <v>3180</v>
      </c>
      <c r="I299" t="s">
        <v>484</v>
      </c>
    </row>
    <row r="300" spans="1:9" x14ac:dyDescent="0.25">
      <c r="A300" s="20" t="s">
        <v>2075</v>
      </c>
      <c r="B300" t="s">
        <v>2036</v>
      </c>
      <c r="C300" t="s">
        <v>2</v>
      </c>
      <c r="D300" s="22" t="s">
        <v>10</v>
      </c>
      <c r="E300" s="8">
        <v>46017</v>
      </c>
      <c r="F300" t="s">
        <v>1964</v>
      </c>
      <c r="G300" t="s">
        <v>1965</v>
      </c>
      <c r="H300" t="s">
        <v>3181</v>
      </c>
      <c r="I300" t="s">
        <v>2073</v>
      </c>
    </row>
    <row r="301" spans="1:9" x14ac:dyDescent="0.25">
      <c r="A301" s="20" t="s">
        <v>2078</v>
      </c>
      <c r="B301" t="s">
        <v>2036</v>
      </c>
      <c r="C301" t="s">
        <v>2</v>
      </c>
      <c r="D301" t="s">
        <v>10</v>
      </c>
      <c r="E301" s="8">
        <v>46017</v>
      </c>
      <c r="F301" t="s">
        <v>1964</v>
      </c>
      <c r="G301" t="s">
        <v>1965</v>
      </c>
      <c r="H301" t="s">
        <v>3182</v>
      </c>
      <c r="I301" t="s">
        <v>484</v>
      </c>
    </row>
    <row r="302" spans="1:9" x14ac:dyDescent="0.25">
      <c r="A302" s="20" t="s">
        <v>2096</v>
      </c>
      <c r="B302" t="s">
        <v>2091</v>
      </c>
      <c r="C302" t="s">
        <v>2</v>
      </c>
      <c r="D302" t="s">
        <v>2092</v>
      </c>
      <c r="E302" s="8">
        <v>41604</v>
      </c>
      <c r="F302" t="s">
        <v>2093</v>
      </c>
      <c r="G302" t="s">
        <v>2094</v>
      </c>
      <c r="H302" t="s">
        <v>3183</v>
      </c>
      <c r="I302" t="s">
        <v>484</v>
      </c>
    </row>
    <row r="303" spans="1:9" x14ac:dyDescent="0.25">
      <c r="A303" s="20" t="s">
        <v>2103</v>
      </c>
      <c r="B303" t="s">
        <v>2099</v>
      </c>
      <c r="C303" t="s">
        <v>66</v>
      </c>
      <c r="D303" t="s">
        <v>10</v>
      </c>
      <c r="E303" s="8">
        <v>42265</v>
      </c>
      <c r="F303" t="s">
        <v>2100</v>
      </c>
      <c r="G303" t="s">
        <v>2101</v>
      </c>
      <c r="H303" t="s">
        <v>3184</v>
      </c>
      <c r="I303" t="s">
        <v>441</v>
      </c>
    </row>
    <row r="304" spans="1:9" x14ac:dyDescent="0.25">
      <c r="A304" s="20" t="s">
        <v>2111</v>
      </c>
      <c r="B304" t="s">
        <v>2106</v>
      </c>
      <c r="C304" t="s">
        <v>66</v>
      </c>
      <c r="D304" t="s">
        <v>2107</v>
      </c>
      <c r="E304" s="8">
        <v>41420</v>
      </c>
      <c r="F304" t="s">
        <v>2108</v>
      </c>
      <c r="G304" t="s">
        <v>2109</v>
      </c>
      <c r="H304" t="s">
        <v>3185</v>
      </c>
      <c r="I304" t="s">
        <v>441</v>
      </c>
    </row>
    <row r="305" spans="1:9" x14ac:dyDescent="0.25">
      <c r="A305" s="20" t="s">
        <v>2117</v>
      </c>
      <c r="B305" t="s">
        <v>2113</v>
      </c>
      <c r="C305" t="s">
        <v>2</v>
      </c>
      <c r="D305" t="s">
        <v>10</v>
      </c>
      <c r="E305" s="8">
        <v>42825</v>
      </c>
      <c r="F305" t="s">
        <v>2114</v>
      </c>
      <c r="G305" t="s">
        <v>2115</v>
      </c>
      <c r="H305" t="s">
        <v>3186</v>
      </c>
      <c r="I305" t="s">
        <v>441</v>
      </c>
    </row>
    <row r="306" spans="1:9" x14ac:dyDescent="0.25">
      <c r="A306" s="20" t="s">
        <v>2124</v>
      </c>
      <c r="B306" t="s">
        <v>2120</v>
      </c>
      <c r="C306" t="s">
        <v>2</v>
      </c>
      <c r="D306" t="s">
        <v>10</v>
      </c>
      <c r="E306" s="8">
        <v>41939</v>
      </c>
      <c r="F306" t="s">
        <v>2121</v>
      </c>
      <c r="G306" t="s">
        <v>2122</v>
      </c>
      <c r="H306" t="s">
        <v>3187</v>
      </c>
      <c r="I306" t="s">
        <v>441</v>
      </c>
    </row>
    <row r="307" spans="1:9" x14ac:dyDescent="0.25">
      <c r="A307" s="20" t="s">
        <v>2124</v>
      </c>
      <c r="B307" t="s">
        <v>2120</v>
      </c>
      <c r="C307" t="s">
        <v>2</v>
      </c>
      <c r="D307" t="s">
        <v>10</v>
      </c>
      <c r="E307" s="8">
        <v>41939</v>
      </c>
      <c r="F307" t="s">
        <v>2121</v>
      </c>
      <c r="G307" t="s">
        <v>2122</v>
      </c>
      <c r="H307" t="s">
        <v>3187</v>
      </c>
      <c r="I307" t="s">
        <v>441</v>
      </c>
    </row>
    <row r="308" spans="1:9" x14ac:dyDescent="0.25">
      <c r="A308" s="20" t="s">
        <v>2129</v>
      </c>
      <c r="B308" t="s">
        <v>2126</v>
      </c>
      <c r="C308" t="s">
        <v>2</v>
      </c>
      <c r="D308" t="s">
        <v>10</v>
      </c>
      <c r="E308" s="8">
        <v>41604</v>
      </c>
      <c r="F308" t="s">
        <v>2127</v>
      </c>
      <c r="G308" t="s">
        <v>1965</v>
      </c>
      <c r="H308" t="s">
        <v>3188</v>
      </c>
      <c r="I308" t="s">
        <v>484</v>
      </c>
    </row>
    <row r="309" spans="1:9" x14ac:dyDescent="0.25">
      <c r="A309" s="20" t="s">
        <v>2136</v>
      </c>
      <c r="B309" t="s">
        <v>2131</v>
      </c>
      <c r="C309" t="s">
        <v>2</v>
      </c>
      <c r="D309" t="s">
        <v>2132</v>
      </c>
      <c r="E309" s="8">
        <v>42567</v>
      </c>
      <c r="F309" t="s">
        <v>2133</v>
      </c>
      <c r="G309" t="s">
        <v>2134</v>
      </c>
      <c r="H309" t="s">
        <v>3189</v>
      </c>
      <c r="I309" t="s">
        <v>441</v>
      </c>
    </row>
    <row r="310" spans="1:9" x14ac:dyDescent="0.25">
      <c r="A310" s="20" t="s">
        <v>2142</v>
      </c>
      <c r="B310" t="s">
        <v>2138</v>
      </c>
      <c r="C310" t="s">
        <v>2</v>
      </c>
      <c r="D310" t="s">
        <v>10</v>
      </c>
      <c r="E310" s="8">
        <v>41954</v>
      </c>
      <c r="F310" t="s">
        <v>2139</v>
      </c>
      <c r="G310" t="s">
        <v>2140</v>
      </c>
      <c r="H310" t="s">
        <v>3190</v>
      </c>
      <c r="I310" t="s">
        <v>441</v>
      </c>
    </row>
    <row r="311" spans="1:9" x14ac:dyDescent="0.25">
      <c r="A311" s="20" t="s">
        <v>2188</v>
      </c>
      <c r="B311" t="s">
        <v>2184</v>
      </c>
      <c r="C311" t="s">
        <v>2</v>
      </c>
      <c r="D311" t="s">
        <v>10</v>
      </c>
      <c r="E311" s="8">
        <v>41824</v>
      </c>
      <c r="F311" t="s">
        <v>2185</v>
      </c>
      <c r="G311" t="s">
        <v>2186</v>
      </c>
      <c r="H311" t="s">
        <v>3191</v>
      </c>
      <c r="I311" t="s">
        <v>725</v>
      </c>
    </row>
    <row r="312" spans="1:9" x14ac:dyDescent="0.25">
      <c r="A312" s="20" t="s">
        <v>2205</v>
      </c>
      <c r="B312" t="s">
        <v>2200</v>
      </c>
      <c r="C312" t="s">
        <v>66</v>
      </c>
      <c r="D312" t="s">
        <v>10</v>
      </c>
      <c r="E312" s="8">
        <v>42015</v>
      </c>
      <c r="F312" t="s">
        <v>2201</v>
      </c>
      <c r="G312" t="s">
        <v>2202</v>
      </c>
      <c r="H312" t="s">
        <v>3192</v>
      </c>
      <c r="I312" t="s">
        <v>609</v>
      </c>
    </row>
    <row r="313" spans="1:9" x14ac:dyDescent="0.25">
      <c r="A313" s="20" t="s">
        <v>2210</v>
      </c>
      <c r="B313" t="s">
        <v>780</v>
      </c>
      <c r="C313" t="s">
        <v>2</v>
      </c>
      <c r="D313" t="s">
        <v>10</v>
      </c>
      <c r="E313" s="8">
        <v>43091</v>
      </c>
      <c r="F313" t="s">
        <v>2207</v>
      </c>
      <c r="G313" t="s">
        <v>2208</v>
      </c>
      <c r="H313" t="s">
        <v>3193</v>
      </c>
      <c r="I313" t="s">
        <v>725</v>
      </c>
    </row>
    <row r="314" spans="1:9" x14ac:dyDescent="0.25">
      <c r="A314" s="20" t="s">
        <v>2217</v>
      </c>
      <c r="B314" t="s">
        <v>2212</v>
      </c>
      <c r="C314" t="s">
        <v>2</v>
      </c>
      <c r="D314" t="s">
        <v>10</v>
      </c>
      <c r="E314" s="8">
        <v>42632</v>
      </c>
      <c r="F314" t="s">
        <v>2213</v>
      </c>
      <c r="G314" t="s">
        <v>2214</v>
      </c>
      <c r="H314" t="s">
        <v>3194</v>
      </c>
      <c r="I314" t="s">
        <v>609</v>
      </c>
    </row>
    <row r="315" spans="1:9" x14ac:dyDescent="0.25">
      <c r="A315" s="20" t="s">
        <v>2225</v>
      </c>
      <c r="B315" t="s">
        <v>2220</v>
      </c>
      <c r="C315" t="s">
        <v>66</v>
      </c>
      <c r="D315" t="s">
        <v>28</v>
      </c>
      <c r="E315" s="8">
        <v>42203</v>
      </c>
      <c r="F315" t="s">
        <v>2221</v>
      </c>
      <c r="G315" t="s">
        <v>2222</v>
      </c>
      <c r="H315" t="s">
        <v>3195</v>
      </c>
      <c r="I315" t="s">
        <v>2219</v>
      </c>
    </row>
    <row r="316" spans="1:9" x14ac:dyDescent="0.25">
      <c r="A316" s="20" t="s">
        <v>2232</v>
      </c>
      <c r="B316" t="s">
        <v>2227</v>
      </c>
      <c r="C316" t="s">
        <v>2</v>
      </c>
      <c r="D316" t="s">
        <v>10</v>
      </c>
      <c r="E316" s="8">
        <v>42733</v>
      </c>
      <c r="F316" t="s">
        <v>2228</v>
      </c>
      <c r="G316" t="s">
        <v>2229</v>
      </c>
      <c r="H316" t="s">
        <v>3196</v>
      </c>
      <c r="I316" t="s">
        <v>2219</v>
      </c>
    </row>
    <row r="317" spans="1:9" x14ac:dyDescent="0.25">
      <c r="A317" s="20" t="s">
        <v>2236</v>
      </c>
      <c r="B317" t="s">
        <v>2234</v>
      </c>
      <c r="C317" t="s">
        <v>66</v>
      </c>
      <c r="D317" t="s">
        <v>10</v>
      </c>
      <c r="E317" s="8">
        <v>42645</v>
      </c>
      <c r="F317" t="s">
        <v>658</v>
      </c>
      <c r="G317" t="s">
        <v>659</v>
      </c>
      <c r="H317" t="s">
        <v>3197</v>
      </c>
      <c r="I317" t="s">
        <v>609</v>
      </c>
    </row>
    <row r="318" spans="1:9" x14ac:dyDescent="0.25">
      <c r="A318" s="20" t="s">
        <v>2243</v>
      </c>
      <c r="B318" t="s">
        <v>2238</v>
      </c>
      <c r="C318" t="s">
        <v>2</v>
      </c>
      <c r="D318" t="s">
        <v>10</v>
      </c>
      <c r="E318" s="8">
        <v>42422</v>
      </c>
      <c r="F318" t="s">
        <v>2239</v>
      </c>
      <c r="G318" t="s">
        <v>2240</v>
      </c>
      <c r="H318" t="s">
        <v>3198</v>
      </c>
      <c r="I318" t="s">
        <v>725</v>
      </c>
    </row>
    <row r="319" spans="1:9" x14ac:dyDescent="0.25">
      <c r="A319" s="20" t="s">
        <v>2250</v>
      </c>
      <c r="B319" t="s">
        <v>2245</v>
      </c>
      <c r="C319" t="s">
        <v>66</v>
      </c>
      <c r="D319" t="s">
        <v>10</v>
      </c>
      <c r="E319" s="8">
        <v>42034</v>
      </c>
      <c r="F319" t="s">
        <v>2246</v>
      </c>
      <c r="G319" t="s">
        <v>2247</v>
      </c>
      <c r="H319" t="s">
        <v>3199</v>
      </c>
      <c r="I319" t="s">
        <v>609</v>
      </c>
    </row>
    <row r="320" spans="1:9" x14ac:dyDescent="0.25">
      <c r="A320" s="20" t="s">
        <v>2257</v>
      </c>
      <c r="B320" t="s">
        <v>2252</v>
      </c>
      <c r="C320" t="s">
        <v>66</v>
      </c>
      <c r="D320" t="s">
        <v>10</v>
      </c>
      <c r="E320" s="8">
        <v>41418</v>
      </c>
      <c r="F320" t="s">
        <v>2253</v>
      </c>
      <c r="G320" t="s">
        <v>2254</v>
      </c>
      <c r="H320" t="s">
        <v>3200</v>
      </c>
      <c r="I320" t="s">
        <v>2219</v>
      </c>
    </row>
    <row r="321" spans="1:9" x14ac:dyDescent="0.25">
      <c r="A321" s="20" t="s">
        <v>2264</v>
      </c>
      <c r="B321" t="s">
        <v>2259</v>
      </c>
      <c r="C321" t="s">
        <v>66</v>
      </c>
      <c r="D321" t="s">
        <v>10</v>
      </c>
      <c r="E321" s="8">
        <v>41907</v>
      </c>
      <c r="F321" t="s">
        <v>2260</v>
      </c>
      <c r="G321" t="s">
        <v>2261</v>
      </c>
      <c r="H321" t="s">
        <v>3201</v>
      </c>
      <c r="I321" t="s">
        <v>2219</v>
      </c>
    </row>
    <row r="322" spans="1:9" x14ac:dyDescent="0.25">
      <c r="A322" s="20" t="s">
        <v>2271</v>
      </c>
      <c r="B322" t="s">
        <v>2266</v>
      </c>
      <c r="C322" t="s">
        <v>66</v>
      </c>
      <c r="D322" t="s">
        <v>10</v>
      </c>
      <c r="E322" s="8">
        <v>41983</v>
      </c>
      <c r="F322" t="s">
        <v>2267</v>
      </c>
      <c r="G322" t="s">
        <v>2268</v>
      </c>
      <c r="H322" t="s">
        <v>3202</v>
      </c>
      <c r="I322" t="s">
        <v>609</v>
      </c>
    </row>
    <row r="323" spans="1:9" x14ac:dyDescent="0.25">
      <c r="A323" s="20" t="s">
        <v>2278</v>
      </c>
      <c r="B323" t="s">
        <v>2273</v>
      </c>
      <c r="C323" t="s">
        <v>2</v>
      </c>
      <c r="D323" t="s">
        <v>10</v>
      </c>
      <c r="E323" s="8">
        <v>42250</v>
      </c>
      <c r="F323" t="s">
        <v>2274</v>
      </c>
      <c r="G323" t="s">
        <v>2275</v>
      </c>
      <c r="H323" t="s">
        <v>3203</v>
      </c>
      <c r="I323" t="s">
        <v>609</v>
      </c>
    </row>
    <row r="324" spans="1:9" x14ac:dyDescent="0.25">
      <c r="A324" s="20" t="s">
        <v>2285</v>
      </c>
      <c r="B324" t="s">
        <v>2280</v>
      </c>
      <c r="C324" t="s">
        <v>2</v>
      </c>
      <c r="D324" t="s">
        <v>28</v>
      </c>
      <c r="E324" s="8">
        <v>41920</v>
      </c>
      <c r="F324" t="s">
        <v>2281</v>
      </c>
      <c r="G324" t="s">
        <v>2282</v>
      </c>
      <c r="H324" t="s">
        <v>3204</v>
      </c>
      <c r="I324" t="s">
        <v>2219</v>
      </c>
    </row>
    <row r="325" spans="1:9" x14ac:dyDescent="0.25">
      <c r="A325" s="20" t="s">
        <v>2292</v>
      </c>
      <c r="B325" t="s">
        <v>2287</v>
      </c>
      <c r="C325" t="s">
        <v>2</v>
      </c>
      <c r="D325" t="s">
        <v>59</v>
      </c>
      <c r="E325" s="8">
        <v>42196</v>
      </c>
      <c r="F325" t="s">
        <v>2288</v>
      </c>
      <c r="G325" t="s">
        <v>2289</v>
      </c>
      <c r="H325" t="s">
        <v>3205</v>
      </c>
      <c r="I325" t="s">
        <v>2219</v>
      </c>
    </row>
    <row r="326" spans="1:9" x14ac:dyDescent="0.25">
      <c r="A326" s="20" t="s">
        <v>2300</v>
      </c>
      <c r="B326" t="s">
        <v>2294</v>
      </c>
      <c r="C326" t="s">
        <v>2</v>
      </c>
      <c r="D326" t="s">
        <v>2295</v>
      </c>
      <c r="E326" s="8">
        <v>41547</v>
      </c>
      <c r="F326" t="s">
        <v>2296</v>
      </c>
      <c r="G326" t="s">
        <v>2297</v>
      </c>
      <c r="H326" t="s">
        <v>3206</v>
      </c>
      <c r="I326" t="s">
        <v>2219</v>
      </c>
    </row>
    <row r="327" spans="1:9" x14ac:dyDescent="0.25">
      <c r="A327" s="20" t="s">
        <v>2307</v>
      </c>
      <c r="B327" t="s">
        <v>2302</v>
      </c>
      <c r="C327" t="s">
        <v>2</v>
      </c>
      <c r="D327" t="s">
        <v>10</v>
      </c>
      <c r="E327" s="8">
        <v>42770</v>
      </c>
      <c r="F327" t="s">
        <v>2303</v>
      </c>
      <c r="G327" t="s">
        <v>2304</v>
      </c>
      <c r="H327" t="s">
        <v>3207</v>
      </c>
      <c r="I327" t="s">
        <v>609</v>
      </c>
    </row>
    <row r="328" spans="1:9" x14ac:dyDescent="0.25">
      <c r="A328" s="20" t="s">
        <v>2314</v>
      </c>
      <c r="B328" t="s">
        <v>2309</v>
      </c>
      <c r="C328" t="s">
        <v>2</v>
      </c>
      <c r="D328" t="s">
        <v>10</v>
      </c>
      <c r="E328" s="8">
        <v>42272</v>
      </c>
      <c r="F328" t="s">
        <v>2310</v>
      </c>
      <c r="G328" t="s">
        <v>2311</v>
      </c>
      <c r="H328" t="s">
        <v>3208</v>
      </c>
      <c r="I328" t="s">
        <v>2219</v>
      </c>
    </row>
    <row r="329" spans="1:9" x14ac:dyDescent="0.25">
      <c r="A329" s="20" t="s">
        <v>2321</v>
      </c>
      <c r="B329" t="s">
        <v>2316</v>
      </c>
      <c r="C329" t="s">
        <v>66</v>
      </c>
      <c r="D329" t="s">
        <v>10</v>
      </c>
      <c r="E329" s="8">
        <v>41925</v>
      </c>
      <c r="F329" t="s">
        <v>2317</v>
      </c>
      <c r="G329" t="s">
        <v>2318</v>
      </c>
      <c r="H329" t="s">
        <v>3209</v>
      </c>
      <c r="I329" t="s">
        <v>2219</v>
      </c>
    </row>
    <row r="330" spans="1:9" x14ac:dyDescent="0.25">
      <c r="A330" s="20" t="s">
        <v>2328</v>
      </c>
      <c r="B330" t="s">
        <v>2323</v>
      </c>
      <c r="C330" t="s">
        <v>66</v>
      </c>
      <c r="D330" t="s">
        <v>10</v>
      </c>
      <c r="E330" s="8">
        <v>42385</v>
      </c>
      <c r="F330" t="s">
        <v>2324</v>
      </c>
      <c r="G330" t="s">
        <v>2325</v>
      </c>
      <c r="H330" t="s">
        <v>3210</v>
      </c>
      <c r="I330" t="s">
        <v>2219</v>
      </c>
    </row>
    <row r="331" spans="1:9" x14ac:dyDescent="0.25">
      <c r="A331" s="20" t="s">
        <v>2335</v>
      </c>
      <c r="B331" t="s">
        <v>2330</v>
      </c>
      <c r="C331" t="s">
        <v>66</v>
      </c>
      <c r="D331" t="s">
        <v>59</v>
      </c>
      <c r="E331" s="8">
        <v>42030</v>
      </c>
      <c r="F331" t="s">
        <v>2331</v>
      </c>
      <c r="G331" t="s">
        <v>2332</v>
      </c>
      <c r="H331" t="s">
        <v>3211</v>
      </c>
      <c r="I331" t="s">
        <v>2219</v>
      </c>
    </row>
    <row r="332" spans="1:9" x14ac:dyDescent="0.25">
      <c r="A332" s="20" t="s">
        <v>2342</v>
      </c>
      <c r="B332" t="s">
        <v>2337</v>
      </c>
      <c r="C332" t="s">
        <v>2</v>
      </c>
      <c r="D332" t="s">
        <v>10</v>
      </c>
      <c r="E332" s="8">
        <v>41742</v>
      </c>
      <c r="F332" t="s">
        <v>2338</v>
      </c>
      <c r="G332" t="s">
        <v>2339</v>
      </c>
      <c r="H332" t="s">
        <v>3212</v>
      </c>
      <c r="I332" t="s">
        <v>2219</v>
      </c>
    </row>
    <row r="333" spans="1:9" x14ac:dyDescent="0.25">
      <c r="A333" s="20" t="s">
        <v>2347</v>
      </c>
      <c r="B333" t="s">
        <v>2344</v>
      </c>
      <c r="C333" t="s">
        <v>66</v>
      </c>
      <c r="D333" t="s">
        <v>2345</v>
      </c>
      <c r="E333" s="8">
        <v>42283</v>
      </c>
      <c r="F333" t="s">
        <v>2317</v>
      </c>
      <c r="G333" t="s">
        <v>2318</v>
      </c>
      <c r="H333" t="s">
        <v>3213</v>
      </c>
      <c r="I333" t="s">
        <v>2219</v>
      </c>
    </row>
    <row r="334" spans="1:9" x14ac:dyDescent="0.25">
      <c r="A334" s="20" t="s">
        <v>2354</v>
      </c>
      <c r="B334" t="s">
        <v>2349</v>
      </c>
      <c r="C334" t="s">
        <v>66</v>
      </c>
      <c r="D334" t="s">
        <v>28</v>
      </c>
      <c r="E334" s="8">
        <v>42118</v>
      </c>
      <c r="F334" t="s">
        <v>2350</v>
      </c>
      <c r="G334" t="s">
        <v>2351</v>
      </c>
      <c r="H334" t="s">
        <v>3214</v>
      </c>
      <c r="I334" t="s">
        <v>2219</v>
      </c>
    </row>
    <row r="335" spans="1:9" x14ac:dyDescent="0.25">
      <c r="A335" s="20" t="s">
        <v>2361</v>
      </c>
      <c r="B335" t="s">
        <v>2356</v>
      </c>
      <c r="C335" t="s">
        <v>66</v>
      </c>
      <c r="D335" t="s">
        <v>10</v>
      </c>
      <c r="E335" s="8">
        <v>41968</v>
      </c>
      <c r="F335" t="s">
        <v>2357</v>
      </c>
      <c r="G335" t="s">
        <v>2358</v>
      </c>
      <c r="H335" t="s">
        <v>3215</v>
      </c>
      <c r="I335" t="s">
        <v>609</v>
      </c>
    </row>
    <row r="336" spans="1:9" x14ac:dyDescent="0.25">
      <c r="A336" s="20" t="s">
        <v>2364</v>
      </c>
      <c r="B336" t="s">
        <v>2280</v>
      </c>
      <c r="C336" t="s">
        <v>2</v>
      </c>
      <c r="D336" t="s">
        <v>28</v>
      </c>
      <c r="E336" s="8">
        <v>41861</v>
      </c>
      <c r="F336" t="s">
        <v>2281</v>
      </c>
      <c r="G336" t="s">
        <v>2282</v>
      </c>
      <c r="H336" t="s">
        <v>3216</v>
      </c>
      <c r="I336" t="s">
        <v>2219</v>
      </c>
    </row>
    <row r="337" spans="1:9" x14ac:dyDescent="0.25">
      <c r="A337" s="20" t="s">
        <v>2375</v>
      </c>
      <c r="B337" t="s">
        <v>2370</v>
      </c>
      <c r="C337" t="s">
        <v>2</v>
      </c>
      <c r="D337" t="s">
        <v>10</v>
      </c>
      <c r="E337" s="8">
        <v>41935</v>
      </c>
      <c r="F337" t="s">
        <v>2371</v>
      </c>
      <c r="G337" t="s">
        <v>2372</v>
      </c>
      <c r="H337" t="s">
        <v>3217</v>
      </c>
      <c r="I337" t="s">
        <v>609</v>
      </c>
    </row>
    <row r="338" spans="1:9" x14ac:dyDescent="0.25">
      <c r="A338" s="20" t="s">
        <v>2383</v>
      </c>
      <c r="B338" t="s">
        <v>2377</v>
      </c>
      <c r="C338" t="s">
        <v>2</v>
      </c>
      <c r="D338" t="s">
        <v>2378</v>
      </c>
      <c r="E338" s="8">
        <v>42626</v>
      </c>
      <c r="F338" t="s">
        <v>2379</v>
      </c>
      <c r="G338" t="s">
        <v>2380</v>
      </c>
      <c r="H338" t="s">
        <v>3218</v>
      </c>
      <c r="I338" t="s">
        <v>609</v>
      </c>
    </row>
    <row r="339" spans="1:9" x14ac:dyDescent="0.25">
      <c r="A339" s="20" t="s">
        <v>2391</v>
      </c>
      <c r="B339" t="s">
        <v>856</v>
      </c>
      <c r="C339" t="s">
        <v>2</v>
      </c>
      <c r="D339" t="s">
        <v>204</v>
      </c>
      <c r="E339" s="8">
        <v>42456</v>
      </c>
      <c r="F339" t="s">
        <v>857</v>
      </c>
      <c r="G339" t="s">
        <v>858</v>
      </c>
      <c r="H339" t="s">
        <v>3219</v>
      </c>
      <c r="I339" t="s">
        <v>725</v>
      </c>
    </row>
    <row r="340" spans="1:9" x14ac:dyDescent="0.25">
      <c r="A340" s="20" t="s">
        <v>2398</v>
      </c>
      <c r="B340" t="s">
        <v>2393</v>
      </c>
      <c r="C340" t="s">
        <v>2</v>
      </c>
      <c r="D340" t="s">
        <v>59</v>
      </c>
      <c r="E340" s="8">
        <v>42929</v>
      </c>
      <c r="F340" t="s">
        <v>2394</v>
      </c>
      <c r="G340" t="s">
        <v>2395</v>
      </c>
      <c r="H340" t="s">
        <v>3220</v>
      </c>
      <c r="I340" t="s">
        <v>2219</v>
      </c>
    </row>
    <row r="341" spans="1:9" x14ac:dyDescent="0.25">
      <c r="A341" s="20" t="s">
        <v>2405</v>
      </c>
      <c r="B341" t="s">
        <v>2400</v>
      </c>
      <c r="C341" t="s">
        <v>66</v>
      </c>
      <c r="D341" t="s">
        <v>10</v>
      </c>
      <c r="E341" s="8">
        <v>41492</v>
      </c>
      <c r="F341" t="s">
        <v>2401</v>
      </c>
      <c r="G341" t="s">
        <v>2402</v>
      </c>
      <c r="H341" t="s">
        <v>3221</v>
      </c>
      <c r="I341" t="s">
        <v>2219</v>
      </c>
    </row>
    <row r="342" spans="1:9" x14ac:dyDescent="0.25">
      <c r="A342" s="20" t="s">
        <v>2412</v>
      </c>
      <c r="B342" t="s">
        <v>2407</v>
      </c>
      <c r="C342" t="s">
        <v>2</v>
      </c>
      <c r="D342" t="s">
        <v>28</v>
      </c>
      <c r="E342" s="8">
        <v>42674</v>
      </c>
      <c r="F342" t="s">
        <v>2408</v>
      </c>
      <c r="G342" t="s">
        <v>2409</v>
      </c>
      <c r="H342" t="s">
        <v>3222</v>
      </c>
      <c r="I342" t="s">
        <v>2219</v>
      </c>
    </row>
    <row r="343" spans="1:9" x14ac:dyDescent="0.25">
      <c r="A343" s="20" t="s">
        <v>2412</v>
      </c>
      <c r="B343" t="s">
        <v>2400</v>
      </c>
      <c r="C343" t="s">
        <v>66</v>
      </c>
      <c r="D343" t="s">
        <v>10</v>
      </c>
      <c r="E343" s="8">
        <v>41492</v>
      </c>
      <c r="F343" t="s">
        <v>2401</v>
      </c>
      <c r="G343" t="s">
        <v>2402</v>
      </c>
      <c r="H343" t="s">
        <v>3222</v>
      </c>
      <c r="I343" t="s">
        <v>2219</v>
      </c>
    </row>
    <row r="344" spans="1:9" x14ac:dyDescent="0.25">
      <c r="A344" s="20" t="s">
        <v>2412</v>
      </c>
      <c r="B344" t="s">
        <v>2400</v>
      </c>
      <c r="C344" t="s">
        <v>66</v>
      </c>
      <c r="D344" t="s">
        <v>10</v>
      </c>
      <c r="E344" s="8">
        <v>41492</v>
      </c>
      <c r="F344" t="s">
        <v>2401</v>
      </c>
      <c r="G344" t="s">
        <v>2402</v>
      </c>
      <c r="H344" t="s">
        <v>3222</v>
      </c>
      <c r="I344" t="s">
        <v>2219</v>
      </c>
    </row>
    <row r="345" spans="1:9" x14ac:dyDescent="0.25">
      <c r="A345" s="20" t="s">
        <v>2412</v>
      </c>
      <c r="B345" t="s">
        <v>2393</v>
      </c>
      <c r="C345" t="s">
        <v>2</v>
      </c>
      <c r="D345" t="s">
        <v>59</v>
      </c>
      <c r="E345" s="8">
        <v>42929</v>
      </c>
      <c r="F345" t="s">
        <v>2394</v>
      </c>
      <c r="G345" t="s">
        <v>2395</v>
      </c>
      <c r="H345" t="s">
        <v>3222</v>
      </c>
      <c r="I345" t="s">
        <v>2219</v>
      </c>
    </row>
    <row r="346" spans="1:9" x14ac:dyDescent="0.25">
      <c r="A346" s="20" t="s">
        <v>2412</v>
      </c>
      <c r="B346" t="s">
        <v>2393</v>
      </c>
      <c r="C346" t="s">
        <v>2</v>
      </c>
      <c r="D346" t="s">
        <v>59</v>
      </c>
      <c r="E346" s="8">
        <v>42929</v>
      </c>
      <c r="F346" t="s">
        <v>2394</v>
      </c>
      <c r="G346" t="s">
        <v>2395</v>
      </c>
      <c r="H346" t="s">
        <v>3222</v>
      </c>
      <c r="I346" t="s">
        <v>2219</v>
      </c>
    </row>
    <row r="347" spans="1:9" x14ac:dyDescent="0.25">
      <c r="A347" s="20" t="s">
        <v>2415</v>
      </c>
      <c r="B347" t="s">
        <v>2400</v>
      </c>
      <c r="C347" t="s">
        <v>66</v>
      </c>
      <c r="D347" t="s">
        <v>10</v>
      </c>
      <c r="E347" s="8">
        <v>41492</v>
      </c>
      <c r="F347" t="s">
        <v>2401</v>
      </c>
      <c r="G347" t="s">
        <v>2402</v>
      </c>
      <c r="H347" t="s">
        <v>3223</v>
      </c>
      <c r="I347" t="s">
        <v>2219</v>
      </c>
    </row>
    <row r="348" spans="1:9" x14ac:dyDescent="0.25">
      <c r="A348" s="20" t="s">
        <v>2422</v>
      </c>
      <c r="B348" t="s">
        <v>2417</v>
      </c>
      <c r="C348" t="s">
        <v>66</v>
      </c>
      <c r="D348" t="s">
        <v>10</v>
      </c>
      <c r="E348" s="8">
        <v>42307</v>
      </c>
      <c r="F348" t="s">
        <v>2418</v>
      </c>
      <c r="G348" t="s">
        <v>2419</v>
      </c>
      <c r="H348" t="s">
        <v>3224</v>
      </c>
      <c r="I348" t="s">
        <v>2219</v>
      </c>
    </row>
    <row r="349" spans="1:9" x14ac:dyDescent="0.25">
      <c r="A349" s="20" t="s">
        <v>2429</v>
      </c>
      <c r="B349" t="s">
        <v>2424</v>
      </c>
      <c r="C349" t="s">
        <v>66</v>
      </c>
      <c r="D349" t="s">
        <v>10</v>
      </c>
      <c r="E349" s="8">
        <v>42128</v>
      </c>
      <c r="F349" t="s">
        <v>2425</v>
      </c>
      <c r="G349" t="s">
        <v>2426</v>
      </c>
      <c r="H349" t="s">
        <v>3225</v>
      </c>
      <c r="I349" t="s">
        <v>609</v>
      </c>
    </row>
    <row r="350" spans="1:9" x14ac:dyDescent="0.25">
      <c r="A350" s="20" t="s">
        <v>2429</v>
      </c>
      <c r="B350" t="s">
        <v>2393</v>
      </c>
      <c r="C350" t="s">
        <v>2</v>
      </c>
      <c r="D350" t="s">
        <v>59</v>
      </c>
      <c r="E350" s="8">
        <v>42929</v>
      </c>
      <c r="F350" t="s">
        <v>2394</v>
      </c>
      <c r="G350" t="s">
        <v>2395</v>
      </c>
      <c r="H350" t="s">
        <v>3225</v>
      </c>
      <c r="I350" t="s">
        <v>2219</v>
      </c>
    </row>
    <row r="351" spans="1:9" x14ac:dyDescent="0.25">
      <c r="A351" s="20" t="s">
        <v>2429</v>
      </c>
      <c r="B351" t="s">
        <v>2393</v>
      </c>
      <c r="C351" t="s">
        <v>2</v>
      </c>
      <c r="D351" t="s">
        <v>59</v>
      </c>
      <c r="E351" s="8">
        <v>42929</v>
      </c>
      <c r="F351" t="s">
        <v>2394</v>
      </c>
      <c r="G351" t="s">
        <v>2395</v>
      </c>
      <c r="H351" t="s">
        <v>3225</v>
      </c>
      <c r="I351" t="s">
        <v>2219</v>
      </c>
    </row>
    <row r="352" spans="1:9" x14ac:dyDescent="0.25">
      <c r="A352" s="20" t="s">
        <v>2429</v>
      </c>
      <c r="B352" t="s">
        <v>2393</v>
      </c>
      <c r="C352" t="s">
        <v>2</v>
      </c>
      <c r="D352" t="s">
        <v>59</v>
      </c>
      <c r="E352" s="8">
        <v>42929</v>
      </c>
      <c r="F352" t="s">
        <v>2394</v>
      </c>
      <c r="G352" t="s">
        <v>2395</v>
      </c>
      <c r="H352" t="s">
        <v>3225</v>
      </c>
      <c r="I352" t="s">
        <v>2219</v>
      </c>
    </row>
    <row r="353" spans="1:9" x14ac:dyDescent="0.25">
      <c r="A353" s="20" t="s">
        <v>2436</v>
      </c>
      <c r="B353" t="s">
        <v>2431</v>
      </c>
      <c r="C353" t="s">
        <v>66</v>
      </c>
      <c r="D353" t="s">
        <v>10</v>
      </c>
      <c r="E353" s="8">
        <v>42299</v>
      </c>
      <c r="F353" t="s">
        <v>2432</v>
      </c>
      <c r="G353" t="s">
        <v>2433</v>
      </c>
      <c r="H353" t="s">
        <v>3226</v>
      </c>
      <c r="I353" t="s">
        <v>2219</v>
      </c>
    </row>
    <row r="354" spans="1:9" x14ac:dyDescent="0.25">
      <c r="A354" s="20" t="s">
        <v>2444</v>
      </c>
      <c r="B354" t="s">
        <v>2439</v>
      </c>
      <c r="C354" t="s">
        <v>2</v>
      </c>
      <c r="D354" t="s">
        <v>28</v>
      </c>
      <c r="E354" s="8">
        <v>42388</v>
      </c>
      <c r="F354" t="s">
        <v>2440</v>
      </c>
      <c r="G354" t="s">
        <v>2441</v>
      </c>
      <c r="H354" t="s">
        <v>3227</v>
      </c>
      <c r="I354" t="s">
        <v>2438</v>
      </c>
    </row>
    <row r="355" spans="1:9" x14ac:dyDescent="0.25">
      <c r="A355" s="20" t="s">
        <v>2450</v>
      </c>
      <c r="B355" t="s">
        <v>354</v>
      </c>
      <c r="C355" t="s">
        <v>66</v>
      </c>
      <c r="D355" t="s">
        <v>1155</v>
      </c>
      <c r="E355" s="8">
        <v>42002</v>
      </c>
      <c r="F355" t="s">
        <v>2446</v>
      </c>
      <c r="G355" t="s">
        <v>2447</v>
      </c>
      <c r="H355" t="s">
        <v>3228</v>
      </c>
      <c r="I355" t="s">
        <v>2219</v>
      </c>
    </row>
    <row r="356" spans="1:9" x14ac:dyDescent="0.25">
      <c r="A356" s="20" t="s">
        <v>2457</v>
      </c>
      <c r="B356" t="s">
        <v>2452</v>
      </c>
      <c r="C356" t="s">
        <v>2</v>
      </c>
      <c r="D356" t="s">
        <v>28</v>
      </c>
      <c r="E356" s="8">
        <v>41682</v>
      </c>
      <c r="F356" t="s">
        <v>2453</v>
      </c>
      <c r="G356" t="s">
        <v>2454</v>
      </c>
      <c r="H356" t="s">
        <v>3229</v>
      </c>
      <c r="I356" t="s">
        <v>725</v>
      </c>
    </row>
    <row r="357" spans="1:9" x14ac:dyDescent="0.25">
      <c r="A357" s="20" t="s">
        <v>2464</v>
      </c>
      <c r="B357" t="s">
        <v>2459</v>
      </c>
      <c r="C357" t="s">
        <v>66</v>
      </c>
      <c r="D357" t="s">
        <v>10</v>
      </c>
      <c r="E357" s="8">
        <v>41978</v>
      </c>
      <c r="F357" t="s">
        <v>2460</v>
      </c>
      <c r="G357" t="s">
        <v>2461</v>
      </c>
      <c r="H357" t="s">
        <v>3230</v>
      </c>
      <c r="I357" t="s">
        <v>609</v>
      </c>
    </row>
    <row r="358" spans="1:9" x14ac:dyDescent="0.25">
      <c r="A358" s="20" t="s">
        <v>2464</v>
      </c>
      <c r="B358" t="s">
        <v>2431</v>
      </c>
      <c r="C358" t="s">
        <v>66</v>
      </c>
      <c r="D358" t="s">
        <v>10</v>
      </c>
      <c r="E358" s="8">
        <v>42299</v>
      </c>
      <c r="F358" t="s">
        <v>2432</v>
      </c>
      <c r="G358" t="s">
        <v>2433</v>
      </c>
      <c r="H358" t="s">
        <v>3230</v>
      </c>
      <c r="I358" t="s">
        <v>2219</v>
      </c>
    </row>
    <row r="359" spans="1:9" x14ac:dyDescent="0.25">
      <c r="A359" s="20" t="s">
        <v>2469</v>
      </c>
      <c r="B359" t="s">
        <v>2431</v>
      </c>
      <c r="C359" t="s">
        <v>66</v>
      </c>
      <c r="D359" t="s">
        <v>10</v>
      </c>
      <c r="E359" s="8">
        <v>42299</v>
      </c>
      <c r="F359" t="s">
        <v>2466</v>
      </c>
      <c r="G359" t="s">
        <v>2467</v>
      </c>
      <c r="H359" t="s">
        <v>3231</v>
      </c>
      <c r="I359" t="s">
        <v>2219</v>
      </c>
    </row>
    <row r="360" spans="1:9" x14ac:dyDescent="0.25">
      <c r="A360" s="20" t="s">
        <v>2473</v>
      </c>
      <c r="B360" t="s">
        <v>354</v>
      </c>
      <c r="C360" t="s">
        <v>66</v>
      </c>
      <c r="D360" t="s">
        <v>2471</v>
      </c>
      <c r="E360" s="8">
        <v>42002</v>
      </c>
      <c r="F360" t="s">
        <v>2446</v>
      </c>
      <c r="G360" t="s">
        <v>2447</v>
      </c>
      <c r="H360" t="s">
        <v>3232</v>
      </c>
      <c r="I360" t="s">
        <v>2219</v>
      </c>
    </row>
    <row r="361" spans="1:9" x14ac:dyDescent="0.25">
      <c r="A361" s="20" t="s">
        <v>2477</v>
      </c>
      <c r="B361" t="s">
        <v>2400</v>
      </c>
      <c r="C361" t="s">
        <v>66</v>
      </c>
      <c r="D361" t="s">
        <v>28</v>
      </c>
      <c r="E361" s="8">
        <v>41433</v>
      </c>
      <c r="F361" t="s">
        <v>2401</v>
      </c>
      <c r="G361" t="s">
        <v>2402</v>
      </c>
      <c r="H361" t="s">
        <v>3233</v>
      </c>
      <c r="I361" t="s">
        <v>2219</v>
      </c>
    </row>
    <row r="362" spans="1:9" x14ac:dyDescent="0.25">
      <c r="A362" s="20" t="s">
        <v>2484</v>
      </c>
      <c r="B362" t="s">
        <v>2479</v>
      </c>
      <c r="C362" t="s">
        <v>2</v>
      </c>
      <c r="D362" t="s">
        <v>10</v>
      </c>
      <c r="E362" s="8">
        <v>41843</v>
      </c>
      <c r="F362" t="s">
        <v>2480</v>
      </c>
      <c r="G362" t="s">
        <v>2481</v>
      </c>
      <c r="H362" t="s">
        <v>3234</v>
      </c>
      <c r="I362" t="s">
        <v>609</v>
      </c>
    </row>
    <row r="363" spans="1:9" x14ac:dyDescent="0.25">
      <c r="A363" s="20" t="s">
        <v>2487</v>
      </c>
      <c r="B363" t="s">
        <v>2431</v>
      </c>
      <c r="C363" t="s">
        <v>66</v>
      </c>
      <c r="D363" t="s">
        <v>28</v>
      </c>
      <c r="E363" s="8">
        <v>42299</v>
      </c>
      <c r="F363" t="s">
        <v>2432</v>
      </c>
      <c r="G363" t="s">
        <v>2433</v>
      </c>
      <c r="H363" t="s">
        <v>3235</v>
      </c>
      <c r="I363" t="s">
        <v>2219</v>
      </c>
    </row>
    <row r="364" spans="1:9" x14ac:dyDescent="0.25">
      <c r="A364" s="20" t="s">
        <v>2494</v>
      </c>
      <c r="B364" t="s">
        <v>2489</v>
      </c>
      <c r="C364" t="s">
        <v>2</v>
      </c>
      <c r="D364" t="s">
        <v>2490</v>
      </c>
      <c r="E364" s="8">
        <v>42364</v>
      </c>
      <c r="F364" t="s">
        <v>2491</v>
      </c>
      <c r="G364" t="s">
        <v>2351</v>
      </c>
      <c r="H364" t="s">
        <v>3236</v>
      </c>
      <c r="I364" t="s">
        <v>725</v>
      </c>
    </row>
    <row r="365" spans="1:9" x14ac:dyDescent="0.25">
      <c r="A365" s="20" t="s">
        <v>2501</v>
      </c>
      <c r="B365" t="s">
        <v>2496</v>
      </c>
      <c r="C365" t="s">
        <v>2</v>
      </c>
      <c r="D365" t="s">
        <v>28</v>
      </c>
      <c r="E365" s="8">
        <v>42553</v>
      </c>
      <c r="F365" t="s">
        <v>2497</v>
      </c>
      <c r="G365" t="s">
        <v>2498</v>
      </c>
      <c r="H365" t="s">
        <v>3237</v>
      </c>
      <c r="I365" t="s">
        <v>2219</v>
      </c>
    </row>
    <row r="366" spans="1:9" x14ac:dyDescent="0.25">
      <c r="A366" s="20" t="s">
        <v>2508</v>
      </c>
      <c r="B366" t="s">
        <v>2503</v>
      </c>
      <c r="C366" t="s">
        <v>66</v>
      </c>
      <c r="D366" t="s">
        <v>10</v>
      </c>
      <c r="E366" s="8">
        <v>42543</v>
      </c>
      <c r="F366" t="s">
        <v>2504</v>
      </c>
      <c r="G366" t="s">
        <v>2505</v>
      </c>
      <c r="H366" t="s">
        <v>3238</v>
      </c>
      <c r="I366" t="s">
        <v>2219</v>
      </c>
    </row>
    <row r="367" spans="1:9" x14ac:dyDescent="0.25">
      <c r="A367" s="20" t="s">
        <v>2515</v>
      </c>
      <c r="B367" t="s">
        <v>2510</v>
      </c>
      <c r="C367" t="s">
        <v>2</v>
      </c>
      <c r="D367" t="s">
        <v>10</v>
      </c>
      <c r="E367" s="8">
        <v>42481</v>
      </c>
      <c r="F367" t="s">
        <v>2511</v>
      </c>
      <c r="G367" t="s">
        <v>2512</v>
      </c>
      <c r="H367" t="s">
        <v>3239</v>
      </c>
      <c r="I367" t="s">
        <v>435</v>
      </c>
    </row>
    <row r="368" spans="1:9" x14ac:dyDescent="0.25">
      <c r="A368" s="20" t="s">
        <v>2519</v>
      </c>
      <c r="B368" t="s">
        <v>2431</v>
      </c>
      <c r="C368" t="s">
        <v>66</v>
      </c>
      <c r="D368" t="s">
        <v>2517</v>
      </c>
      <c r="E368" s="8">
        <v>42299</v>
      </c>
      <c r="F368" t="s">
        <v>2466</v>
      </c>
      <c r="G368" t="s">
        <v>2467</v>
      </c>
      <c r="H368" t="s">
        <v>3240</v>
      </c>
      <c r="I368" t="s">
        <v>2219</v>
      </c>
    </row>
    <row r="369" spans="1:9" x14ac:dyDescent="0.25">
      <c r="A369" s="20" t="s">
        <v>2526</v>
      </c>
      <c r="B369" t="s">
        <v>2521</v>
      </c>
      <c r="C369" t="s">
        <v>2</v>
      </c>
      <c r="D369" t="s">
        <v>10</v>
      </c>
      <c r="E369" s="8">
        <v>42788</v>
      </c>
      <c r="F369" t="s">
        <v>2522</v>
      </c>
      <c r="G369" t="s">
        <v>2523</v>
      </c>
      <c r="H369" t="s">
        <v>3241</v>
      </c>
      <c r="I369" t="s">
        <v>2219</v>
      </c>
    </row>
    <row r="370" spans="1:9" x14ac:dyDescent="0.25">
      <c r="A370" s="20" t="s">
        <v>2533</v>
      </c>
      <c r="B370" t="s">
        <v>2528</v>
      </c>
      <c r="C370" t="s">
        <v>66</v>
      </c>
      <c r="D370" t="s">
        <v>2529</v>
      </c>
      <c r="E370" s="8">
        <v>41782</v>
      </c>
      <c r="F370" t="s">
        <v>1546</v>
      </c>
      <c r="G370" t="s">
        <v>2530</v>
      </c>
      <c r="H370" t="s">
        <v>3242</v>
      </c>
      <c r="I370" t="s">
        <v>609</v>
      </c>
    </row>
    <row r="371" spans="1:9" x14ac:dyDescent="0.25">
      <c r="A371" s="20" t="s">
        <v>2536</v>
      </c>
      <c r="B371" t="s">
        <v>354</v>
      </c>
      <c r="C371" t="s">
        <v>66</v>
      </c>
      <c r="D371" t="s">
        <v>1155</v>
      </c>
      <c r="E371" s="8">
        <v>42002</v>
      </c>
      <c r="F371" t="s">
        <v>2446</v>
      </c>
      <c r="G371" t="s">
        <v>2447</v>
      </c>
      <c r="H371" t="s">
        <v>3243</v>
      </c>
      <c r="I371" t="s">
        <v>2219</v>
      </c>
    </row>
    <row r="372" spans="1:9" x14ac:dyDescent="0.25">
      <c r="A372" s="20" t="s">
        <v>2543</v>
      </c>
      <c r="B372" t="s">
        <v>2538</v>
      </c>
      <c r="C372" t="s">
        <v>66</v>
      </c>
      <c r="D372" t="s">
        <v>10</v>
      </c>
      <c r="E372" s="8">
        <v>41967</v>
      </c>
      <c r="F372" t="s">
        <v>2539</v>
      </c>
      <c r="G372" t="s">
        <v>2540</v>
      </c>
      <c r="H372" t="s">
        <v>3244</v>
      </c>
      <c r="I372" t="s">
        <v>2219</v>
      </c>
    </row>
    <row r="373" spans="1:9" x14ac:dyDescent="0.25">
      <c r="A373" s="20" t="s">
        <v>2546</v>
      </c>
      <c r="B373" t="s">
        <v>2330</v>
      </c>
      <c r="C373" t="s">
        <v>66</v>
      </c>
      <c r="D373" t="s">
        <v>59</v>
      </c>
      <c r="E373" s="8">
        <v>42030</v>
      </c>
      <c r="F373" t="s">
        <v>2331</v>
      </c>
      <c r="G373" t="s">
        <v>2332</v>
      </c>
      <c r="H373" t="s">
        <v>3245</v>
      </c>
      <c r="I373" t="s">
        <v>2219</v>
      </c>
    </row>
    <row r="374" spans="1:9" x14ac:dyDescent="0.25">
      <c r="A374" s="20" t="s">
        <v>2553</v>
      </c>
      <c r="B374" t="s">
        <v>2548</v>
      </c>
      <c r="C374" t="s">
        <v>2</v>
      </c>
      <c r="D374" t="s">
        <v>10</v>
      </c>
      <c r="E374" s="8">
        <v>41996</v>
      </c>
      <c r="F374" t="s">
        <v>2549</v>
      </c>
      <c r="G374" t="s">
        <v>2550</v>
      </c>
      <c r="H374" t="s">
        <v>3246</v>
      </c>
      <c r="I374" t="s">
        <v>609</v>
      </c>
    </row>
    <row r="375" spans="1:9" x14ac:dyDescent="0.25">
      <c r="A375" s="20" t="s">
        <v>2560</v>
      </c>
      <c r="B375" t="s">
        <v>2555</v>
      </c>
      <c r="C375" t="s">
        <v>2</v>
      </c>
      <c r="D375" t="s">
        <v>28</v>
      </c>
      <c r="E375" s="8">
        <v>42659</v>
      </c>
      <c r="F375" t="s">
        <v>2556</v>
      </c>
      <c r="G375" t="s">
        <v>2557</v>
      </c>
      <c r="H375" t="s">
        <v>3247</v>
      </c>
      <c r="I375" t="s">
        <v>725</v>
      </c>
    </row>
    <row r="376" spans="1:9" x14ac:dyDescent="0.25">
      <c r="A376" s="20" t="s">
        <v>2567</v>
      </c>
      <c r="B376" t="s">
        <v>2562</v>
      </c>
      <c r="C376" t="s">
        <v>2</v>
      </c>
      <c r="D376" t="s">
        <v>10</v>
      </c>
      <c r="E376" s="8">
        <v>42528</v>
      </c>
      <c r="F376" t="s">
        <v>2563</v>
      </c>
      <c r="G376" t="s">
        <v>2564</v>
      </c>
      <c r="H376" t="s">
        <v>3248</v>
      </c>
      <c r="I376" t="s">
        <v>609</v>
      </c>
    </row>
    <row r="377" spans="1:9" x14ac:dyDescent="0.25">
      <c r="A377" s="20" t="s">
        <v>2578</v>
      </c>
      <c r="B377" t="s">
        <v>2573</v>
      </c>
      <c r="C377" t="s">
        <v>2</v>
      </c>
      <c r="D377" t="s">
        <v>10</v>
      </c>
      <c r="E377" s="8">
        <v>42404</v>
      </c>
      <c r="F377" t="s">
        <v>2574</v>
      </c>
      <c r="G377" t="s">
        <v>2575</v>
      </c>
      <c r="H377" t="s">
        <v>3249</v>
      </c>
      <c r="I377" t="s">
        <v>435</v>
      </c>
    </row>
    <row r="378" spans="1:9" x14ac:dyDescent="0.25">
      <c r="A378" s="20" t="s">
        <v>2585</v>
      </c>
      <c r="B378" t="s">
        <v>2580</v>
      </c>
      <c r="C378" t="s">
        <v>66</v>
      </c>
      <c r="D378" t="s">
        <v>28</v>
      </c>
      <c r="E378" s="8">
        <v>41747</v>
      </c>
      <c r="F378" t="s">
        <v>2581</v>
      </c>
      <c r="G378" t="s">
        <v>2582</v>
      </c>
      <c r="H378" t="s">
        <v>3250</v>
      </c>
      <c r="I378" t="s">
        <v>725</v>
      </c>
    </row>
    <row r="379" spans="1:9" x14ac:dyDescent="0.25">
      <c r="A379" s="20" t="s">
        <v>2592</v>
      </c>
      <c r="B379" t="s">
        <v>2587</v>
      </c>
      <c r="C379" t="s">
        <v>2</v>
      </c>
      <c r="D379" t="s">
        <v>28</v>
      </c>
      <c r="E379" s="8">
        <v>41774</v>
      </c>
      <c r="F379" t="s">
        <v>2588</v>
      </c>
      <c r="G379" t="s">
        <v>2589</v>
      </c>
      <c r="H379" t="s">
        <v>3251</v>
      </c>
      <c r="I379" t="s">
        <v>725</v>
      </c>
    </row>
    <row r="380" spans="1:9" x14ac:dyDescent="0.25">
      <c r="A380" s="20" t="s">
        <v>2599</v>
      </c>
      <c r="B380" t="s">
        <v>2594</v>
      </c>
      <c r="C380" t="s">
        <v>2</v>
      </c>
      <c r="D380" t="s">
        <v>10</v>
      </c>
      <c r="E380" s="8">
        <v>42281</v>
      </c>
      <c r="F380" t="s">
        <v>2595</v>
      </c>
      <c r="G380" t="s">
        <v>2596</v>
      </c>
      <c r="H380" t="s">
        <v>3252</v>
      </c>
      <c r="I380" t="s">
        <v>2219</v>
      </c>
    </row>
    <row r="381" spans="1:9" x14ac:dyDescent="0.25">
      <c r="A381" s="20" t="s">
        <v>2606</v>
      </c>
      <c r="B381" t="s">
        <v>2601</v>
      </c>
      <c r="C381" t="s">
        <v>66</v>
      </c>
      <c r="D381" t="s">
        <v>59</v>
      </c>
      <c r="E381" s="8">
        <v>41917</v>
      </c>
      <c r="F381" t="s">
        <v>2602</v>
      </c>
      <c r="G381" t="s">
        <v>2603</v>
      </c>
      <c r="H381" t="s">
        <v>3253</v>
      </c>
      <c r="I381" t="s">
        <v>2219</v>
      </c>
    </row>
    <row r="382" spans="1:9" x14ac:dyDescent="0.25">
      <c r="A382" s="20" t="s">
        <v>2613</v>
      </c>
      <c r="B382" t="s">
        <v>2608</v>
      </c>
      <c r="C382" t="s">
        <v>66</v>
      </c>
      <c r="D382" t="s">
        <v>10</v>
      </c>
      <c r="E382" s="8">
        <v>41925</v>
      </c>
      <c r="F382" t="s">
        <v>2609</v>
      </c>
      <c r="G382" t="s">
        <v>2610</v>
      </c>
      <c r="H382" t="s">
        <v>3254</v>
      </c>
      <c r="I382" t="s">
        <v>2219</v>
      </c>
    </row>
    <row r="383" spans="1:9" x14ac:dyDescent="0.25">
      <c r="A383" s="20" t="s">
        <v>2620</v>
      </c>
      <c r="B383" t="s">
        <v>2615</v>
      </c>
      <c r="C383" t="s">
        <v>66</v>
      </c>
      <c r="D383" t="s">
        <v>28</v>
      </c>
      <c r="E383" s="8">
        <v>41758</v>
      </c>
      <c r="F383" t="s">
        <v>2616</v>
      </c>
      <c r="G383" t="s">
        <v>2617</v>
      </c>
      <c r="H383" t="s">
        <v>3255</v>
      </c>
      <c r="I383" t="s">
        <v>753</v>
      </c>
    </row>
    <row r="384" spans="1:9" x14ac:dyDescent="0.25">
      <c r="A384" s="20" t="s">
        <v>2624</v>
      </c>
      <c r="B384" t="s">
        <v>2601</v>
      </c>
      <c r="C384" t="s">
        <v>66</v>
      </c>
      <c r="D384" t="s">
        <v>59</v>
      </c>
      <c r="E384" s="8">
        <v>41917</v>
      </c>
      <c r="F384" t="s">
        <v>2602</v>
      </c>
      <c r="G384" t="s">
        <v>2603</v>
      </c>
      <c r="H384" t="s">
        <v>3256</v>
      </c>
      <c r="I384" t="s">
        <v>2219</v>
      </c>
    </row>
    <row r="385" spans="1:9" x14ac:dyDescent="0.25">
      <c r="A385" s="20" t="s">
        <v>2632</v>
      </c>
      <c r="B385" t="s">
        <v>2627</v>
      </c>
      <c r="C385" t="s">
        <v>2</v>
      </c>
      <c r="D385" t="s">
        <v>10</v>
      </c>
      <c r="E385" s="8">
        <v>42272</v>
      </c>
      <c r="F385" t="s">
        <v>2628</v>
      </c>
      <c r="G385" t="s">
        <v>2629</v>
      </c>
      <c r="H385" t="s">
        <v>3257</v>
      </c>
      <c r="I385" t="s">
        <v>2626</v>
      </c>
    </row>
    <row r="386" spans="1:9" x14ac:dyDescent="0.25">
      <c r="A386" s="20" t="s">
        <v>2636</v>
      </c>
      <c r="B386" t="s">
        <v>2294</v>
      </c>
      <c r="C386" t="s">
        <v>2</v>
      </c>
      <c r="D386" t="s">
        <v>2295</v>
      </c>
      <c r="E386" s="8">
        <v>41547</v>
      </c>
      <c r="F386" t="s">
        <v>2296</v>
      </c>
      <c r="G386" t="s">
        <v>2297</v>
      </c>
      <c r="H386" t="s">
        <v>3258</v>
      </c>
      <c r="I386" t="s">
        <v>2219</v>
      </c>
    </row>
    <row r="387" spans="1:9" x14ac:dyDescent="0.25">
      <c r="A387" s="20" t="s">
        <v>2642</v>
      </c>
      <c r="B387" t="s">
        <v>2638</v>
      </c>
      <c r="C387" t="s">
        <v>66</v>
      </c>
      <c r="D387" t="s">
        <v>28</v>
      </c>
      <c r="E387" s="8">
        <v>42047</v>
      </c>
      <c r="F387" t="s">
        <v>2639</v>
      </c>
      <c r="G387" t="s">
        <v>2640</v>
      </c>
      <c r="H387" t="s">
        <v>3259</v>
      </c>
      <c r="I387" t="s">
        <v>753</v>
      </c>
    </row>
    <row r="388" spans="1:9" x14ac:dyDescent="0.25">
      <c r="A388" s="20" t="s">
        <v>2645</v>
      </c>
      <c r="B388" t="s">
        <v>2594</v>
      </c>
      <c r="C388" t="s">
        <v>2</v>
      </c>
      <c r="D388" t="s">
        <v>10</v>
      </c>
      <c r="E388" s="8">
        <v>42281</v>
      </c>
      <c r="F388" t="s">
        <v>2595</v>
      </c>
      <c r="G388" t="s">
        <v>2596</v>
      </c>
      <c r="H388" t="s">
        <v>3260</v>
      </c>
      <c r="I388" t="s">
        <v>2219</v>
      </c>
    </row>
    <row r="389" spans="1:9" x14ac:dyDescent="0.25">
      <c r="A389" s="20" t="s">
        <v>2650</v>
      </c>
      <c r="B389" t="s">
        <v>2601</v>
      </c>
      <c r="C389" t="s">
        <v>66</v>
      </c>
      <c r="D389" t="s">
        <v>204</v>
      </c>
      <c r="E389" s="8">
        <v>41917</v>
      </c>
      <c r="F389" t="s">
        <v>2647</v>
      </c>
      <c r="G389" t="s">
        <v>2648</v>
      </c>
      <c r="H389" t="s">
        <v>3261</v>
      </c>
      <c r="I389" t="s">
        <v>2219</v>
      </c>
    </row>
    <row r="390" spans="1:9" x14ac:dyDescent="0.25">
      <c r="A390" s="20" t="s">
        <v>2657</v>
      </c>
      <c r="B390" t="s">
        <v>2652</v>
      </c>
      <c r="C390" t="s">
        <v>66</v>
      </c>
      <c r="D390" t="s">
        <v>10</v>
      </c>
      <c r="E390" s="8">
        <v>42170</v>
      </c>
      <c r="F390" t="s">
        <v>2653</v>
      </c>
      <c r="G390" t="s">
        <v>2654</v>
      </c>
      <c r="H390" t="s">
        <v>3262</v>
      </c>
      <c r="I390" t="s">
        <v>2219</v>
      </c>
    </row>
    <row r="391" spans="1:9" x14ac:dyDescent="0.25">
      <c r="A391" s="20" t="s">
        <v>2660</v>
      </c>
      <c r="B391" t="s">
        <v>2521</v>
      </c>
      <c r="C391" t="s">
        <v>2</v>
      </c>
      <c r="D391" t="s">
        <v>10</v>
      </c>
      <c r="E391" s="8">
        <v>42788</v>
      </c>
      <c r="F391" t="s">
        <v>2522</v>
      </c>
      <c r="G391" t="s">
        <v>2523</v>
      </c>
      <c r="H391" t="s">
        <v>3263</v>
      </c>
      <c r="I391" t="s">
        <v>2219</v>
      </c>
    </row>
    <row r="392" spans="1:9" x14ac:dyDescent="0.25">
      <c r="A392" s="20" t="s">
        <v>2667</v>
      </c>
      <c r="B392" t="s">
        <v>2662</v>
      </c>
      <c r="C392" t="s">
        <v>2</v>
      </c>
      <c r="D392" t="s">
        <v>10</v>
      </c>
      <c r="E392" s="8">
        <v>42501</v>
      </c>
      <c r="F392" t="s">
        <v>2663</v>
      </c>
      <c r="G392" t="s">
        <v>2664</v>
      </c>
      <c r="H392" t="s">
        <v>3264</v>
      </c>
      <c r="I392" t="s">
        <v>609</v>
      </c>
    </row>
    <row r="393" spans="1:9" x14ac:dyDescent="0.25">
      <c r="A393" s="20" t="s">
        <v>2670</v>
      </c>
      <c r="B393" t="s">
        <v>2594</v>
      </c>
      <c r="C393" t="s">
        <v>2</v>
      </c>
      <c r="D393" t="s">
        <v>10</v>
      </c>
      <c r="E393" s="8">
        <v>42281</v>
      </c>
      <c r="F393" t="s">
        <v>2595</v>
      </c>
      <c r="G393" t="s">
        <v>2596</v>
      </c>
      <c r="H393" t="s">
        <v>3265</v>
      </c>
      <c r="I393" t="s">
        <v>2219</v>
      </c>
    </row>
    <row r="394" spans="1:9" x14ac:dyDescent="0.25">
      <c r="A394" s="20" t="s">
        <v>2673</v>
      </c>
      <c r="B394" t="s">
        <v>2594</v>
      </c>
      <c r="C394" t="s">
        <v>2</v>
      </c>
      <c r="D394" t="s">
        <v>10</v>
      </c>
      <c r="E394" s="8">
        <v>42281</v>
      </c>
      <c r="F394" t="s">
        <v>2595</v>
      </c>
      <c r="G394" t="s">
        <v>2596</v>
      </c>
      <c r="H394" t="s">
        <v>3266</v>
      </c>
      <c r="I394" t="s">
        <v>2219</v>
      </c>
    </row>
    <row r="395" spans="1:9" x14ac:dyDescent="0.25">
      <c r="A395" s="20" t="s">
        <v>2679</v>
      </c>
      <c r="B395" t="s">
        <v>2675</v>
      </c>
      <c r="C395" t="s">
        <v>2</v>
      </c>
      <c r="D395" t="s">
        <v>28</v>
      </c>
      <c r="E395" s="8">
        <v>41991</v>
      </c>
      <c r="F395" t="s">
        <v>2676</v>
      </c>
      <c r="G395" t="s">
        <v>2677</v>
      </c>
      <c r="H395" t="s">
        <v>3267</v>
      </c>
      <c r="I395" t="s">
        <v>753</v>
      </c>
    </row>
    <row r="396" spans="1:9" x14ac:dyDescent="0.25">
      <c r="A396" s="20" t="s">
        <v>2686</v>
      </c>
      <c r="B396" t="s">
        <v>2681</v>
      </c>
      <c r="C396" t="s">
        <v>66</v>
      </c>
      <c r="D396" t="s">
        <v>28</v>
      </c>
      <c r="E396" s="8">
        <v>41906</v>
      </c>
      <c r="F396" t="s">
        <v>2682</v>
      </c>
      <c r="G396" t="s">
        <v>2683</v>
      </c>
      <c r="H396" t="s">
        <v>3268</v>
      </c>
      <c r="I396" t="s">
        <v>2219</v>
      </c>
    </row>
    <row r="397" spans="1:9" x14ac:dyDescent="0.25">
      <c r="A397" s="20" t="s">
        <v>2693</v>
      </c>
      <c r="B397" t="s">
        <v>2688</v>
      </c>
      <c r="C397" t="s">
        <v>2</v>
      </c>
      <c r="D397" t="s">
        <v>10</v>
      </c>
      <c r="E397" s="8">
        <v>41840</v>
      </c>
      <c r="F397" t="s">
        <v>2689</v>
      </c>
      <c r="G397" t="s">
        <v>2690</v>
      </c>
      <c r="H397" t="s">
        <v>3269</v>
      </c>
      <c r="I397" t="s">
        <v>435</v>
      </c>
    </row>
    <row r="398" spans="1:9" x14ac:dyDescent="0.25">
      <c r="A398" s="20" t="s">
        <v>2699</v>
      </c>
      <c r="B398" t="s">
        <v>2695</v>
      </c>
      <c r="C398" t="s">
        <v>2</v>
      </c>
      <c r="D398" t="s">
        <v>10</v>
      </c>
      <c r="E398" s="8">
        <v>42563</v>
      </c>
      <c r="F398" t="s">
        <v>2696</v>
      </c>
      <c r="G398" t="s">
        <v>2697</v>
      </c>
      <c r="H398" t="s">
        <v>3270</v>
      </c>
      <c r="I398" t="s">
        <v>2626</v>
      </c>
    </row>
    <row r="399" spans="1:9" x14ac:dyDescent="0.25">
      <c r="A399" s="20" t="s">
        <v>2706</v>
      </c>
      <c r="B399" t="s">
        <v>2701</v>
      </c>
      <c r="C399" t="s">
        <v>66</v>
      </c>
      <c r="D399" t="s">
        <v>10</v>
      </c>
      <c r="E399" s="8">
        <v>41762</v>
      </c>
      <c r="F399" t="s">
        <v>2702</v>
      </c>
      <c r="G399" t="s">
        <v>2703</v>
      </c>
      <c r="H399" t="s">
        <v>3271</v>
      </c>
      <c r="I399" t="s">
        <v>2219</v>
      </c>
    </row>
    <row r="400" spans="1:9" x14ac:dyDescent="0.25">
      <c r="A400" s="20" t="s">
        <v>2713</v>
      </c>
      <c r="B400" t="s">
        <v>2708</v>
      </c>
      <c r="C400" t="s">
        <v>2</v>
      </c>
      <c r="D400" t="s">
        <v>2709</v>
      </c>
      <c r="E400" s="8">
        <v>42614</v>
      </c>
      <c r="F400" t="s">
        <v>2710</v>
      </c>
      <c r="G400" t="s">
        <v>2711</v>
      </c>
      <c r="H400" t="s">
        <v>3272</v>
      </c>
      <c r="I400" t="s">
        <v>2626</v>
      </c>
    </row>
    <row r="401" spans="1:9" x14ac:dyDescent="0.25">
      <c r="A401" s="20" t="s">
        <v>2716</v>
      </c>
      <c r="B401" t="s">
        <v>2681</v>
      </c>
      <c r="C401" t="s">
        <v>66</v>
      </c>
      <c r="D401" t="s">
        <v>28</v>
      </c>
      <c r="E401" s="8">
        <v>41906</v>
      </c>
      <c r="F401" t="s">
        <v>2682</v>
      </c>
      <c r="G401" t="s">
        <v>2683</v>
      </c>
      <c r="H401" t="s">
        <v>3273</v>
      </c>
      <c r="I401" t="s">
        <v>2219</v>
      </c>
    </row>
    <row r="402" spans="1:9" x14ac:dyDescent="0.25">
      <c r="A402" s="20" t="s">
        <v>2722</v>
      </c>
      <c r="B402" t="s">
        <v>2718</v>
      </c>
      <c r="C402" t="s">
        <v>2</v>
      </c>
      <c r="D402" t="s">
        <v>28</v>
      </c>
      <c r="E402" s="8">
        <v>41868</v>
      </c>
      <c r="F402" t="s">
        <v>2719</v>
      </c>
      <c r="G402" t="s">
        <v>2720</v>
      </c>
      <c r="H402" t="s">
        <v>3274</v>
      </c>
      <c r="I402" t="s">
        <v>753</v>
      </c>
    </row>
    <row r="403" spans="1:9" x14ac:dyDescent="0.25">
      <c r="A403" s="20" t="s">
        <v>2725</v>
      </c>
      <c r="B403" t="s">
        <v>2538</v>
      </c>
      <c r="C403" t="s">
        <v>66</v>
      </c>
      <c r="D403" t="s">
        <v>10</v>
      </c>
      <c r="E403" s="8">
        <v>41967</v>
      </c>
      <c r="F403" t="s">
        <v>2539</v>
      </c>
      <c r="G403" t="s">
        <v>2540</v>
      </c>
      <c r="H403" t="s">
        <v>3275</v>
      </c>
      <c r="I403" t="s">
        <v>2219</v>
      </c>
    </row>
    <row r="404" spans="1:9" x14ac:dyDescent="0.25">
      <c r="A404" s="20" t="s">
        <v>2731</v>
      </c>
      <c r="B404" t="s">
        <v>2727</v>
      </c>
      <c r="C404" t="s">
        <v>2</v>
      </c>
      <c r="D404" t="s">
        <v>59</v>
      </c>
      <c r="E404" s="8">
        <v>42742</v>
      </c>
      <c r="F404" t="s">
        <v>2728</v>
      </c>
      <c r="G404" t="s">
        <v>2729</v>
      </c>
      <c r="H404" t="s">
        <v>3276</v>
      </c>
      <c r="I404" t="s">
        <v>441</v>
      </c>
    </row>
    <row r="405" spans="1:9" x14ac:dyDescent="0.25">
      <c r="A405" s="20" t="s">
        <v>2744</v>
      </c>
      <c r="B405" t="s">
        <v>2738</v>
      </c>
      <c r="C405" t="s">
        <v>66</v>
      </c>
      <c r="D405" t="s">
        <v>2739</v>
      </c>
      <c r="E405" s="8">
        <v>41866</v>
      </c>
      <c r="F405" t="s">
        <v>2740</v>
      </c>
      <c r="G405" t="s">
        <v>2741</v>
      </c>
      <c r="H405" t="s">
        <v>3277</v>
      </c>
      <c r="I405" t="s">
        <v>2219</v>
      </c>
    </row>
    <row r="406" spans="1:9" x14ac:dyDescent="0.25">
      <c r="A406" s="20" t="s">
        <v>2750</v>
      </c>
      <c r="B406" t="s">
        <v>2746</v>
      </c>
      <c r="C406" t="s">
        <v>66</v>
      </c>
      <c r="D406" t="s">
        <v>10</v>
      </c>
      <c r="E406" s="8">
        <v>42556</v>
      </c>
      <c r="F406" t="s">
        <v>2747</v>
      </c>
      <c r="G406" t="s">
        <v>2748</v>
      </c>
      <c r="H406" t="s">
        <v>3278</v>
      </c>
      <c r="I406" t="s">
        <v>441</v>
      </c>
    </row>
    <row r="407" spans="1:9" x14ac:dyDescent="0.25">
      <c r="A407" s="20" t="s">
        <v>2757</v>
      </c>
      <c r="B407" t="s">
        <v>2753</v>
      </c>
      <c r="C407" t="s">
        <v>2</v>
      </c>
      <c r="D407" t="s">
        <v>28</v>
      </c>
      <c r="E407" s="8">
        <v>41913</v>
      </c>
      <c r="F407" t="s">
        <v>2754</v>
      </c>
      <c r="G407" t="s">
        <v>2755</v>
      </c>
      <c r="H407" t="s">
        <v>3279</v>
      </c>
      <c r="I407" t="s">
        <v>753</v>
      </c>
    </row>
    <row r="408" spans="1:9" x14ac:dyDescent="0.25">
      <c r="A408" s="20" t="s">
        <v>2760</v>
      </c>
      <c r="B408" t="s">
        <v>2738</v>
      </c>
      <c r="C408" t="s">
        <v>66</v>
      </c>
      <c r="D408" t="s">
        <v>2739</v>
      </c>
      <c r="E408" s="8">
        <v>41866</v>
      </c>
      <c r="F408" t="s">
        <v>2740</v>
      </c>
      <c r="G408" t="s">
        <v>2741</v>
      </c>
      <c r="H408" t="s">
        <v>3280</v>
      </c>
      <c r="I408" t="s">
        <v>2219</v>
      </c>
    </row>
    <row r="409" spans="1:9" x14ac:dyDescent="0.25">
      <c r="A409" s="20" t="s">
        <v>2766</v>
      </c>
      <c r="B409" t="s">
        <v>2762</v>
      </c>
      <c r="C409" t="s">
        <v>2</v>
      </c>
      <c r="D409" t="s">
        <v>10</v>
      </c>
      <c r="E409" s="8">
        <v>42931</v>
      </c>
      <c r="F409" t="s">
        <v>2763</v>
      </c>
      <c r="G409" t="s">
        <v>2764</v>
      </c>
      <c r="H409" t="s">
        <v>3281</v>
      </c>
      <c r="I409" t="s">
        <v>441</v>
      </c>
    </row>
    <row r="410" spans="1:9" x14ac:dyDescent="0.25">
      <c r="A410" s="20" t="s">
        <v>2772</v>
      </c>
      <c r="B410" t="s">
        <v>2768</v>
      </c>
      <c r="C410" t="s">
        <v>2</v>
      </c>
      <c r="D410" t="s">
        <v>10</v>
      </c>
      <c r="E410" s="8">
        <v>42256</v>
      </c>
      <c r="F410" t="s">
        <v>2769</v>
      </c>
      <c r="G410" t="s">
        <v>2770</v>
      </c>
      <c r="H410" t="s">
        <v>3282</v>
      </c>
      <c r="I410" t="s">
        <v>441</v>
      </c>
    </row>
    <row r="411" spans="1:9" x14ac:dyDescent="0.25">
      <c r="A411" s="20" t="s">
        <v>2779</v>
      </c>
      <c r="B411" t="s">
        <v>2774</v>
      </c>
      <c r="C411" t="s">
        <v>2</v>
      </c>
      <c r="D411" t="s">
        <v>10</v>
      </c>
      <c r="E411" s="8">
        <v>41814</v>
      </c>
      <c r="F411" t="s">
        <v>2775</v>
      </c>
      <c r="G411" t="s">
        <v>2776</v>
      </c>
      <c r="H411" t="s">
        <v>3283</v>
      </c>
      <c r="I411" t="s">
        <v>725</v>
      </c>
    </row>
    <row r="412" spans="1:9" x14ac:dyDescent="0.25">
      <c r="A412" s="20" t="s">
        <v>2787</v>
      </c>
      <c r="B412" t="s">
        <v>2782</v>
      </c>
      <c r="C412" t="s">
        <v>66</v>
      </c>
      <c r="D412" s="22">
        <v>42287</v>
      </c>
      <c r="E412" s="8">
        <v>42287</v>
      </c>
      <c r="F412" t="s">
        <v>2783</v>
      </c>
      <c r="G412" t="s">
        <v>2784</v>
      </c>
      <c r="H412" t="s">
        <v>3284</v>
      </c>
      <c r="I412" t="s">
        <v>2781</v>
      </c>
    </row>
    <row r="413" spans="1:9" x14ac:dyDescent="0.25">
      <c r="A413" s="20" t="s">
        <v>2793</v>
      </c>
      <c r="B413" t="s">
        <v>2789</v>
      </c>
      <c r="C413" t="s">
        <v>2</v>
      </c>
      <c r="D413" t="s">
        <v>28</v>
      </c>
      <c r="E413" s="8">
        <v>41909</v>
      </c>
      <c r="F413" t="s">
        <v>2790</v>
      </c>
      <c r="G413" t="s">
        <v>2791</v>
      </c>
      <c r="H413" t="s">
        <v>3285</v>
      </c>
      <c r="I413" t="s">
        <v>753</v>
      </c>
    </row>
    <row r="414" spans="1:9" x14ac:dyDescent="0.25">
      <c r="A414" s="20" t="s">
        <v>2800</v>
      </c>
      <c r="B414" t="s">
        <v>2795</v>
      </c>
      <c r="C414" t="s">
        <v>2</v>
      </c>
      <c r="D414" t="s">
        <v>28</v>
      </c>
      <c r="E414" s="8">
        <v>42487</v>
      </c>
      <c r="F414" t="s">
        <v>2796</v>
      </c>
      <c r="G414" t="s">
        <v>2797</v>
      </c>
      <c r="H414" t="s">
        <v>3286</v>
      </c>
      <c r="I414" t="s">
        <v>753</v>
      </c>
    </row>
    <row r="415" spans="1:9" x14ac:dyDescent="0.25">
      <c r="A415" s="20" t="s">
        <v>2806</v>
      </c>
      <c r="B415" t="s">
        <v>2802</v>
      </c>
      <c r="C415" t="s">
        <v>2</v>
      </c>
      <c r="D415" t="s">
        <v>28</v>
      </c>
      <c r="E415" s="8">
        <v>41839</v>
      </c>
      <c r="F415" t="s">
        <v>2803</v>
      </c>
      <c r="G415" t="s">
        <v>2804</v>
      </c>
      <c r="H415" t="s">
        <v>3287</v>
      </c>
      <c r="I415" t="s">
        <v>753</v>
      </c>
    </row>
    <row r="416" spans="1:9" x14ac:dyDescent="0.25">
      <c r="A416" s="20" t="s">
        <v>2812</v>
      </c>
      <c r="B416" t="s">
        <v>2808</v>
      </c>
      <c r="C416" t="s">
        <v>2</v>
      </c>
      <c r="D416" t="s">
        <v>28</v>
      </c>
      <c r="E416" s="8">
        <v>42173</v>
      </c>
      <c r="F416" t="s">
        <v>2809</v>
      </c>
      <c r="G416" t="s">
        <v>2810</v>
      </c>
      <c r="H416" t="s">
        <v>3288</v>
      </c>
      <c r="I416" t="s">
        <v>753</v>
      </c>
    </row>
    <row r="417" spans="1:9" x14ac:dyDescent="0.25">
      <c r="A417" s="20" t="s">
        <v>2816</v>
      </c>
      <c r="B417" t="s">
        <v>2814</v>
      </c>
      <c r="C417" t="s">
        <v>2</v>
      </c>
      <c r="D417" t="s">
        <v>10</v>
      </c>
      <c r="E417" s="8">
        <v>41824</v>
      </c>
      <c r="F417" t="s">
        <v>2185</v>
      </c>
      <c r="G417" t="s">
        <v>2186</v>
      </c>
      <c r="H417" t="s">
        <v>3289</v>
      </c>
      <c r="I417" t="s">
        <v>725</v>
      </c>
    </row>
    <row r="418" spans="1:9" x14ac:dyDescent="0.25">
      <c r="A418" s="20" t="s">
        <v>2820</v>
      </c>
      <c r="B418" t="s">
        <v>2818</v>
      </c>
      <c r="C418" t="s">
        <v>2</v>
      </c>
      <c r="D418" t="s">
        <v>10</v>
      </c>
      <c r="E418" s="8">
        <v>41814</v>
      </c>
      <c r="F418" t="s">
        <v>2775</v>
      </c>
      <c r="G418" t="s">
        <v>2776</v>
      </c>
      <c r="H418" t="s">
        <v>3290</v>
      </c>
      <c r="I418" t="s">
        <v>725</v>
      </c>
    </row>
    <row r="419" spans="1:9" x14ac:dyDescent="0.25">
      <c r="A419" s="20" t="s">
        <v>2820</v>
      </c>
      <c r="B419" t="s">
        <v>2814</v>
      </c>
      <c r="C419" t="s">
        <v>2</v>
      </c>
      <c r="D419" t="s">
        <v>10</v>
      </c>
      <c r="E419" s="8">
        <v>41824</v>
      </c>
      <c r="F419" t="s">
        <v>2185</v>
      </c>
      <c r="G419" t="s">
        <v>2186</v>
      </c>
      <c r="H419" t="s">
        <v>3290</v>
      </c>
      <c r="I419" t="s">
        <v>725</v>
      </c>
    </row>
    <row r="420" spans="1:9" x14ac:dyDescent="0.25">
      <c r="A420" s="20" t="s">
        <v>2820</v>
      </c>
      <c r="B420" t="s">
        <v>2814</v>
      </c>
      <c r="C420" t="s">
        <v>2</v>
      </c>
      <c r="D420" t="s">
        <v>10</v>
      </c>
      <c r="E420" s="8">
        <v>41824</v>
      </c>
      <c r="F420" t="s">
        <v>2185</v>
      </c>
      <c r="G420" t="s">
        <v>2186</v>
      </c>
      <c r="H420" t="s">
        <v>3290</v>
      </c>
      <c r="I420" t="s">
        <v>725</v>
      </c>
    </row>
    <row r="421" spans="1:9" x14ac:dyDescent="0.25">
      <c r="A421" s="20" t="s">
        <v>2823</v>
      </c>
      <c r="B421" t="s">
        <v>744</v>
      </c>
      <c r="C421" t="s">
        <v>2</v>
      </c>
      <c r="D421" t="s">
        <v>10</v>
      </c>
      <c r="E421" s="8">
        <v>41824</v>
      </c>
      <c r="F421" t="s">
        <v>2185</v>
      </c>
      <c r="G421" t="s">
        <v>2186</v>
      </c>
      <c r="H421" t="s">
        <v>3291</v>
      </c>
      <c r="I421" t="s">
        <v>725</v>
      </c>
    </row>
    <row r="422" spans="1:9" x14ac:dyDescent="0.25">
      <c r="A422" s="20" t="s">
        <v>2823</v>
      </c>
      <c r="B422" t="s">
        <v>2818</v>
      </c>
      <c r="C422" t="s">
        <v>2</v>
      </c>
      <c r="D422" t="s">
        <v>10</v>
      </c>
      <c r="E422" s="8">
        <v>41814</v>
      </c>
      <c r="F422" t="s">
        <v>2775</v>
      </c>
      <c r="G422" t="s">
        <v>2776</v>
      </c>
      <c r="H422" t="s">
        <v>3291</v>
      </c>
      <c r="I422" t="s">
        <v>725</v>
      </c>
    </row>
    <row r="423" spans="1:9" x14ac:dyDescent="0.25">
      <c r="A423" s="20" t="s">
        <v>2830</v>
      </c>
      <c r="B423" t="s">
        <v>2825</v>
      </c>
      <c r="C423" t="s">
        <v>2</v>
      </c>
      <c r="D423" t="s">
        <v>315</v>
      </c>
      <c r="E423" s="8">
        <v>41394</v>
      </c>
      <c r="F423" t="s">
        <v>2826</v>
      </c>
      <c r="G423" t="s">
        <v>2827</v>
      </c>
      <c r="H423" t="s">
        <v>3292</v>
      </c>
      <c r="I423" t="s">
        <v>2219</v>
      </c>
    </row>
    <row r="424" spans="1:9" x14ac:dyDescent="0.25">
      <c r="A424" s="20" t="s">
        <v>2835</v>
      </c>
      <c r="B424" t="s">
        <v>2832</v>
      </c>
      <c r="C424" t="s">
        <v>66</v>
      </c>
      <c r="D424" t="s">
        <v>28</v>
      </c>
      <c r="E424" s="8">
        <v>41818</v>
      </c>
      <c r="F424" t="s">
        <v>2833</v>
      </c>
      <c r="G424" t="s">
        <v>194</v>
      </c>
      <c r="H424" t="s">
        <v>3293</v>
      </c>
      <c r="I424" t="s">
        <v>2008</v>
      </c>
    </row>
    <row r="425" spans="1:9" x14ac:dyDescent="0.25">
      <c r="A425" s="20" t="s">
        <v>2841</v>
      </c>
      <c r="B425" t="s">
        <v>2837</v>
      </c>
      <c r="C425" t="s">
        <v>2</v>
      </c>
      <c r="D425" t="s">
        <v>28</v>
      </c>
      <c r="E425" s="8">
        <v>41926</v>
      </c>
      <c r="F425" t="s">
        <v>2838</v>
      </c>
      <c r="G425" t="s">
        <v>2839</v>
      </c>
      <c r="H425" t="s">
        <v>3294</v>
      </c>
      <c r="I425" t="s">
        <v>2008</v>
      </c>
    </row>
    <row r="426" spans="1:9" x14ac:dyDescent="0.25">
      <c r="A426" s="20" t="s">
        <v>2848</v>
      </c>
      <c r="B426" t="s">
        <v>2843</v>
      </c>
      <c r="C426" t="s">
        <v>2</v>
      </c>
      <c r="D426" t="s">
        <v>116</v>
      </c>
      <c r="E426" s="8">
        <v>42040</v>
      </c>
      <c r="F426" t="s">
        <v>2844</v>
      </c>
      <c r="G426" t="s">
        <v>2845</v>
      </c>
      <c r="H426" t="s">
        <v>3295</v>
      </c>
      <c r="I426" t="s">
        <v>435</v>
      </c>
    </row>
    <row r="427" spans="1:9" x14ac:dyDescent="0.25">
      <c r="A427" s="20" t="s">
        <v>2854</v>
      </c>
      <c r="B427" t="s">
        <v>2850</v>
      </c>
      <c r="C427" t="s">
        <v>66</v>
      </c>
      <c r="D427" t="s">
        <v>28</v>
      </c>
      <c r="E427" s="8">
        <v>42537</v>
      </c>
      <c r="F427" t="s">
        <v>2851</v>
      </c>
      <c r="G427" t="s">
        <v>2852</v>
      </c>
      <c r="H427" t="s">
        <v>3296</v>
      </c>
      <c r="I427" t="s">
        <v>2008</v>
      </c>
    </row>
    <row r="428" spans="1:9" x14ac:dyDescent="0.25">
      <c r="A428" s="20" t="s">
        <v>2861</v>
      </c>
      <c r="B428" t="s">
        <v>2856</v>
      </c>
      <c r="C428" t="s">
        <v>2</v>
      </c>
      <c r="D428" t="s">
        <v>402</v>
      </c>
      <c r="E428" s="8">
        <v>42344</v>
      </c>
      <c r="F428" t="s">
        <v>2857</v>
      </c>
      <c r="G428" t="s">
        <v>2858</v>
      </c>
      <c r="H428" t="s">
        <v>3297</v>
      </c>
      <c r="I428" t="s">
        <v>435</v>
      </c>
    </row>
    <row r="429" spans="1:9" x14ac:dyDescent="0.25">
      <c r="A429" s="20" t="s">
        <v>2864</v>
      </c>
      <c r="B429" t="s">
        <v>2843</v>
      </c>
      <c r="C429" t="s">
        <v>2</v>
      </c>
      <c r="D429" t="s">
        <v>116</v>
      </c>
      <c r="E429" s="8">
        <v>42040</v>
      </c>
      <c r="F429" t="s">
        <v>2844</v>
      </c>
      <c r="G429" t="s">
        <v>2845</v>
      </c>
      <c r="H429" t="s">
        <v>3298</v>
      </c>
      <c r="I429" t="s">
        <v>435</v>
      </c>
    </row>
    <row r="430" spans="1:9" x14ac:dyDescent="0.25">
      <c r="A430" s="20" t="s">
        <v>2864</v>
      </c>
      <c r="B430" t="s">
        <v>2843</v>
      </c>
      <c r="C430" t="s">
        <v>2</v>
      </c>
      <c r="D430" t="s">
        <v>116</v>
      </c>
      <c r="E430" s="8">
        <v>42040</v>
      </c>
      <c r="F430" t="s">
        <v>2844</v>
      </c>
      <c r="G430" t="s">
        <v>2845</v>
      </c>
      <c r="H430" t="s">
        <v>3298</v>
      </c>
      <c r="I430" t="s">
        <v>435</v>
      </c>
    </row>
    <row r="431" spans="1:9" x14ac:dyDescent="0.25">
      <c r="A431" s="20" t="s">
        <v>2871</v>
      </c>
      <c r="B431" t="s">
        <v>2866</v>
      </c>
      <c r="C431" t="s">
        <v>2</v>
      </c>
      <c r="D431" t="s">
        <v>28</v>
      </c>
      <c r="E431" s="8">
        <v>41741</v>
      </c>
      <c r="F431" t="s">
        <v>2867</v>
      </c>
      <c r="G431" t="s">
        <v>2868</v>
      </c>
      <c r="H431" t="s">
        <v>3299</v>
      </c>
      <c r="I431" t="s">
        <v>725</v>
      </c>
    </row>
    <row r="432" spans="1:9" x14ac:dyDescent="0.25">
      <c r="A432" s="20" t="s">
        <v>2871</v>
      </c>
      <c r="B432" t="s">
        <v>2856</v>
      </c>
      <c r="C432" t="s">
        <v>2</v>
      </c>
      <c r="D432" t="s">
        <v>402</v>
      </c>
      <c r="E432" s="8">
        <v>42344</v>
      </c>
      <c r="F432" t="s">
        <v>2857</v>
      </c>
      <c r="G432" t="s">
        <v>2858</v>
      </c>
      <c r="H432" t="s">
        <v>3299</v>
      </c>
      <c r="I432" t="s">
        <v>435</v>
      </c>
    </row>
    <row r="433" spans="1:9" x14ac:dyDescent="0.25">
      <c r="A433" s="20" t="s">
        <v>2875</v>
      </c>
      <c r="B433" t="s">
        <v>2843</v>
      </c>
      <c r="C433" t="s">
        <v>2</v>
      </c>
      <c r="D433" t="s">
        <v>116</v>
      </c>
      <c r="E433" s="8">
        <v>42040</v>
      </c>
      <c r="F433" t="s">
        <v>2844</v>
      </c>
      <c r="G433" t="s">
        <v>2845</v>
      </c>
      <c r="H433" t="s">
        <v>3300</v>
      </c>
      <c r="I433" t="s">
        <v>435</v>
      </c>
    </row>
    <row r="434" spans="1:9" x14ac:dyDescent="0.25">
      <c r="A434" s="20" t="s">
        <v>2875</v>
      </c>
      <c r="B434" t="s">
        <v>2856</v>
      </c>
      <c r="C434" t="s">
        <v>2</v>
      </c>
      <c r="D434" t="s">
        <v>402</v>
      </c>
      <c r="E434" s="8">
        <v>42344</v>
      </c>
      <c r="F434" t="s">
        <v>2857</v>
      </c>
      <c r="G434" t="s">
        <v>2858</v>
      </c>
      <c r="H434" t="s">
        <v>3300</v>
      </c>
      <c r="I434" t="s">
        <v>435</v>
      </c>
    </row>
    <row r="435" spans="1:9" x14ac:dyDescent="0.25">
      <c r="A435" s="20" t="s">
        <v>2878</v>
      </c>
      <c r="B435" t="s">
        <v>2843</v>
      </c>
      <c r="C435" t="s">
        <v>2</v>
      </c>
      <c r="D435" t="s">
        <v>116</v>
      </c>
      <c r="E435" s="8">
        <v>42040</v>
      </c>
      <c r="F435" t="s">
        <v>2844</v>
      </c>
      <c r="G435" t="s">
        <v>2845</v>
      </c>
      <c r="H435" t="s">
        <v>3301</v>
      </c>
      <c r="I435" t="s">
        <v>435</v>
      </c>
    </row>
    <row r="436" spans="1:9" x14ac:dyDescent="0.25">
      <c r="A436" s="20" t="s">
        <v>2885</v>
      </c>
      <c r="B436" t="s">
        <v>2881</v>
      </c>
      <c r="C436" t="s">
        <v>2</v>
      </c>
      <c r="D436" t="s">
        <v>365</v>
      </c>
      <c r="E436" s="8">
        <v>42709</v>
      </c>
      <c r="F436" t="s">
        <v>2882</v>
      </c>
      <c r="G436" t="s">
        <v>2883</v>
      </c>
      <c r="H436" t="s">
        <v>3302</v>
      </c>
      <c r="I436" t="s">
        <v>2880</v>
      </c>
    </row>
    <row r="437" spans="1:9" x14ac:dyDescent="0.25">
      <c r="A437" s="20" t="s">
        <v>2888</v>
      </c>
      <c r="B437" t="s">
        <v>2009</v>
      </c>
      <c r="C437" t="s">
        <v>2</v>
      </c>
      <c r="D437" t="s">
        <v>28</v>
      </c>
      <c r="E437" s="8">
        <v>42131</v>
      </c>
      <c r="F437" t="s">
        <v>2010</v>
      </c>
      <c r="G437" t="s">
        <v>2011</v>
      </c>
      <c r="H437" t="s">
        <v>3303</v>
      </c>
      <c r="I437" t="s">
        <v>2008</v>
      </c>
    </row>
    <row r="438" spans="1:9" x14ac:dyDescent="0.25">
      <c r="A438" s="20" t="s">
        <v>2895</v>
      </c>
      <c r="B438" t="s">
        <v>2890</v>
      </c>
      <c r="C438" t="s">
        <v>66</v>
      </c>
      <c r="D438" t="s">
        <v>10</v>
      </c>
      <c r="E438" s="8">
        <v>42313</v>
      </c>
      <c r="F438" t="s">
        <v>2891</v>
      </c>
      <c r="G438" t="s">
        <v>2892</v>
      </c>
      <c r="H438" t="s">
        <v>3304</v>
      </c>
      <c r="I438" t="s">
        <v>435</v>
      </c>
    </row>
    <row r="439" spans="1:9" x14ac:dyDescent="0.25">
      <c r="A439" s="20" t="s">
        <v>2899</v>
      </c>
      <c r="B439" t="s">
        <v>2843</v>
      </c>
      <c r="C439" t="s">
        <v>2</v>
      </c>
      <c r="D439" t="s">
        <v>116</v>
      </c>
      <c r="E439" s="8">
        <v>42040</v>
      </c>
      <c r="F439" t="s">
        <v>2844</v>
      </c>
      <c r="G439" t="s">
        <v>2845</v>
      </c>
      <c r="H439" t="s">
        <v>3305</v>
      </c>
      <c r="I439" t="s">
        <v>435</v>
      </c>
    </row>
    <row r="440" spans="1:9" x14ac:dyDescent="0.25">
      <c r="A440" s="20" t="s">
        <v>2902</v>
      </c>
      <c r="B440" t="s">
        <v>2890</v>
      </c>
      <c r="C440" t="s">
        <v>66</v>
      </c>
      <c r="D440" t="s">
        <v>10</v>
      </c>
      <c r="E440" s="8">
        <v>42313</v>
      </c>
      <c r="F440" t="s">
        <v>2891</v>
      </c>
      <c r="G440" t="s">
        <v>2892</v>
      </c>
      <c r="H440" t="s">
        <v>3306</v>
      </c>
      <c r="I440" t="s">
        <v>435</v>
      </c>
    </row>
    <row r="441" spans="1:9" x14ac:dyDescent="0.25">
      <c r="A441" s="20" t="s">
        <v>2910</v>
      </c>
      <c r="B441" t="s">
        <v>2843</v>
      </c>
      <c r="C441" t="s">
        <v>2</v>
      </c>
      <c r="D441" t="s">
        <v>116</v>
      </c>
      <c r="E441" s="8">
        <v>42040</v>
      </c>
      <c r="F441" t="s">
        <v>2844</v>
      </c>
      <c r="G441" t="s">
        <v>2845</v>
      </c>
      <c r="H441" t="s">
        <v>3307</v>
      </c>
      <c r="I441" t="s">
        <v>435</v>
      </c>
    </row>
    <row r="442" spans="1:9" x14ac:dyDescent="0.25">
      <c r="A442" s="20" t="s">
        <v>2913</v>
      </c>
      <c r="B442" t="s">
        <v>2890</v>
      </c>
      <c r="C442" t="s">
        <v>66</v>
      </c>
      <c r="D442" t="s">
        <v>10</v>
      </c>
      <c r="E442" s="8">
        <v>42313</v>
      </c>
      <c r="F442" t="s">
        <v>2891</v>
      </c>
      <c r="G442" t="s">
        <v>2892</v>
      </c>
      <c r="H442" t="s">
        <v>3308</v>
      </c>
      <c r="I442" t="s">
        <v>435</v>
      </c>
    </row>
    <row r="443" spans="1:9" x14ac:dyDescent="0.25">
      <c r="A443" s="20" t="s">
        <v>2913</v>
      </c>
      <c r="B443" t="s">
        <v>1459</v>
      </c>
      <c r="C443" t="s">
        <v>66</v>
      </c>
      <c r="D443" t="s">
        <v>1255</v>
      </c>
      <c r="E443" s="8">
        <v>41734</v>
      </c>
      <c r="F443" t="s">
        <v>1460</v>
      </c>
      <c r="G443" t="s">
        <v>1461</v>
      </c>
      <c r="H443" t="s">
        <v>3308</v>
      </c>
      <c r="I443" t="s">
        <v>511</v>
      </c>
    </row>
    <row r="444" spans="1:9" x14ac:dyDescent="0.25">
      <c r="A444" s="20" t="s">
        <v>2929</v>
      </c>
      <c r="B444" t="s">
        <v>2924</v>
      </c>
      <c r="C444" t="s">
        <v>2</v>
      </c>
      <c r="D444" t="s">
        <v>28</v>
      </c>
      <c r="E444" s="8">
        <v>41783</v>
      </c>
      <c r="F444" t="s">
        <v>2925</v>
      </c>
      <c r="G444" t="s">
        <v>2926</v>
      </c>
      <c r="H444" t="s">
        <v>3309</v>
      </c>
      <c r="I444" t="s">
        <v>2923</v>
      </c>
    </row>
    <row r="445" spans="1:9" x14ac:dyDescent="0.25">
      <c r="A445" s="20" t="s">
        <v>2935</v>
      </c>
      <c r="B445" t="s">
        <v>2931</v>
      </c>
      <c r="C445" t="s">
        <v>2</v>
      </c>
      <c r="D445" t="s">
        <v>28</v>
      </c>
      <c r="E445" s="8">
        <v>42162</v>
      </c>
      <c r="F445" t="s">
        <v>2932</v>
      </c>
      <c r="G445" t="s">
        <v>2933</v>
      </c>
      <c r="H445" t="s">
        <v>3310</v>
      </c>
      <c r="I445" t="s">
        <v>2923</v>
      </c>
    </row>
    <row r="446" spans="1:9" x14ac:dyDescent="0.25">
      <c r="A446" s="20" t="s">
        <v>2942</v>
      </c>
      <c r="B446" t="s">
        <v>2937</v>
      </c>
      <c r="C446" t="s">
        <v>2</v>
      </c>
      <c r="D446" t="s">
        <v>28</v>
      </c>
      <c r="E446" s="8">
        <v>42014</v>
      </c>
      <c r="F446" t="s">
        <v>2938</v>
      </c>
      <c r="G446" t="s">
        <v>2939</v>
      </c>
      <c r="H446" t="s">
        <v>3311</v>
      </c>
      <c r="I446" t="s">
        <v>2923</v>
      </c>
    </row>
    <row r="447" spans="1:9" x14ac:dyDescent="0.25">
      <c r="A447" s="20" t="s">
        <v>2948</v>
      </c>
      <c r="B447" t="s">
        <v>2944</v>
      </c>
      <c r="C447" t="s">
        <v>2</v>
      </c>
      <c r="D447" t="s">
        <v>28</v>
      </c>
      <c r="E447" s="8">
        <v>41225</v>
      </c>
      <c r="F447" t="s">
        <v>2945</v>
      </c>
      <c r="G447" t="s">
        <v>2946</v>
      </c>
      <c r="H447" t="s">
        <v>3312</v>
      </c>
      <c r="I447" t="s">
        <v>2923</v>
      </c>
    </row>
    <row r="448" spans="1:9" x14ac:dyDescent="0.25">
      <c r="A448" s="20" t="s">
        <v>2954</v>
      </c>
      <c r="B448" t="s">
        <v>2950</v>
      </c>
      <c r="C448" t="s">
        <v>2</v>
      </c>
      <c r="D448" t="s">
        <v>28</v>
      </c>
      <c r="E448" s="8">
        <v>41623</v>
      </c>
      <c r="F448" t="s">
        <v>2951</v>
      </c>
      <c r="G448" t="s">
        <v>2952</v>
      </c>
      <c r="H448" t="s">
        <v>3313</v>
      </c>
      <c r="I448" t="s">
        <v>2923</v>
      </c>
    </row>
    <row r="449" spans="1:9" x14ac:dyDescent="0.25">
      <c r="A449" s="20" t="s">
        <v>2960</v>
      </c>
      <c r="B449" t="s">
        <v>2956</v>
      </c>
      <c r="C449" t="s">
        <v>2</v>
      </c>
      <c r="D449" t="s">
        <v>28</v>
      </c>
      <c r="E449" s="8">
        <v>42439</v>
      </c>
      <c r="F449" t="s">
        <v>2957</v>
      </c>
      <c r="G449" t="s">
        <v>2958</v>
      </c>
      <c r="H449" t="s">
        <v>3314</v>
      </c>
      <c r="I449" t="s">
        <v>2923</v>
      </c>
    </row>
    <row r="450" spans="1:9" x14ac:dyDescent="0.25">
      <c r="A450" s="20" t="s">
        <v>2966</v>
      </c>
      <c r="B450" t="s">
        <v>2962</v>
      </c>
      <c r="C450" t="s">
        <v>2</v>
      </c>
      <c r="D450" t="s">
        <v>28</v>
      </c>
      <c r="E450" s="8">
        <v>41460</v>
      </c>
      <c r="F450" t="s">
        <v>2963</v>
      </c>
      <c r="G450" t="s">
        <v>2964</v>
      </c>
      <c r="H450" t="s">
        <v>3315</v>
      </c>
      <c r="I450" t="s">
        <v>2923</v>
      </c>
    </row>
    <row r="451" spans="1:9" x14ac:dyDescent="0.25">
      <c r="A451" s="20" t="s">
        <v>2972</v>
      </c>
      <c r="B451" t="s">
        <v>2968</v>
      </c>
      <c r="C451" t="s">
        <v>2</v>
      </c>
      <c r="D451" t="s">
        <v>28</v>
      </c>
      <c r="E451" s="8">
        <v>41647</v>
      </c>
      <c r="F451" t="s">
        <v>2969</v>
      </c>
      <c r="G451" t="s">
        <v>2970</v>
      </c>
      <c r="H451" t="s">
        <v>3316</v>
      </c>
      <c r="I451" t="s">
        <v>2923</v>
      </c>
    </row>
    <row r="452" spans="1:9" x14ac:dyDescent="0.25">
      <c r="A452" s="20" t="s">
        <v>2979</v>
      </c>
      <c r="B452" t="s">
        <v>2974</v>
      </c>
      <c r="C452" t="s">
        <v>2</v>
      </c>
      <c r="D452" t="s">
        <v>28</v>
      </c>
      <c r="E452" s="8">
        <v>41965</v>
      </c>
      <c r="F452" t="s">
        <v>2975</v>
      </c>
      <c r="G452" t="s">
        <v>2976</v>
      </c>
      <c r="H452" t="s">
        <v>3317</v>
      </c>
      <c r="I452" t="s">
        <v>490</v>
      </c>
    </row>
    <row r="453" spans="1:9" x14ac:dyDescent="0.25">
      <c r="A453" s="20" t="s">
        <v>2985</v>
      </c>
      <c r="B453" t="s">
        <v>2981</v>
      </c>
      <c r="C453" t="s">
        <v>66</v>
      </c>
      <c r="D453" t="s">
        <v>28</v>
      </c>
      <c r="E453" s="8">
        <v>41535</v>
      </c>
      <c r="F453" t="s">
        <v>2982</v>
      </c>
      <c r="G453" t="s">
        <v>2983</v>
      </c>
      <c r="H453" t="s">
        <v>3318</v>
      </c>
      <c r="I453" t="s">
        <v>2923</v>
      </c>
    </row>
    <row r="454" spans="1:9" x14ac:dyDescent="0.25">
      <c r="A454" s="20" t="s">
        <v>2988</v>
      </c>
      <c r="B454" t="s">
        <v>2974</v>
      </c>
      <c r="C454" t="s">
        <v>2</v>
      </c>
      <c r="D454" t="s">
        <v>28</v>
      </c>
      <c r="E454" s="8">
        <v>41965</v>
      </c>
      <c r="F454" t="s">
        <v>2975</v>
      </c>
      <c r="G454" t="s">
        <v>2976</v>
      </c>
      <c r="H454" t="s">
        <v>3319</v>
      </c>
      <c r="I454" t="s">
        <v>490</v>
      </c>
    </row>
    <row r="455" spans="1:9" x14ac:dyDescent="0.25">
      <c r="A455" s="20" t="s">
        <v>2994</v>
      </c>
      <c r="B455" t="s">
        <v>2990</v>
      </c>
      <c r="C455" t="s">
        <v>66</v>
      </c>
      <c r="D455" t="s">
        <v>365</v>
      </c>
      <c r="E455" s="8">
        <v>42319</v>
      </c>
      <c r="F455" t="s">
        <v>2991</v>
      </c>
      <c r="G455" t="s">
        <v>2992</v>
      </c>
      <c r="H455" t="s">
        <v>3320</v>
      </c>
      <c r="I455" t="s">
        <v>2923</v>
      </c>
    </row>
    <row r="456" spans="1:9" x14ac:dyDescent="0.25">
      <c r="A456" s="20" t="s">
        <v>2998</v>
      </c>
      <c r="B456" t="s">
        <v>2974</v>
      </c>
      <c r="C456" t="s">
        <v>2</v>
      </c>
      <c r="D456" t="s">
        <v>28</v>
      </c>
      <c r="E456" s="8">
        <v>41965</v>
      </c>
      <c r="F456" t="s">
        <v>2975</v>
      </c>
      <c r="G456" t="s">
        <v>2976</v>
      </c>
      <c r="H456" t="s">
        <v>3321</v>
      </c>
      <c r="I456" t="s">
        <v>490</v>
      </c>
    </row>
    <row r="457" spans="1:9" x14ac:dyDescent="0.25">
      <c r="A457" s="20" t="s">
        <v>3002</v>
      </c>
      <c r="B457" t="s">
        <v>3000</v>
      </c>
      <c r="C457" t="s">
        <v>2</v>
      </c>
      <c r="D457" t="s">
        <v>28</v>
      </c>
      <c r="E457" s="8">
        <v>42588</v>
      </c>
      <c r="F457" t="s">
        <v>2982</v>
      </c>
      <c r="G457" t="s">
        <v>2755</v>
      </c>
      <c r="H457" t="s">
        <v>3322</v>
      </c>
      <c r="I457" t="s">
        <v>2219</v>
      </c>
    </row>
  </sheetData>
  <sortState xmlns:xlrd2="http://schemas.microsoft.com/office/spreadsheetml/2017/richdata2" ref="A4:I175">
    <sortCondition ref="I4:I175"/>
    <sortCondition ref="B4:B175"/>
  </sortState>
  <mergeCells count="1">
    <mergeCell ref="A1:I1"/>
  </mergeCells>
  <printOptions horizontalCentered="1"/>
  <pageMargins left="0" right="0" top="0.39370078740157483" bottom="0" header="0" footer="0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587F-A3DE-4A99-A84F-C357DC4F9416}">
  <dimension ref="A1:J540"/>
  <sheetViews>
    <sheetView tabSelected="1" topLeftCell="A503" workbookViewId="0">
      <selection sqref="A1:J537"/>
    </sheetView>
  </sheetViews>
  <sheetFormatPr defaultRowHeight="15" x14ac:dyDescent="0.25"/>
  <cols>
    <col min="1" max="1" width="26.28515625" customWidth="1"/>
    <col min="2" max="2" width="15.28515625" bestFit="1" customWidth="1"/>
    <col min="3" max="3" width="39" bestFit="1" customWidth="1"/>
    <col min="4" max="4" width="13.42578125" customWidth="1"/>
    <col min="5" max="5" width="14.5703125" customWidth="1"/>
    <col min="6" max="6" width="12" style="113" customWidth="1"/>
    <col min="7" max="7" width="23.7109375" customWidth="1"/>
    <col min="8" max="8" width="30.140625" bestFit="1" customWidth="1"/>
    <col min="9" max="9" width="72.5703125" hidden="1" customWidth="1"/>
    <col min="10" max="10" width="36.140625" bestFit="1" customWidth="1"/>
  </cols>
  <sheetData>
    <row r="1" spans="1:10" ht="15.75" thickBot="1" x14ac:dyDescent="0.3">
      <c r="A1" s="120" t="s">
        <v>3368</v>
      </c>
      <c r="B1" s="120" t="s">
        <v>5249</v>
      </c>
      <c r="C1" s="120" t="s">
        <v>5250</v>
      </c>
      <c r="D1" s="120" t="s">
        <v>227</v>
      </c>
      <c r="E1" s="120" t="s">
        <v>5251</v>
      </c>
      <c r="F1" s="120" t="s">
        <v>5251</v>
      </c>
      <c r="G1" s="120" t="s">
        <v>3159</v>
      </c>
      <c r="H1" s="120" t="s">
        <v>3160</v>
      </c>
    </row>
    <row r="2" spans="1:10" ht="15.75" thickBot="1" x14ac:dyDescent="0.3">
      <c r="A2" s="5" t="s">
        <v>289</v>
      </c>
      <c r="B2" s="118" t="s">
        <v>4386</v>
      </c>
      <c r="C2" s="5" t="s">
        <v>285</v>
      </c>
      <c r="D2" s="5" t="s">
        <v>2</v>
      </c>
      <c r="E2" s="5" t="s">
        <v>28</v>
      </c>
      <c r="F2" s="121">
        <v>41826</v>
      </c>
      <c r="G2" s="5" t="s">
        <v>286</v>
      </c>
      <c r="H2" s="5" t="s">
        <v>287</v>
      </c>
      <c r="I2" s="114" t="s">
        <v>288</v>
      </c>
      <c r="J2" t="str">
        <f>VLOOKUP(C2,FORMGOOGLE,7,FALSE)</f>
        <v>https://drive.google.com/open?id=1psFhggJNjW0Q06-AS_03545oWNwba2eD</v>
      </c>
    </row>
    <row r="3" spans="1:10" ht="15.75" thickBot="1" x14ac:dyDescent="0.3">
      <c r="A3" s="5" t="s">
        <v>289</v>
      </c>
      <c r="B3" s="119" t="s">
        <v>4387</v>
      </c>
      <c r="C3" s="5" t="s">
        <v>291</v>
      </c>
      <c r="D3" s="5" t="s">
        <v>2</v>
      </c>
      <c r="E3" s="5" t="s">
        <v>28</v>
      </c>
      <c r="F3" s="121">
        <v>41995</v>
      </c>
      <c r="G3" s="5" t="s">
        <v>292</v>
      </c>
      <c r="H3" s="5" t="s">
        <v>293</v>
      </c>
      <c r="I3" s="114" t="s">
        <v>294</v>
      </c>
      <c r="J3" t="str">
        <f>VLOOKUP(C3,FORMGOOGLE,7,FALSE)</f>
        <v>https://drive.google.com/open?id=1s3LFdyMeqFalnRmaui5QMwT40phv-BJm</v>
      </c>
    </row>
    <row r="4" spans="1:10" ht="15.75" thickBot="1" x14ac:dyDescent="0.3">
      <c r="A4" s="5" t="s">
        <v>753</v>
      </c>
      <c r="B4" s="118" t="s">
        <v>4390</v>
      </c>
      <c r="C4" s="5" t="s">
        <v>2638</v>
      </c>
      <c r="D4" s="5" t="s">
        <v>66</v>
      </c>
      <c r="E4" s="5" t="s">
        <v>28</v>
      </c>
      <c r="F4" s="121">
        <v>42047</v>
      </c>
      <c r="G4" s="5" t="s">
        <v>2639</v>
      </c>
      <c r="H4" s="5" t="s">
        <v>2640</v>
      </c>
      <c r="I4" s="114" t="s">
        <v>3259</v>
      </c>
      <c r="J4" t="str">
        <f>VLOOKUP(C4,FORMGOOGLE,7,FALSE)</f>
        <v>https://drive.google.com/open?id=1SDaqqz8FjmLECG_PwZoqNVbdvUH_ztDm</v>
      </c>
    </row>
    <row r="5" spans="1:10" ht="15.75" thickBot="1" x14ac:dyDescent="0.3">
      <c r="A5" s="5" t="s">
        <v>753</v>
      </c>
      <c r="B5" s="119" t="s">
        <v>4397</v>
      </c>
      <c r="C5" s="5" t="s">
        <v>2808</v>
      </c>
      <c r="D5" s="5" t="s">
        <v>2</v>
      </c>
      <c r="E5" s="5" t="s">
        <v>28</v>
      </c>
      <c r="F5" s="121">
        <v>42173</v>
      </c>
      <c r="G5" s="5" t="s">
        <v>2809</v>
      </c>
      <c r="H5" s="5" t="s">
        <v>2810</v>
      </c>
      <c r="I5" s="114" t="s">
        <v>3288</v>
      </c>
      <c r="J5" t="str">
        <f>VLOOKUP(C5,FORMGOOGLE,7,FALSE)</f>
        <v>https://drive.google.com/open?id=1W8hDgK5sI05j5MzPA1OqlLedyPVaqiKk</v>
      </c>
    </row>
    <row r="6" spans="1:10" ht="15.75" thickBot="1" x14ac:dyDescent="0.3">
      <c r="A6" s="5" t="s">
        <v>753</v>
      </c>
      <c r="B6" s="118" t="s">
        <v>4388</v>
      </c>
      <c r="C6" s="5" t="s">
        <v>749</v>
      </c>
      <c r="D6" s="5" t="s">
        <v>66</v>
      </c>
      <c r="E6" s="5" t="s">
        <v>28</v>
      </c>
      <c r="F6" s="121">
        <v>42478</v>
      </c>
      <c r="G6" s="5" t="s">
        <v>750</v>
      </c>
      <c r="H6" s="5" t="s">
        <v>751</v>
      </c>
      <c r="I6" s="114" t="s">
        <v>752</v>
      </c>
      <c r="J6" t="str">
        <f>VLOOKUP(C6,FORMGOOGLE,7,FALSE)</f>
        <v>https://drive.google.com/open?id=1ToQh-zRpk_WlpucmnutVYAyqHT-2h9kZ</v>
      </c>
    </row>
    <row r="7" spans="1:10" ht="15.75" thickBot="1" x14ac:dyDescent="0.3">
      <c r="A7" s="5" t="s">
        <v>753</v>
      </c>
      <c r="B7" s="119" t="s">
        <v>4391</v>
      </c>
      <c r="C7" s="5" t="s">
        <v>2675</v>
      </c>
      <c r="D7" s="5" t="s">
        <v>2</v>
      </c>
      <c r="E7" s="5" t="s">
        <v>28</v>
      </c>
      <c r="F7" s="121">
        <v>41991</v>
      </c>
      <c r="G7" s="5" t="s">
        <v>2676</v>
      </c>
      <c r="H7" s="5" t="s">
        <v>2677</v>
      </c>
      <c r="I7" s="114" t="s">
        <v>3267</v>
      </c>
      <c r="J7" t="str">
        <f>VLOOKUP(C7,FORMGOOGLE,7,FALSE)</f>
        <v>https://drive.google.com/open?id=1u4o_UvKvF0x01zSTBUeEJEoT5rrIyOlJ</v>
      </c>
    </row>
    <row r="8" spans="1:10" ht="15.75" thickBot="1" x14ac:dyDescent="0.3">
      <c r="A8" s="5" t="s">
        <v>753</v>
      </c>
      <c r="B8" s="118" t="s">
        <v>4392</v>
      </c>
      <c r="C8" s="5" t="s">
        <v>2718</v>
      </c>
      <c r="D8" s="5" t="s">
        <v>2</v>
      </c>
      <c r="E8" s="5" t="s">
        <v>28</v>
      </c>
      <c r="F8" s="121">
        <v>41868</v>
      </c>
      <c r="G8" s="5" t="s">
        <v>2719</v>
      </c>
      <c r="H8" s="5" t="s">
        <v>2720</v>
      </c>
      <c r="I8" s="114" t="s">
        <v>3274</v>
      </c>
      <c r="J8" t="str">
        <f>VLOOKUP(C8,FORMGOOGLE,7,FALSE)</f>
        <v>https://drive.google.com/open?id=1r8lhsDsZB1mTBwxbps_rfzhzJYlY8199</v>
      </c>
    </row>
    <row r="9" spans="1:10" ht="15.75" thickBot="1" x14ac:dyDescent="0.3">
      <c r="A9" s="5" t="s">
        <v>753</v>
      </c>
      <c r="B9" s="119" t="s">
        <v>4393</v>
      </c>
      <c r="C9" s="5" t="s">
        <v>2753</v>
      </c>
      <c r="D9" s="5" t="s">
        <v>2</v>
      </c>
      <c r="E9" s="5" t="s">
        <v>28</v>
      </c>
      <c r="F9" s="121">
        <v>41913</v>
      </c>
      <c r="G9" s="5" t="s">
        <v>2754</v>
      </c>
      <c r="H9" s="5" t="s">
        <v>2755</v>
      </c>
      <c r="I9" s="114" t="s">
        <v>3279</v>
      </c>
      <c r="J9" t="str">
        <f>VLOOKUP(C9,FORMGOOGLE,7,FALSE)</f>
        <v>https://drive.google.com/open?id=1P9GETMCZuDRzZgKdSxk5zWGFoSP12QmI</v>
      </c>
    </row>
    <row r="10" spans="1:10" ht="15.75" thickBot="1" x14ac:dyDescent="0.3">
      <c r="A10" s="5" t="s">
        <v>753</v>
      </c>
      <c r="B10" s="118" t="s">
        <v>4394</v>
      </c>
      <c r="C10" s="5" t="s">
        <v>2789</v>
      </c>
      <c r="D10" s="5" t="s">
        <v>2</v>
      </c>
      <c r="E10" s="5" t="s">
        <v>28</v>
      </c>
      <c r="F10" s="121">
        <v>41909</v>
      </c>
      <c r="G10" s="5" t="s">
        <v>2790</v>
      </c>
      <c r="H10" s="5" t="s">
        <v>2791</v>
      </c>
      <c r="I10" s="114" t="s">
        <v>3285</v>
      </c>
      <c r="J10" t="str">
        <f>VLOOKUP(C10,FORMGOOGLE,7,FALSE)</f>
        <v>https://drive.google.com/open?id=1LQ3SXlZFH3Kriut1xpptlTEswZCHq4A0</v>
      </c>
    </row>
    <row r="11" spans="1:10" ht="15.75" thickBot="1" x14ac:dyDescent="0.3">
      <c r="A11" s="5" t="s">
        <v>753</v>
      </c>
      <c r="B11" s="119" t="s">
        <v>4389</v>
      </c>
      <c r="C11" s="5" t="s">
        <v>2615</v>
      </c>
      <c r="D11" s="5" t="s">
        <v>66</v>
      </c>
      <c r="E11" s="5" t="s">
        <v>28</v>
      </c>
      <c r="F11" s="121">
        <v>41758</v>
      </c>
      <c r="G11" s="5" t="s">
        <v>2616</v>
      </c>
      <c r="H11" s="5" t="s">
        <v>2617</v>
      </c>
      <c r="I11" s="114" t="s">
        <v>3255</v>
      </c>
      <c r="J11" t="str">
        <f>VLOOKUP(C11,FORMGOOGLE,7,FALSE)</f>
        <v>https://drive.google.com/open?id=1YxamQuGn0RJyCNFoEPZglloBjiyHVl6i</v>
      </c>
    </row>
    <row r="12" spans="1:10" ht="15.75" thickBot="1" x14ac:dyDescent="0.3">
      <c r="A12" s="5" t="s">
        <v>753</v>
      </c>
      <c r="B12" s="119" t="s">
        <v>4395</v>
      </c>
      <c r="C12" s="5" t="s">
        <v>2795</v>
      </c>
      <c r="D12" s="5" t="s">
        <v>2</v>
      </c>
      <c r="E12" s="5" t="s">
        <v>28</v>
      </c>
      <c r="F12" s="121">
        <v>42487</v>
      </c>
      <c r="G12" s="5" t="s">
        <v>2796</v>
      </c>
      <c r="H12" s="5" t="s">
        <v>2797</v>
      </c>
      <c r="I12" s="114" t="s">
        <v>3286</v>
      </c>
      <c r="J12" t="str">
        <f>VLOOKUP(C12,FORMGOOGLE,7,FALSE)</f>
        <v>https://drive.google.com/open?id=1YWO7rWiFVnhn0tRv8W3X-a00y4gtsNI4</v>
      </c>
    </row>
    <row r="13" spans="1:10" ht="15.75" thickBot="1" x14ac:dyDescent="0.3">
      <c r="A13" s="5" t="s">
        <v>753</v>
      </c>
      <c r="B13" s="118" t="s">
        <v>4396</v>
      </c>
      <c r="C13" s="5" t="s">
        <v>2802</v>
      </c>
      <c r="D13" s="5" t="s">
        <v>2</v>
      </c>
      <c r="E13" s="5" t="s">
        <v>28</v>
      </c>
      <c r="F13" s="121">
        <v>41839</v>
      </c>
      <c r="G13" s="5" t="s">
        <v>2803</v>
      </c>
      <c r="H13" s="5" t="s">
        <v>2804</v>
      </c>
      <c r="I13" s="114" t="s">
        <v>3287</v>
      </c>
      <c r="J13" t="str">
        <f>VLOOKUP(C13,FORMGOOGLE,7,FALSE)</f>
        <v>https://drive.google.com/open?id=1Us9NmwNeMDot6NKD1jcBov-79KpCK0LS</v>
      </c>
    </row>
    <row r="14" spans="1:10" ht="15.75" thickBot="1" x14ac:dyDescent="0.3">
      <c r="A14" s="5" t="s">
        <v>2923</v>
      </c>
      <c r="B14" s="118" t="s">
        <v>3018</v>
      </c>
      <c r="C14" s="5" t="s">
        <v>2924</v>
      </c>
      <c r="D14" s="5" t="s">
        <v>2</v>
      </c>
      <c r="E14" s="5" t="s">
        <v>28</v>
      </c>
      <c r="F14" s="121">
        <v>41783</v>
      </c>
      <c r="G14" s="5" t="s">
        <v>2925</v>
      </c>
      <c r="H14" s="5" t="s">
        <v>2926</v>
      </c>
      <c r="I14" s="114" t="s">
        <v>4889</v>
      </c>
      <c r="J14" t="str">
        <f>VLOOKUP(C14,FORMGOOGLE,7,FALSE)</f>
        <v>https://drive.google.com/open?id=1C51UXKX1Af2XhYpo4kzWo5odMfbe8247</v>
      </c>
    </row>
    <row r="15" spans="1:10" ht="15.75" thickBot="1" x14ac:dyDescent="0.3">
      <c r="A15" s="5" t="s">
        <v>2923</v>
      </c>
      <c r="B15" s="118" t="s">
        <v>305</v>
      </c>
      <c r="C15" s="5" t="s">
        <v>2931</v>
      </c>
      <c r="D15" s="5" t="s">
        <v>2</v>
      </c>
      <c r="E15" s="5" t="s">
        <v>28</v>
      </c>
      <c r="F15" s="121">
        <v>42162</v>
      </c>
      <c r="G15" s="5" t="s">
        <v>2932</v>
      </c>
      <c r="H15" s="5" t="s">
        <v>2933</v>
      </c>
      <c r="I15" s="114" t="s">
        <v>5136</v>
      </c>
      <c r="J15" t="str">
        <f>VLOOKUP(C15,FORMGOOGLE,7,FALSE)</f>
        <v>https://drive.google.com/open?id=17R178bEH6_2S7-9jSMjX57QObAXF9FYp</v>
      </c>
    </row>
    <row r="16" spans="1:10" ht="15.75" thickBot="1" x14ac:dyDescent="0.3">
      <c r="A16" s="5" t="s">
        <v>2923</v>
      </c>
      <c r="B16" s="119" t="s">
        <v>3024</v>
      </c>
      <c r="C16" s="5" t="s">
        <v>2981</v>
      </c>
      <c r="D16" s="5" t="s">
        <v>66</v>
      </c>
      <c r="E16" s="5" t="s">
        <v>28</v>
      </c>
      <c r="F16" s="121">
        <v>41535</v>
      </c>
      <c r="G16" s="5" t="s">
        <v>2982</v>
      </c>
      <c r="H16" s="5" t="s">
        <v>2983</v>
      </c>
      <c r="I16" s="114" t="s">
        <v>4906</v>
      </c>
      <c r="J16" t="str">
        <f>VLOOKUP(C16,FORMGOOGLE,7,FALSE)</f>
        <v>https://drive.google.com/open?id=1qGm-QRWyqDsIZkhML52S6NH-RwMvUYiy</v>
      </c>
    </row>
    <row r="17" spans="1:10" ht="15.75" thickBot="1" x14ac:dyDescent="0.3">
      <c r="A17" s="5" t="s">
        <v>2923</v>
      </c>
      <c r="B17" s="119" t="s">
        <v>3020</v>
      </c>
      <c r="C17" s="5" t="s">
        <v>2937</v>
      </c>
      <c r="D17" s="5" t="s">
        <v>2</v>
      </c>
      <c r="E17" s="5" t="s">
        <v>28</v>
      </c>
      <c r="F17" s="121">
        <v>42014</v>
      </c>
      <c r="G17" s="5" t="s">
        <v>2938</v>
      </c>
      <c r="H17" s="5" t="s">
        <v>2939</v>
      </c>
      <c r="I17" s="114" t="s">
        <v>4896</v>
      </c>
      <c r="J17" t="str">
        <f>VLOOKUP(C17,FORMGOOGLE,7,FALSE)</f>
        <v>https://drive.google.com/open?id=1wL3CWr0Gn9cLKlyE0U8bGtu8WY7vXviv</v>
      </c>
    </row>
    <row r="18" spans="1:10" ht="15.75" thickBot="1" x14ac:dyDescent="0.3">
      <c r="A18" s="5" t="s">
        <v>2923</v>
      </c>
      <c r="B18" s="119" t="s">
        <v>3957</v>
      </c>
      <c r="C18" s="5" t="s">
        <v>2944</v>
      </c>
      <c r="D18" s="5" t="s">
        <v>2</v>
      </c>
      <c r="E18" s="5" t="s">
        <v>28</v>
      </c>
      <c r="F18" s="121">
        <v>41225</v>
      </c>
      <c r="G18" s="5" t="s">
        <v>2945</v>
      </c>
      <c r="H18" s="5" t="s">
        <v>2946</v>
      </c>
      <c r="I18" s="114" t="s">
        <v>3312</v>
      </c>
      <c r="J18" t="str">
        <f>VLOOKUP(C18,FORMGOOGLE,7,FALSE)</f>
        <v>https://drive.google.com/open?id=1vx1SZia4zdlYgIbXOiIyE6NYSe4wniNU</v>
      </c>
    </row>
    <row r="19" spans="1:10" ht="15.75" thickBot="1" x14ac:dyDescent="0.3">
      <c r="A19" s="5" t="s">
        <v>2923</v>
      </c>
      <c r="B19" s="118" t="s">
        <v>3025</v>
      </c>
      <c r="C19" s="5" t="s">
        <v>2990</v>
      </c>
      <c r="D19" s="5" t="s">
        <v>66</v>
      </c>
      <c r="E19" s="5" t="s">
        <v>365</v>
      </c>
      <c r="F19" s="121">
        <v>42319</v>
      </c>
      <c r="G19" s="5" t="s">
        <v>2991</v>
      </c>
      <c r="H19" s="5" t="s">
        <v>2992</v>
      </c>
      <c r="I19" s="114" t="s">
        <v>4907</v>
      </c>
      <c r="J19" t="str">
        <f>VLOOKUP(C19,FORMGOOGLE,7,FALSE)</f>
        <v>https://drive.google.com/open?id=1y2qD4wd4tDgkcXaQD7yK5oTP4OfOIvjX</v>
      </c>
    </row>
    <row r="20" spans="1:10" ht="15.75" thickBot="1" x14ac:dyDescent="0.3">
      <c r="A20" s="5" t="s">
        <v>2923</v>
      </c>
      <c r="B20" s="118" t="s">
        <v>3019</v>
      </c>
      <c r="C20" s="5" t="s">
        <v>2950</v>
      </c>
      <c r="D20" s="5" t="s">
        <v>2</v>
      </c>
      <c r="E20" s="5" t="s">
        <v>28</v>
      </c>
      <c r="F20" s="121">
        <v>41623</v>
      </c>
      <c r="G20" s="5" t="s">
        <v>2951</v>
      </c>
      <c r="H20" s="5" t="s">
        <v>2952</v>
      </c>
      <c r="I20" s="114" t="s">
        <v>4895</v>
      </c>
      <c r="J20" t="str">
        <f>VLOOKUP(C20,FORMGOOGLE,7,FALSE)</f>
        <v>https://drive.google.com/open?id=1shRgiKCJZVHa6Qym8d8BV16gfOpmDnrE</v>
      </c>
    </row>
    <row r="21" spans="1:10" ht="15.75" thickBot="1" x14ac:dyDescent="0.3">
      <c r="A21" s="5" t="s">
        <v>2923</v>
      </c>
      <c r="B21" s="118" t="s">
        <v>3027</v>
      </c>
      <c r="C21" s="5" t="s">
        <v>2956</v>
      </c>
      <c r="D21" s="5" t="s">
        <v>2</v>
      </c>
      <c r="E21" s="5" t="s">
        <v>28</v>
      </c>
      <c r="F21" s="121">
        <v>42439</v>
      </c>
      <c r="G21" s="5" t="s">
        <v>2957</v>
      </c>
      <c r="H21" s="5" t="s">
        <v>2958</v>
      </c>
      <c r="I21" s="114" t="s">
        <v>4909</v>
      </c>
      <c r="J21" t="str">
        <f>VLOOKUP(C21,FORMGOOGLE,7,FALSE)</f>
        <v>https://drive.google.com/open?id=1SuWjRqIfc1qZRW9Yf3GB0-lr5u8jcoPC</v>
      </c>
    </row>
    <row r="22" spans="1:10" ht="15.75" thickBot="1" x14ac:dyDescent="0.3">
      <c r="A22" s="5" t="s">
        <v>2923</v>
      </c>
      <c r="B22" s="119" t="s">
        <v>3026</v>
      </c>
      <c r="C22" s="5" t="s">
        <v>2962</v>
      </c>
      <c r="D22" s="5" t="s">
        <v>2</v>
      </c>
      <c r="E22" s="5" t="s">
        <v>28</v>
      </c>
      <c r="F22" s="121">
        <v>41460</v>
      </c>
      <c r="G22" s="5" t="s">
        <v>2963</v>
      </c>
      <c r="H22" s="5" t="s">
        <v>2964</v>
      </c>
      <c r="I22" s="114" t="s">
        <v>4908</v>
      </c>
      <c r="J22" t="str">
        <f>VLOOKUP(C22,FORMGOOGLE,7,FALSE)</f>
        <v>https://drive.google.com/open?id=12c4t_m0zza-it1xv_urKVMYoyt7MNKWn</v>
      </c>
    </row>
    <row r="23" spans="1:10" ht="15.75" thickBot="1" x14ac:dyDescent="0.3">
      <c r="A23" s="5" t="s">
        <v>2923</v>
      </c>
      <c r="B23" s="118" t="s">
        <v>3023</v>
      </c>
      <c r="C23" s="5" t="s">
        <v>2968</v>
      </c>
      <c r="D23" s="5" t="s">
        <v>2</v>
      </c>
      <c r="E23" s="5" t="s">
        <v>28</v>
      </c>
      <c r="F23" s="121">
        <v>41647</v>
      </c>
      <c r="G23" s="5" t="s">
        <v>2969</v>
      </c>
      <c r="H23" s="5" t="s">
        <v>2970</v>
      </c>
      <c r="I23" s="114" t="s">
        <v>4905</v>
      </c>
      <c r="J23" t="str">
        <f>VLOOKUP(C23,FORMGOOGLE,7,FALSE)</f>
        <v>https://drive.google.com/open?id=1_JUM-Dzr0Tv1XNL-uaCLH8CjHS214BKH</v>
      </c>
    </row>
    <row r="24" spans="1:10" ht="15.75" thickBot="1" x14ac:dyDescent="0.3">
      <c r="A24" s="5" t="s">
        <v>332</v>
      </c>
      <c r="B24" s="118" t="s">
        <v>326</v>
      </c>
      <c r="C24" s="5" t="s">
        <v>327</v>
      </c>
      <c r="D24" s="5" t="s">
        <v>66</v>
      </c>
      <c r="E24" s="5" t="s">
        <v>328</v>
      </c>
      <c r="F24" s="121">
        <v>40488</v>
      </c>
      <c r="G24" s="5" t="s">
        <v>329</v>
      </c>
      <c r="H24" s="5" t="s">
        <v>330</v>
      </c>
      <c r="I24" s="114" t="s">
        <v>331</v>
      </c>
      <c r="J24" t="str">
        <f>VLOOKUP(C24,FORMGOOGLE,7,FALSE)</f>
        <v>https://drive.google.com/open?id=1zJxeD9iN9seXb_L27garPAey51BnnRwZ</v>
      </c>
    </row>
    <row r="25" spans="1:10" ht="15.75" thickBot="1" x14ac:dyDescent="0.3">
      <c r="A25" s="5" t="s">
        <v>268</v>
      </c>
      <c r="B25" s="119" t="s">
        <v>4417</v>
      </c>
      <c r="C25" s="5" t="s">
        <v>600</v>
      </c>
      <c r="D25" s="5" t="s">
        <v>2</v>
      </c>
      <c r="E25" s="5" t="s">
        <v>10</v>
      </c>
      <c r="F25" s="121">
        <v>42646</v>
      </c>
      <c r="G25" s="5" t="s">
        <v>601</v>
      </c>
      <c r="H25" s="5" t="s">
        <v>602</v>
      </c>
      <c r="I25" s="114" t="s">
        <v>603</v>
      </c>
      <c r="J25" t="str">
        <f>VLOOKUP(C25,FORMGOOGLE,7,FALSE)</f>
        <v>https://drive.google.com/open?id=1EcVxtN9dv15cYho_5juDQU1P4AKGTRNH</v>
      </c>
    </row>
    <row r="26" spans="1:10" ht="15.75" thickBot="1" x14ac:dyDescent="0.3">
      <c r="A26" s="5" t="s">
        <v>268</v>
      </c>
      <c r="B26" s="119" t="s">
        <v>4415</v>
      </c>
      <c r="C26" s="5" t="s">
        <v>523</v>
      </c>
      <c r="D26" s="5" t="s">
        <v>2</v>
      </c>
      <c r="E26" s="5" t="s">
        <v>402</v>
      </c>
      <c r="F26" s="121">
        <v>41460</v>
      </c>
      <c r="G26" s="5" t="s">
        <v>524</v>
      </c>
      <c r="H26" s="5" t="s">
        <v>525</v>
      </c>
      <c r="I26" s="114" t="s">
        <v>526</v>
      </c>
      <c r="J26" t="str">
        <f>VLOOKUP(C26,FORMGOOGLE,7,FALSE)</f>
        <v>https://drive.google.com/open?id=12k9bHA_DRXTNDzOqxM4jgu_VciwB8nxF</v>
      </c>
    </row>
    <row r="27" spans="1:10" ht="15.75" thickBot="1" x14ac:dyDescent="0.3">
      <c r="A27" s="5" t="s">
        <v>268</v>
      </c>
      <c r="B27" s="119" t="s">
        <v>4409</v>
      </c>
      <c r="C27" s="5" t="s">
        <v>270</v>
      </c>
      <c r="D27" s="5" t="s">
        <v>2</v>
      </c>
      <c r="E27" s="5" t="s">
        <v>10</v>
      </c>
      <c r="F27" s="121">
        <v>42312</v>
      </c>
      <c r="G27" s="5" t="s">
        <v>271</v>
      </c>
      <c r="H27" s="5" t="s">
        <v>272</v>
      </c>
      <c r="I27" s="114" t="s">
        <v>273</v>
      </c>
      <c r="J27" t="str">
        <f>VLOOKUP(C27,FORMGOOGLE,7,FALSE)</f>
        <v>https://drive.google.com/open?id=1-JlOBkhsUxG-7ImEr68jtIx3WRFUWzE9</v>
      </c>
    </row>
    <row r="28" spans="1:10" ht="15.75" thickBot="1" x14ac:dyDescent="0.3">
      <c r="A28" s="5" t="s">
        <v>268</v>
      </c>
      <c r="B28" s="119" t="s">
        <v>3021</v>
      </c>
      <c r="C28" s="5" t="s">
        <v>306</v>
      </c>
      <c r="D28" s="5" t="s">
        <v>2</v>
      </c>
      <c r="E28" s="5" t="s">
        <v>10</v>
      </c>
      <c r="F28" s="121">
        <v>42542</v>
      </c>
      <c r="G28" s="5" t="s">
        <v>307</v>
      </c>
      <c r="H28" s="5" t="s">
        <v>308</v>
      </c>
      <c r="I28" s="114" t="s">
        <v>309</v>
      </c>
      <c r="J28" t="str">
        <f>VLOOKUP(C28,FORMGOOGLE,7,FALSE)</f>
        <v>https://drive.google.com/open?id=1p-87wUAweFz5djzE2NGcW9_WcQULwH6t</v>
      </c>
    </row>
    <row r="29" spans="1:10" ht="15.75" thickBot="1" x14ac:dyDescent="0.3">
      <c r="A29" s="5" t="s">
        <v>268</v>
      </c>
      <c r="B29" s="118" t="s">
        <v>3022</v>
      </c>
      <c r="C29" s="5" t="s">
        <v>4767</v>
      </c>
      <c r="D29" s="5" t="s">
        <v>2</v>
      </c>
      <c r="E29" s="5" t="s">
        <v>10</v>
      </c>
      <c r="F29" s="121">
        <v>41551</v>
      </c>
      <c r="G29" s="5" t="s">
        <v>4768</v>
      </c>
      <c r="H29" s="5" t="s">
        <v>4769</v>
      </c>
      <c r="I29" s="114" t="s">
        <v>4770</v>
      </c>
      <c r="J29" t="str">
        <f>VLOOKUP(C29,FORMGOOGLE,7,FALSE)</f>
        <v>https://drive.google.com/open?id=15g2PHQhvD5pTNyhZiGD6FXq-HtQLEJME</v>
      </c>
    </row>
    <row r="30" spans="1:10" ht="15.75" thickBot="1" x14ac:dyDescent="0.3">
      <c r="A30" s="5" t="s">
        <v>268</v>
      </c>
      <c r="B30" s="118" t="s">
        <v>4408</v>
      </c>
      <c r="C30" s="5" t="s">
        <v>264</v>
      </c>
      <c r="D30" s="5" t="s">
        <v>2</v>
      </c>
      <c r="E30" s="5" t="s">
        <v>10</v>
      </c>
      <c r="F30" s="121">
        <v>42318</v>
      </c>
      <c r="G30" s="5" t="s">
        <v>265</v>
      </c>
      <c r="H30" s="5" t="s">
        <v>266</v>
      </c>
      <c r="I30" s="114" t="s">
        <v>267</v>
      </c>
      <c r="J30" t="str">
        <f>VLOOKUP(C30,FORMGOOGLE,7,FALSE)</f>
        <v>https://drive.google.com/open?id=1b-EkNdMS0my60PkWXyCtM8EB8nRmb2ux</v>
      </c>
    </row>
    <row r="31" spans="1:10" ht="15.75" thickBot="1" x14ac:dyDescent="0.3">
      <c r="A31" s="5" t="s">
        <v>268</v>
      </c>
      <c r="B31" s="118" t="s">
        <v>4410</v>
      </c>
      <c r="C31" s="5" t="s">
        <v>275</v>
      </c>
      <c r="D31" s="5" t="s">
        <v>2</v>
      </c>
      <c r="E31" s="5" t="s">
        <v>116</v>
      </c>
      <c r="F31" s="121">
        <v>42191</v>
      </c>
      <c r="G31" s="5" t="s">
        <v>276</v>
      </c>
      <c r="H31" s="5" t="s">
        <v>277</v>
      </c>
      <c r="I31" s="114" t="s">
        <v>278</v>
      </c>
      <c r="J31" t="str">
        <f>VLOOKUP(C31,FORMGOOGLE,7,FALSE)</f>
        <v>https://drive.google.com/open?id=194j5bxf8hHvd58MQybD5WjOwGInexIEl</v>
      </c>
    </row>
    <row r="32" spans="1:10" ht="15.75" thickBot="1" x14ac:dyDescent="0.3">
      <c r="A32" s="5" t="s">
        <v>268</v>
      </c>
      <c r="B32" s="118" t="s">
        <v>4416</v>
      </c>
      <c r="C32" s="5" t="s">
        <v>475</v>
      </c>
      <c r="D32" s="5" t="s">
        <v>2</v>
      </c>
      <c r="E32" s="5" t="s">
        <v>10</v>
      </c>
      <c r="F32" s="121">
        <v>41600</v>
      </c>
      <c r="G32" s="5" t="s">
        <v>476</v>
      </c>
      <c r="H32" s="5" t="s">
        <v>543</v>
      </c>
      <c r="I32" s="114" t="s">
        <v>544</v>
      </c>
      <c r="J32" t="str">
        <f>VLOOKUP(C32,FORMGOOGLE,7,FALSE)</f>
        <v>https://drive.google.com/open?id=1XaqQYLlRcrkoXcyEIDr0NAg9Zt9Mc-nV</v>
      </c>
    </row>
    <row r="33" spans="1:10" ht="15.75" thickBot="1" x14ac:dyDescent="0.3">
      <c r="A33" s="5" t="s">
        <v>268</v>
      </c>
      <c r="B33" s="119" t="s">
        <v>4413</v>
      </c>
      <c r="C33" s="5" t="s">
        <v>447</v>
      </c>
      <c r="D33" s="5" t="s">
        <v>2</v>
      </c>
      <c r="E33" s="5" t="s">
        <v>10</v>
      </c>
      <c r="F33" s="121">
        <v>42404</v>
      </c>
      <c r="G33" s="5" t="s">
        <v>448</v>
      </c>
      <c r="H33" s="5" t="s">
        <v>449</v>
      </c>
      <c r="I33" s="114" t="s">
        <v>450</v>
      </c>
      <c r="J33" t="str">
        <f>VLOOKUP(C33,FORMGOOGLE,7,FALSE)</f>
        <v>https://drive.google.com/open?id=1tnaOxZIXH5-IOreFXinQx6csJ4z-K9X4</v>
      </c>
    </row>
    <row r="34" spans="1:10" ht="15.75" thickBot="1" x14ac:dyDescent="0.3">
      <c r="A34" s="5" t="s">
        <v>196</v>
      </c>
      <c r="B34" s="118" t="s">
        <v>4007</v>
      </c>
      <c r="C34" s="5" t="s">
        <v>4605</v>
      </c>
      <c r="D34" s="5" t="s">
        <v>2</v>
      </c>
      <c r="E34" s="5" t="s">
        <v>10</v>
      </c>
      <c r="F34" s="121">
        <v>42818</v>
      </c>
      <c r="G34" s="5" t="s">
        <v>4606</v>
      </c>
      <c r="H34" s="5" t="s">
        <v>4607</v>
      </c>
      <c r="I34" s="114" t="s">
        <v>4608</v>
      </c>
      <c r="J34" t="str">
        <f>VLOOKUP(C34,FORMGOOGLE,7,FALSE)</f>
        <v>https://drive.google.com/open?id=1rXbllAHqEhRndz9pvsZJ2K9HVdmi2Nyz</v>
      </c>
    </row>
    <row r="35" spans="1:10" ht="15.75" thickBot="1" x14ac:dyDescent="0.3">
      <c r="A35" s="5" t="s">
        <v>196</v>
      </c>
      <c r="B35" s="118" t="s">
        <v>4040</v>
      </c>
      <c r="C35" s="5" t="s">
        <v>4622</v>
      </c>
      <c r="D35" s="5" t="s">
        <v>66</v>
      </c>
      <c r="E35" s="5" t="s">
        <v>10</v>
      </c>
      <c r="F35" s="121">
        <v>43237</v>
      </c>
      <c r="G35" s="5" t="s">
        <v>4623</v>
      </c>
      <c r="H35" s="5" t="s">
        <v>4624</v>
      </c>
      <c r="I35" s="114" t="s">
        <v>4625</v>
      </c>
      <c r="J35" t="str">
        <f>VLOOKUP(C35,FORMGOOGLE,7,FALSE)</f>
        <v>https://drive.google.com/open?id=1B0W1PMANmvXwURaihTe5_0YgsU82NrHV</v>
      </c>
    </row>
    <row r="36" spans="1:10" ht="15.75" thickBot="1" x14ac:dyDescent="0.3">
      <c r="A36" s="5" t="s">
        <v>196</v>
      </c>
      <c r="B36" s="119" t="s">
        <v>4020</v>
      </c>
      <c r="C36" s="5" t="s">
        <v>4583</v>
      </c>
      <c r="D36" s="5" t="s">
        <v>2</v>
      </c>
      <c r="E36" s="5" t="s">
        <v>10</v>
      </c>
      <c r="F36" s="121">
        <v>42626</v>
      </c>
      <c r="G36" s="5" t="s">
        <v>4584</v>
      </c>
      <c r="H36" s="5" t="s">
        <v>4585</v>
      </c>
      <c r="I36" s="114" t="s">
        <v>4586</v>
      </c>
      <c r="J36" t="str">
        <f>VLOOKUP(C36,FORMGOOGLE,7,FALSE)</f>
        <v>https://drive.google.com/open?id=1xCYS3L81QS_zY8CDnyYIiBEJjB6199AK</v>
      </c>
    </row>
    <row r="37" spans="1:10" ht="15.75" thickBot="1" x14ac:dyDescent="0.3">
      <c r="A37" s="5" t="s">
        <v>196</v>
      </c>
      <c r="B37" s="118" t="s">
        <v>4418</v>
      </c>
      <c r="C37" s="5" t="s">
        <v>192</v>
      </c>
      <c r="D37" s="5" t="s">
        <v>2</v>
      </c>
      <c r="E37" s="5" t="s">
        <v>28</v>
      </c>
      <c r="F37" s="121">
        <v>42532</v>
      </c>
      <c r="G37" s="5" t="s">
        <v>193</v>
      </c>
      <c r="H37" s="5" t="s">
        <v>194</v>
      </c>
      <c r="I37" s="114" t="s">
        <v>195</v>
      </c>
      <c r="J37" t="str">
        <f>VLOOKUP(C37,FORMGOOGLE,7,FALSE)</f>
        <v>https://drive.google.com/open?id=1N4I-rJoRqYO6-z-q8FDA3RPsKlCAo8yZ</v>
      </c>
    </row>
    <row r="38" spans="1:10" ht="15.75" thickBot="1" x14ac:dyDescent="0.3">
      <c r="A38" s="5" t="s">
        <v>196</v>
      </c>
      <c r="B38" s="118" t="s">
        <v>3998</v>
      </c>
      <c r="C38" s="5" t="s">
        <v>4587</v>
      </c>
      <c r="D38" s="5" t="s">
        <v>66</v>
      </c>
      <c r="E38" s="5" t="s">
        <v>10</v>
      </c>
      <c r="F38" s="121">
        <v>42673</v>
      </c>
      <c r="G38" s="5" t="s">
        <v>4588</v>
      </c>
      <c r="H38" s="5" t="s">
        <v>4589</v>
      </c>
      <c r="I38" s="114" t="s">
        <v>4590</v>
      </c>
      <c r="J38" t="str">
        <f>VLOOKUP(C38,FORMGOOGLE,7,FALSE)</f>
        <v>https://drive.google.com/open?id=12nz88Z6dEQWWiQYWbx90ZyQMF60aHfY-</v>
      </c>
    </row>
    <row r="39" spans="1:10" ht="15.75" thickBot="1" x14ac:dyDescent="0.3">
      <c r="A39" s="5" t="s">
        <v>196</v>
      </c>
      <c r="B39" s="118" t="s">
        <v>4068</v>
      </c>
      <c r="C39" s="5" t="s">
        <v>4597</v>
      </c>
      <c r="D39" s="5" t="s">
        <v>2</v>
      </c>
      <c r="E39" s="5" t="s">
        <v>10</v>
      </c>
      <c r="F39" s="121">
        <v>42771</v>
      </c>
      <c r="G39" s="5" t="s">
        <v>4598</v>
      </c>
      <c r="H39" s="5" t="s">
        <v>4599</v>
      </c>
      <c r="I39" s="114" t="s">
        <v>4600</v>
      </c>
      <c r="J39" t="str">
        <f>VLOOKUP(C39,FORMGOOGLE,7,FALSE)</f>
        <v>https://drive.google.com/open?id=11nKLU8LmaCq_OcwBHvkrHRGc0q9bjB5h</v>
      </c>
    </row>
    <row r="40" spans="1:10" ht="15.75" thickBot="1" x14ac:dyDescent="0.3">
      <c r="A40" s="5" t="s">
        <v>196</v>
      </c>
      <c r="B40" s="119" t="s">
        <v>4419</v>
      </c>
      <c r="C40" s="5" t="s">
        <v>198</v>
      </c>
      <c r="D40" s="5" t="s">
        <v>2</v>
      </c>
      <c r="E40" s="5" t="s">
        <v>28</v>
      </c>
      <c r="F40" s="121">
        <v>42553</v>
      </c>
      <c r="G40" s="5" t="s">
        <v>199</v>
      </c>
      <c r="H40" s="5" t="s">
        <v>200</v>
      </c>
      <c r="I40" s="114" t="s">
        <v>201</v>
      </c>
      <c r="J40" t="str">
        <f>VLOOKUP(C40,FORMGOOGLE,7,FALSE)</f>
        <v>https://drive.google.com/open?id=1fTj32WcxxeyU5nhWY4a-9X_-EaZHo-pP</v>
      </c>
    </row>
    <row r="41" spans="1:10" ht="15.75" thickBot="1" x14ac:dyDescent="0.3">
      <c r="A41" s="5" t="s">
        <v>196</v>
      </c>
      <c r="B41" s="119" t="s">
        <v>4025</v>
      </c>
      <c r="C41" s="5" t="s">
        <v>4609</v>
      </c>
      <c r="D41" s="5" t="s">
        <v>2</v>
      </c>
      <c r="E41" s="5" t="s">
        <v>10</v>
      </c>
      <c r="F41" s="121">
        <v>42971</v>
      </c>
      <c r="G41" s="5" t="s">
        <v>4610</v>
      </c>
      <c r="H41" s="5" t="s">
        <v>4611</v>
      </c>
      <c r="I41" s="114" t="s">
        <v>4612</v>
      </c>
      <c r="J41" t="str">
        <f>VLOOKUP(C41,FORMGOOGLE,7,FALSE)</f>
        <v>https://drive.google.com/open?id=1bkUBmG2L7dUegPNyKcwevwD1kccx2mPS</v>
      </c>
    </row>
    <row r="42" spans="1:10" ht="15.75" thickBot="1" x14ac:dyDescent="0.3">
      <c r="A42" s="5" t="s">
        <v>196</v>
      </c>
      <c r="B42" s="119" t="s">
        <v>4089</v>
      </c>
      <c r="C42" s="5" t="s">
        <v>4601</v>
      </c>
      <c r="D42" s="5" t="s">
        <v>2</v>
      </c>
      <c r="E42" s="5" t="s">
        <v>10</v>
      </c>
      <c r="F42" s="121">
        <v>42807</v>
      </c>
      <c r="G42" s="5" t="s">
        <v>4602</v>
      </c>
      <c r="H42" s="5" t="s">
        <v>4603</v>
      </c>
      <c r="I42" s="114" t="s">
        <v>4604</v>
      </c>
      <c r="J42" t="str">
        <f>VLOOKUP(C42,FORMGOOGLE,7,FALSE)</f>
        <v>https://drive.google.com/open?id=1CEboIna4mquNWV26OxxIWVKV_ROjrMxC</v>
      </c>
    </row>
    <row r="43" spans="1:10" ht="15.75" thickBot="1" x14ac:dyDescent="0.3">
      <c r="A43" s="5" t="s">
        <v>609</v>
      </c>
      <c r="B43" s="118" t="s">
        <v>4420</v>
      </c>
      <c r="C43" s="5" t="s">
        <v>605</v>
      </c>
      <c r="D43" s="5" t="s">
        <v>66</v>
      </c>
      <c r="E43" s="5" t="s">
        <v>10</v>
      </c>
      <c r="F43" s="121">
        <v>42627</v>
      </c>
      <c r="G43" s="5" t="s">
        <v>606</v>
      </c>
      <c r="H43" s="5" t="s">
        <v>607</v>
      </c>
      <c r="I43" s="114" t="s">
        <v>608</v>
      </c>
      <c r="J43" t="str">
        <f>VLOOKUP(C43,FORMGOOGLE,7,FALSE)</f>
        <v>https://drive.google.com/open?id=1SZNq3ylZ9TDwS_EXoI0YkJcYgGduZzjG</v>
      </c>
    </row>
    <row r="44" spans="1:10" ht="15.75" thickBot="1" x14ac:dyDescent="0.3">
      <c r="A44" s="5" t="s">
        <v>609</v>
      </c>
      <c r="B44" s="118" t="s">
        <v>4422</v>
      </c>
      <c r="C44" s="5" t="s">
        <v>619</v>
      </c>
      <c r="D44" s="5" t="s">
        <v>66</v>
      </c>
      <c r="E44" s="5" t="s">
        <v>10</v>
      </c>
      <c r="F44" s="121">
        <v>42694</v>
      </c>
      <c r="G44" s="5" t="s">
        <v>620</v>
      </c>
      <c r="H44" s="5" t="s">
        <v>621</v>
      </c>
      <c r="I44" s="114" t="s">
        <v>622</v>
      </c>
      <c r="J44" t="str">
        <f>VLOOKUP(C44,FORMGOOGLE,7,FALSE)</f>
        <v>https://drive.google.com/open?id=17HDw2X4bPAcV6aZ_58w_UQXdf1SPztG-</v>
      </c>
    </row>
    <row r="45" spans="1:10" ht="15.75" thickBot="1" x14ac:dyDescent="0.3">
      <c r="A45" s="5" t="s">
        <v>609</v>
      </c>
      <c r="B45" s="119" t="s">
        <v>4443</v>
      </c>
      <c r="C45" s="5" t="s">
        <v>2424</v>
      </c>
      <c r="D45" s="5" t="s">
        <v>66</v>
      </c>
      <c r="E45" s="5" t="s">
        <v>10</v>
      </c>
      <c r="F45" s="121">
        <v>42128</v>
      </c>
      <c r="G45" s="5" t="s">
        <v>2425</v>
      </c>
      <c r="H45" s="5" t="s">
        <v>2426</v>
      </c>
      <c r="I45" s="114" t="s">
        <v>3225</v>
      </c>
      <c r="J45" t="str">
        <f>VLOOKUP(C45,FORMGOOGLE,7,FALSE)</f>
        <v>https://drive.google.com/open?id=19OZbmGH-7xLvyIcVnsIxM1Ci-RmxVHxD</v>
      </c>
    </row>
    <row r="46" spans="1:10" ht="15.75" thickBot="1" x14ac:dyDescent="0.3">
      <c r="A46" s="5" t="s">
        <v>609</v>
      </c>
      <c r="B46" s="119" t="s">
        <v>824</v>
      </c>
      <c r="C46" s="5" t="s">
        <v>825</v>
      </c>
      <c r="D46" s="5" t="s">
        <v>2</v>
      </c>
      <c r="E46" s="5" t="s">
        <v>10</v>
      </c>
      <c r="F46" s="121">
        <v>41714</v>
      </c>
      <c r="G46" s="5" t="s">
        <v>826</v>
      </c>
      <c r="H46" s="5" t="s">
        <v>827</v>
      </c>
      <c r="I46" s="114" t="s">
        <v>828</v>
      </c>
      <c r="J46" t="str">
        <f>VLOOKUP(C46,FORMGOOGLE,7,FALSE)</f>
        <v>https://drive.google.com/open?id=1hAfHwzP_fB-FZ6KakenKOS8iwjZhQA2V</v>
      </c>
    </row>
    <row r="47" spans="1:10" ht="15.75" thickBot="1" x14ac:dyDescent="0.3">
      <c r="A47" s="5" t="s">
        <v>609</v>
      </c>
      <c r="B47" s="118" t="s">
        <v>3032</v>
      </c>
      <c r="C47" s="5" t="s">
        <v>4998</v>
      </c>
      <c r="D47" s="5" t="s">
        <v>2</v>
      </c>
      <c r="E47" s="5" t="s">
        <v>10</v>
      </c>
      <c r="F47" s="121">
        <v>42824</v>
      </c>
      <c r="G47" s="5" t="s">
        <v>4999</v>
      </c>
      <c r="H47" s="5" t="s">
        <v>2247</v>
      </c>
      <c r="I47" s="114" t="s">
        <v>5000</v>
      </c>
      <c r="J47" t="str">
        <f>VLOOKUP(C47,FORMGOOGLE,7,FALSE)</f>
        <v>https://drive.google.com/open?id=10S7k2zVN1xlkIIQ6cfNDK8P1vQw9uekO</v>
      </c>
    </row>
    <row r="48" spans="1:10" ht="15.75" thickBot="1" x14ac:dyDescent="0.3">
      <c r="A48" s="5" t="s">
        <v>609</v>
      </c>
      <c r="B48" s="118" t="s">
        <v>4442</v>
      </c>
      <c r="C48" s="5" t="s">
        <v>2377</v>
      </c>
      <c r="D48" s="5" t="s">
        <v>2</v>
      </c>
      <c r="E48" s="5" t="s">
        <v>2378</v>
      </c>
      <c r="F48" s="121">
        <v>42626</v>
      </c>
      <c r="G48" s="5" t="s">
        <v>2379</v>
      </c>
      <c r="H48" s="5" t="s">
        <v>2380</v>
      </c>
      <c r="I48" s="114" t="s">
        <v>3218</v>
      </c>
      <c r="J48" t="str">
        <f>VLOOKUP(C48,FORMGOOGLE,7,FALSE)</f>
        <v>https://drive.google.com/open?id=1oD5RMKBf-q8gzacX9aouecnOWQ9zenSX</v>
      </c>
    </row>
    <row r="49" spans="1:10" ht="15.75" thickBot="1" x14ac:dyDescent="0.3">
      <c r="A49" s="5" t="s">
        <v>609</v>
      </c>
      <c r="B49" s="118" t="s">
        <v>3029</v>
      </c>
      <c r="C49" s="5" t="s">
        <v>4948</v>
      </c>
      <c r="D49" s="5" t="s">
        <v>2</v>
      </c>
      <c r="E49" s="5" t="s">
        <v>10</v>
      </c>
      <c r="F49" s="121">
        <v>42941</v>
      </c>
      <c r="G49" s="5" t="s">
        <v>4949</v>
      </c>
      <c r="H49" s="5" t="s">
        <v>4950</v>
      </c>
      <c r="I49" s="114" t="s">
        <v>4951</v>
      </c>
      <c r="J49" t="str">
        <f>VLOOKUP(C49,FORMGOOGLE,7,FALSE)</f>
        <v>https://drive.google.com/open?id=1jLIPRskTM93VJJaoo4cCbesMQhCkmCRe</v>
      </c>
    </row>
    <row r="50" spans="1:10" ht="15.75" thickBot="1" x14ac:dyDescent="0.3">
      <c r="A50" s="5" t="s">
        <v>609</v>
      </c>
      <c r="B50" s="119" t="s">
        <v>4447</v>
      </c>
      <c r="C50" s="5" t="s">
        <v>2548</v>
      </c>
      <c r="D50" s="5" t="s">
        <v>2</v>
      </c>
      <c r="E50" s="5" t="s">
        <v>10</v>
      </c>
      <c r="F50" s="121">
        <v>41996</v>
      </c>
      <c r="G50" s="5" t="s">
        <v>2549</v>
      </c>
      <c r="H50" s="5" t="s">
        <v>2550</v>
      </c>
      <c r="I50" s="114" t="s">
        <v>3246</v>
      </c>
      <c r="J50" t="str">
        <f>VLOOKUP(C50,FORMGOOGLE,7,FALSE)</f>
        <v>https://drive.google.com/open?id=1GMFtsGVChjWAC9vsEfSXPy0LLBCWgyIx</v>
      </c>
    </row>
    <row r="51" spans="1:10" ht="15.75" thickBot="1" x14ac:dyDescent="0.3">
      <c r="A51" s="5" t="s">
        <v>609</v>
      </c>
      <c r="B51" s="119" t="s">
        <v>3028</v>
      </c>
      <c r="C51" s="5" t="s">
        <v>4945</v>
      </c>
      <c r="D51" s="5" t="s">
        <v>2</v>
      </c>
      <c r="E51" s="5" t="s">
        <v>10</v>
      </c>
      <c r="F51" s="121">
        <v>41837</v>
      </c>
      <c r="G51" s="5" t="s">
        <v>4946</v>
      </c>
      <c r="H51" s="5" t="s">
        <v>3409</v>
      </c>
      <c r="I51" s="114" t="s">
        <v>4947</v>
      </c>
      <c r="J51" t="str">
        <f>VLOOKUP(C51,FORMGOOGLE,7,FALSE)</f>
        <v>https://drive.google.com/open?id=1K9ydQGgVTO-D8HVgx6BYGdPh5FTCp3j4</v>
      </c>
    </row>
    <row r="52" spans="1:10" ht="15.75" thickBot="1" x14ac:dyDescent="0.3">
      <c r="A52" s="5" t="s">
        <v>609</v>
      </c>
      <c r="B52" s="118" t="s">
        <v>4438</v>
      </c>
      <c r="C52" s="5" t="s">
        <v>2273</v>
      </c>
      <c r="D52" s="5" t="s">
        <v>2</v>
      </c>
      <c r="E52" s="5" t="s">
        <v>10</v>
      </c>
      <c r="F52" s="121">
        <v>42250</v>
      </c>
      <c r="G52" s="5" t="s">
        <v>2274</v>
      </c>
      <c r="H52" s="5" t="s">
        <v>2275</v>
      </c>
      <c r="I52" s="114" t="s">
        <v>3203</v>
      </c>
      <c r="J52" t="str">
        <f>VLOOKUP(C52,FORMGOOGLE,7,FALSE)</f>
        <v>https://drive.google.com/open?id=1U-CnJNuXX1S2rHlXQR2l6nXYP1yLGf6z</v>
      </c>
    </row>
    <row r="53" spans="1:10" ht="15.75" thickBot="1" x14ac:dyDescent="0.3">
      <c r="A53" s="5" t="s">
        <v>609</v>
      </c>
      <c r="B53" s="119" t="s">
        <v>4431</v>
      </c>
      <c r="C53" s="5" t="s">
        <v>662</v>
      </c>
      <c r="D53" s="5" t="s">
        <v>2</v>
      </c>
      <c r="E53" s="5" t="s">
        <v>10</v>
      </c>
      <c r="F53" s="121">
        <v>42792</v>
      </c>
      <c r="G53" s="5" t="s">
        <v>663</v>
      </c>
      <c r="H53" s="5" t="s">
        <v>664</v>
      </c>
      <c r="I53" s="114" t="s">
        <v>665</v>
      </c>
      <c r="J53" t="str">
        <f>VLOOKUP(C53,FORMGOOGLE,7,FALSE)</f>
        <v>https://drive.google.com/open?id=17EEc6CzR6prbfFv1kleglCFLB_hCsxhR</v>
      </c>
    </row>
    <row r="54" spans="1:10" ht="15.75" thickBot="1" x14ac:dyDescent="0.3">
      <c r="A54" s="5" t="s">
        <v>609</v>
      </c>
      <c r="B54" s="118" t="s">
        <v>4428</v>
      </c>
      <c r="C54" s="5" t="s">
        <v>653</v>
      </c>
      <c r="D54" s="5" t="s">
        <v>2</v>
      </c>
      <c r="E54" s="5" t="s">
        <v>10</v>
      </c>
      <c r="F54" s="121">
        <v>42056</v>
      </c>
      <c r="G54" s="5" t="s">
        <v>654</v>
      </c>
      <c r="H54" s="5" t="s">
        <v>655</v>
      </c>
      <c r="I54" s="115" t="s">
        <v>4499</v>
      </c>
      <c r="J54" t="str">
        <f>VLOOKUP(C54,FORMGOOGLE,7,FALSE)</f>
        <v>https://drive.google.com/open?id=18B_Z97IlJVJdaBXZBwvpSgpgIy1h6OAF</v>
      </c>
    </row>
    <row r="55" spans="1:10" ht="15.75" thickBot="1" x14ac:dyDescent="0.3">
      <c r="A55" s="5" t="s">
        <v>609</v>
      </c>
      <c r="B55" s="118" t="s">
        <v>4430</v>
      </c>
      <c r="C55" s="5" t="s">
        <v>657</v>
      </c>
      <c r="D55" s="5" t="s">
        <v>66</v>
      </c>
      <c r="E55" s="5" t="s">
        <v>10</v>
      </c>
      <c r="F55" s="121">
        <v>43172</v>
      </c>
      <c r="G55" s="5" t="s">
        <v>658</v>
      </c>
      <c r="H55" s="5" t="s">
        <v>659</v>
      </c>
      <c r="I55" s="114" t="s">
        <v>660</v>
      </c>
      <c r="J55" t="str">
        <f>VLOOKUP(C55,FORMGOOGLE,7,FALSE)</f>
        <v>https://drive.google.com/open?id=1HEx10enPo6frq_AJPHc6-IeeM418wL9I</v>
      </c>
    </row>
    <row r="56" spans="1:10" ht="15.75" thickBot="1" x14ac:dyDescent="0.3">
      <c r="A56" s="5" t="s">
        <v>609</v>
      </c>
      <c r="B56" s="119" t="s">
        <v>4439</v>
      </c>
      <c r="C56" s="5" t="s">
        <v>2302</v>
      </c>
      <c r="D56" s="5" t="s">
        <v>2</v>
      </c>
      <c r="E56" s="5" t="s">
        <v>10</v>
      </c>
      <c r="F56" s="121">
        <v>42770</v>
      </c>
      <c r="G56" s="5" t="s">
        <v>2303</v>
      </c>
      <c r="H56" s="5" t="s">
        <v>2304</v>
      </c>
      <c r="I56" s="114" t="s">
        <v>3207</v>
      </c>
      <c r="J56" t="str">
        <f>VLOOKUP(C56,FORMGOOGLE,7,FALSE)</f>
        <v>https://drive.google.com/open?id=1G7LLiMpgialJ4vzWFcAIUnxUcDR3JcAy</v>
      </c>
    </row>
    <row r="57" spans="1:10" ht="15.75" thickBot="1" x14ac:dyDescent="0.3">
      <c r="A57" s="5" t="s">
        <v>609</v>
      </c>
      <c r="B57" s="119" t="s">
        <v>4435</v>
      </c>
      <c r="C57" s="5" t="s">
        <v>2234</v>
      </c>
      <c r="D57" s="5" t="s">
        <v>66</v>
      </c>
      <c r="E57" s="5" t="s">
        <v>10</v>
      </c>
      <c r="F57" s="121">
        <v>42645</v>
      </c>
      <c r="G57" s="5" t="s">
        <v>658</v>
      </c>
      <c r="H57" s="5" t="s">
        <v>659</v>
      </c>
      <c r="I57" s="114" t="s">
        <v>3197</v>
      </c>
      <c r="J57" t="str">
        <f>VLOOKUP(C57,FORMGOOGLE,7,FALSE)</f>
        <v>https://drive.google.com/open?id=1sdVoBqMnL7bN-8VFdYKP26hZE78NbrU9</v>
      </c>
    </row>
    <row r="58" spans="1:10" ht="15.75" thickBot="1" x14ac:dyDescent="0.3">
      <c r="A58" s="5" t="s">
        <v>609</v>
      </c>
      <c r="B58" s="118" t="s">
        <v>4434</v>
      </c>
      <c r="C58" s="5" t="s">
        <v>2212</v>
      </c>
      <c r="D58" s="5" t="s">
        <v>2</v>
      </c>
      <c r="E58" s="5" t="s">
        <v>10</v>
      </c>
      <c r="F58" s="121">
        <v>42632</v>
      </c>
      <c r="G58" s="5" t="s">
        <v>2213</v>
      </c>
      <c r="H58" s="5" t="s">
        <v>2214</v>
      </c>
      <c r="I58" s="114" t="s">
        <v>3194</v>
      </c>
      <c r="J58" t="str">
        <f>VLOOKUP(C58,FORMGOOGLE,7,FALSE)</f>
        <v>https://drive.google.com/open?id=1gpIO81XFXelIA31Y9dwAX3Qfyzr7lSGs</v>
      </c>
    </row>
    <row r="59" spans="1:10" ht="15.75" thickBot="1" x14ac:dyDescent="0.3">
      <c r="A59" s="5" t="s">
        <v>609</v>
      </c>
      <c r="B59" s="119" t="s">
        <v>4441</v>
      </c>
      <c r="C59" s="5" t="s">
        <v>2370</v>
      </c>
      <c r="D59" s="5" t="s">
        <v>2</v>
      </c>
      <c r="E59" s="5" t="s">
        <v>10</v>
      </c>
      <c r="F59" s="121">
        <v>41935</v>
      </c>
      <c r="G59" s="5" t="s">
        <v>2371</v>
      </c>
      <c r="H59" s="5" t="s">
        <v>2372</v>
      </c>
      <c r="I59" s="114" t="s">
        <v>3217</v>
      </c>
      <c r="J59" t="str">
        <f>VLOOKUP(C59,FORMGOOGLE,7,FALSE)</f>
        <v>https://drive.google.com/open?id=12UeDth3DStHJ72tvNn0HIviqxSD5qtXQ</v>
      </c>
    </row>
    <row r="60" spans="1:10" ht="15.75" thickBot="1" x14ac:dyDescent="0.3">
      <c r="A60" s="5" t="s">
        <v>609</v>
      </c>
      <c r="B60" s="119" t="s">
        <v>4449</v>
      </c>
      <c r="C60" s="5" t="s">
        <v>2662</v>
      </c>
      <c r="D60" s="5" t="s">
        <v>2</v>
      </c>
      <c r="E60" s="5" t="s">
        <v>10</v>
      </c>
      <c r="F60" s="121">
        <v>42501</v>
      </c>
      <c r="G60" s="5" t="s">
        <v>2663</v>
      </c>
      <c r="H60" s="5" t="s">
        <v>2664</v>
      </c>
      <c r="I60" s="114" t="s">
        <v>3264</v>
      </c>
      <c r="J60" t="str">
        <f>VLOOKUP(C60,FORMGOOGLE,7,FALSE)</f>
        <v>https://drive.google.com/open?id=1jos0UMCfWhQ1fEul2dNebZ7lwgACL_NO</v>
      </c>
    </row>
    <row r="61" spans="1:10" ht="15.75" thickBot="1" x14ac:dyDescent="0.3">
      <c r="A61" s="5" t="s">
        <v>609</v>
      </c>
      <c r="B61" s="118" t="s">
        <v>4424</v>
      </c>
      <c r="C61" s="5" t="s">
        <v>629</v>
      </c>
      <c r="D61" s="5" t="s">
        <v>2</v>
      </c>
      <c r="E61" s="5" t="s">
        <v>10</v>
      </c>
      <c r="F61" s="121">
        <v>42138</v>
      </c>
      <c r="G61" s="5" t="s">
        <v>630</v>
      </c>
      <c r="H61" s="5" t="s">
        <v>631</v>
      </c>
      <c r="I61" s="114" t="s">
        <v>632</v>
      </c>
      <c r="J61" t="str">
        <f>VLOOKUP(C61,FORMGOOGLE,7,FALSE)</f>
        <v>https://drive.google.com/open?id=1u1bj1rk4c3u8pkRYovh6WOnimzjb8n3j</v>
      </c>
    </row>
    <row r="62" spans="1:10" ht="15.75" thickBot="1" x14ac:dyDescent="0.3">
      <c r="A62" s="5" t="s">
        <v>609</v>
      </c>
      <c r="B62" s="118" t="s">
        <v>3031</v>
      </c>
      <c r="C62" s="5" t="s">
        <v>4965</v>
      </c>
      <c r="D62" s="5" t="s">
        <v>2</v>
      </c>
      <c r="E62" s="5" t="s">
        <v>10</v>
      </c>
      <c r="F62" s="121">
        <v>41912</v>
      </c>
      <c r="G62" s="5" t="s">
        <v>4966</v>
      </c>
      <c r="H62" s="5" t="s">
        <v>4967</v>
      </c>
      <c r="I62" s="114" t="s">
        <v>4968</v>
      </c>
      <c r="J62" t="str">
        <f>VLOOKUP(C62,FORMGOOGLE,7,FALSE)</f>
        <v>https://drive.google.com/open?id=14X7U5lW09trjNHw2eeBVxIPKxQMMTGYa</v>
      </c>
    </row>
    <row r="63" spans="1:10" ht="15.75" thickBot="1" x14ac:dyDescent="0.3">
      <c r="A63" s="5" t="s">
        <v>609</v>
      </c>
      <c r="B63" s="119" t="s">
        <v>4433</v>
      </c>
      <c r="C63" s="5" t="s">
        <v>2200</v>
      </c>
      <c r="D63" s="5" t="s">
        <v>66</v>
      </c>
      <c r="E63" s="5" t="s">
        <v>10</v>
      </c>
      <c r="F63" s="121">
        <v>42015</v>
      </c>
      <c r="G63" s="5" t="s">
        <v>2201</v>
      </c>
      <c r="H63" s="5" t="s">
        <v>2202</v>
      </c>
      <c r="I63" s="114" t="s">
        <v>3192</v>
      </c>
      <c r="J63" t="str">
        <f>VLOOKUP(C63,FORMGOOGLE,7,FALSE)</f>
        <v>https://drive.google.com/open?id=1jwli2HKtzrip8zRQSIquq0dNbrSxqyMO</v>
      </c>
    </row>
    <row r="64" spans="1:10" ht="15.75" thickBot="1" x14ac:dyDescent="0.3">
      <c r="A64" s="5" t="s">
        <v>609</v>
      </c>
      <c r="B64" s="118" t="s">
        <v>4436</v>
      </c>
      <c r="C64" s="5" t="s">
        <v>2245</v>
      </c>
      <c r="D64" s="5" t="s">
        <v>66</v>
      </c>
      <c r="E64" s="5" t="s">
        <v>10</v>
      </c>
      <c r="F64" s="121">
        <v>42034</v>
      </c>
      <c r="G64" s="5" t="s">
        <v>2246</v>
      </c>
      <c r="H64" s="5" t="s">
        <v>2247</v>
      </c>
      <c r="I64" s="114" t="s">
        <v>3199</v>
      </c>
      <c r="J64" t="str">
        <f>VLOOKUP(C64,FORMGOOGLE,7,FALSE)</f>
        <v>https://drive.google.com/open?id=1EAW0Ewb3xCjsiMDhPRh4ocoIj9u9qIJj</v>
      </c>
    </row>
    <row r="65" spans="1:10" ht="15.75" thickBot="1" x14ac:dyDescent="0.3">
      <c r="A65" s="5" t="s">
        <v>609</v>
      </c>
      <c r="B65" s="118" t="s">
        <v>4426</v>
      </c>
      <c r="C65" s="5" t="s">
        <v>639</v>
      </c>
      <c r="D65" s="5" t="s">
        <v>66</v>
      </c>
      <c r="E65" s="5" t="s">
        <v>10</v>
      </c>
      <c r="F65" s="121">
        <v>41933</v>
      </c>
      <c r="G65" s="5" t="s">
        <v>640</v>
      </c>
      <c r="H65" s="5" t="s">
        <v>641</v>
      </c>
      <c r="I65" s="114" t="s">
        <v>642</v>
      </c>
      <c r="J65" t="str">
        <f>VLOOKUP(C65,FORMGOOGLE,7,FALSE)</f>
        <v>https://drive.google.com/open?id=1P1Afwbbzzxn2TS1v11nxu3tE1BP0L9Wg</v>
      </c>
    </row>
    <row r="66" spans="1:10" ht="15.75" thickBot="1" x14ac:dyDescent="0.3">
      <c r="A66" s="5" t="s">
        <v>609</v>
      </c>
      <c r="B66" s="118" t="s">
        <v>3033</v>
      </c>
      <c r="C66" s="5" t="s">
        <v>5006</v>
      </c>
      <c r="D66" s="5" t="s">
        <v>66</v>
      </c>
      <c r="E66" s="5" t="s">
        <v>10</v>
      </c>
      <c r="F66" s="121">
        <v>42476</v>
      </c>
      <c r="G66" s="5" t="s">
        <v>5007</v>
      </c>
      <c r="H66" s="5" t="s">
        <v>5008</v>
      </c>
      <c r="I66" s="114" t="s">
        <v>5009</v>
      </c>
      <c r="J66" t="str">
        <f>VLOOKUP(C66,FORMGOOGLE,7,FALSE)</f>
        <v>https://drive.google.com/open?id=1z0pYP2ROZvPyYk-DFDNqg6_f6N-AX-kV</v>
      </c>
    </row>
    <row r="67" spans="1:10" ht="15.75" thickBot="1" x14ac:dyDescent="0.3">
      <c r="A67" s="5" t="s">
        <v>609</v>
      </c>
      <c r="B67" s="119" t="s">
        <v>4437</v>
      </c>
      <c r="C67" s="5" t="s">
        <v>2266</v>
      </c>
      <c r="D67" s="5" t="s">
        <v>66</v>
      </c>
      <c r="E67" s="5" t="s">
        <v>10</v>
      </c>
      <c r="F67" s="121">
        <v>41983</v>
      </c>
      <c r="G67" s="5" t="s">
        <v>2267</v>
      </c>
      <c r="H67" s="5" t="s">
        <v>2268</v>
      </c>
      <c r="I67" s="114" t="s">
        <v>3202</v>
      </c>
      <c r="J67" t="str">
        <f>VLOOKUP(C67,FORMGOOGLE,7,FALSE)</f>
        <v>https://drive.google.com/open?id=1ao7d19ro3ydUH3jdlCmgkPKtFLnsKzLu</v>
      </c>
    </row>
    <row r="68" spans="1:10" ht="15.75" thickBot="1" x14ac:dyDescent="0.3">
      <c r="A68" s="5" t="s">
        <v>609</v>
      </c>
      <c r="B68" s="118" t="s">
        <v>4444</v>
      </c>
      <c r="C68" s="5" t="s">
        <v>2459</v>
      </c>
      <c r="D68" s="5" t="s">
        <v>66</v>
      </c>
      <c r="E68" s="5" t="s">
        <v>10</v>
      </c>
      <c r="F68" s="121">
        <v>41978</v>
      </c>
      <c r="G68" s="5" t="s">
        <v>2460</v>
      </c>
      <c r="H68" s="5" t="s">
        <v>2461</v>
      </c>
      <c r="I68" s="114" t="s">
        <v>3230</v>
      </c>
      <c r="J68" t="str">
        <f>VLOOKUP(C68,FORMGOOGLE,7,FALSE)</f>
        <v>https://drive.google.com/open?id=11O8wcCKGSTyFvpXMons1LrFNZagpGUW3</v>
      </c>
    </row>
    <row r="69" spans="1:10" ht="15.75" thickBot="1" x14ac:dyDescent="0.3">
      <c r="A69" s="5" t="s">
        <v>609</v>
      </c>
      <c r="B69" s="118" t="s">
        <v>4432</v>
      </c>
      <c r="C69" s="5" t="s">
        <v>684</v>
      </c>
      <c r="D69" s="5" t="s">
        <v>66</v>
      </c>
      <c r="E69" s="5" t="s">
        <v>10</v>
      </c>
      <c r="F69" s="121">
        <v>42555</v>
      </c>
      <c r="G69" s="5" t="s">
        <v>685</v>
      </c>
      <c r="H69" s="5" t="s">
        <v>686</v>
      </c>
      <c r="I69" s="114" t="s">
        <v>687</v>
      </c>
      <c r="J69" t="str">
        <f>VLOOKUP(C69,FORMGOOGLE,7,FALSE)</f>
        <v>https://drive.google.com/open?id=1k8ueO6yCN0DWKilhfSP32GfeoWfsDvqW</v>
      </c>
    </row>
    <row r="70" spans="1:10" ht="15.75" thickBot="1" x14ac:dyDescent="0.3">
      <c r="A70" s="5" t="s">
        <v>609</v>
      </c>
      <c r="B70" s="118" t="s">
        <v>4446</v>
      </c>
      <c r="C70" s="5" t="s">
        <v>2528</v>
      </c>
      <c r="D70" s="5" t="s">
        <v>66</v>
      </c>
      <c r="E70" s="5" t="s">
        <v>2529</v>
      </c>
      <c r="F70" s="121">
        <v>41782</v>
      </c>
      <c r="G70" s="5" t="s">
        <v>1546</v>
      </c>
      <c r="H70" s="5" t="s">
        <v>2530</v>
      </c>
      <c r="I70" s="114" t="s">
        <v>3242</v>
      </c>
      <c r="J70" t="str">
        <f>VLOOKUP(C70,FORMGOOGLE,7,FALSE)</f>
        <v>https://drive.google.com/open?id=1pvXPtOnEAwCBwi01-KFmIaxOsIQfROM8</v>
      </c>
    </row>
    <row r="71" spans="1:10" ht="15.75" thickBot="1" x14ac:dyDescent="0.3">
      <c r="A71" s="5" t="s">
        <v>609</v>
      </c>
      <c r="B71" s="119" t="s">
        <v>4427</v>
      </c>
      <c r="C71" s="5" t="s">
        <v>644</v>
      </c>
      <c r="D71" s="5" t="s">
        <v>66</v>
      </c>
      <c r="E71" s="5" t="s">
        <v>10</v>
      </c>
      <c r="F71" s="121">
        <v>42465</v>
      </c>
      <c r="G71" s="5" t="s">
        <v>645</v>
      </c>
      <c r="H71" s="5" t="s">
        <v>646</v>
      </c>
      <c r="I71" s="114" t="s">
        <v>647</v>
      </c>
      <c r="J71" t="str">
        <f>VLOOKUP(C71,FORMGOOGLE,7,FALSE)</f>
        <v>https://drive.google.com/open?id=1bJY29P4Hyr6NOH3T8DfQ_hK_CpWR1CXd</v>
      </c>
    </row>
    <row r="72" spans="1:10" ht="15.75" thickBot="1" x14ac:dyDescent="0.3">
      <c r="A72" s="5" t="s">
        <v>609</v>
      </c>
      <c r="B72" s="119" t="s">
        <v>4429</v>
      </c>
      <c r="C72" s="5" t="s">
        <v>649</v>
      </c>
      <c r="D72" s="5" t="s">
        <v>2</v>
      </c>
      <c r="E72" s="5" t="s">
        <v>10</v>
      </c>
      <c r="F72" s="121">
        <v>42642</v>
      </c>
      <c r="G72" s="5" t="s">
        <v>650</v>
      </c>
      <c r="H72" s="5" t="s">
        <v>651</v>
      </c>
      <c r="I72" s="114" t="s">
        <v>652</v>
      </c>
      <c r="J72" t="str">
        <f>VLOOKUP(C72,FORMGOOGLE,7,FALSE)</f>
        <v>https://drive.google.com/open?id=1sJka06hz1lTIoo_4WAvZUeqf9CNxRJs6</v>
      </c>
    </row>
    <row r="73" spans="1:10" ht="15.75" thickBot="1" x14ac:dyDescent="0.3">
      <c r="A73" s="5" t="s">
        <v>609</v>
      </c>
      <c r="B73" s="119" t="s">
        <v>3030</v>
      </c>
      <c r="C73" s="5" t="s">
        <v>4961</v>
      </c>
      <c r="D73" s="5" t="s">
        <v>2</v>
      </c>
      <c r="E73" s="5" t="s">
        <v>10</v>
      </c>
      <c r="F73" s="121">
        <v>42760</v>
      </c>
      <c r="G73" s="5" t="s">
        <v>4962</v>
      </c>
      <c r="H73" s="5" t="s">
        <v>4963</v>
      </c>
      <c r="I73" s="114" t="s">
        <v>4964</v>
      </c>
      <c r="J73" t="str">
        <f>VLOOKUP(C73,FORMGOOGLE,7,FALSE)</f>
        <v>https://drive.google.com/open?id=18WgcyDJMUFcCD6BKq_7g2VNVz7B_uO2m</v>
      </c>
    </row>
    <row r="74" spans="1:10" ht="15.75" thickBot="1" x14ac:dyDescent="0.3">
      <c r="A74" s="5" t="s">
        <v>609</v>
      </c>
      <c r="B74" s="119" t="s">
        <v>4423</v>
      </c>
      <c r="C74" s="5" t="s">
        <v>624</v>
      </c>
      <c r="D74" s="5" t="s">
        <v>2</v>
      </c>
      <c r="E74" s="5" t="s">
        <v>10</v>
      </c>
      <c r="F74" s="121">
        <v>42252</v>
      </c>
      <c r="G74" s="5" t="s">
        <v>625</v>
      </c>
      <c r="H74" s="5" t="s">
        <v>626</v>
      </c>
      <c r="I74" s="114" t="s">
        <v>627</v>
      </c>
      <c r="J74" t="str">
        <f>VLOOKUP(C74,FORMGOOGLE,7,FALSE)</f>
        <v>https://drive.google.com/open?id=1bjZRhMayh79BoKiR5Mq4kPS7h24s3v4M</v>
      </c>
    </row>
    <row r="75" spans="1:10" ht="15.75" thickBot="1" x14ac:dyDescent="0.3">
      <c r="A75" s="5" t="s">
        <v>609</v>
      </c>
      <c r="B75" s="119" t="s">
        <v>4445</v>
      </c>
      <c r="C75" s="5" t="s">
        <v>2479</v>
      </c>
      <c r="D75" s="5" t="s">
        <v>2</v>
      </c>
      <c r="E75" s="5" t="s">
        <v>10</v>
      </c>
      <c r="F75" s="121">
        <v>41843</v>
      </c>
      <c r="G75" s="5" t="s">
        <v>2480</v>
      </c>
      <c r="H75" s="5" t="s">
        <v>2481</v>
      </c>
      <c r="I75" s="114" t="s">
        <v>3234</v>
      </c>
      <c r="J75" t="str">
        <f>VLOOKUP(C75,FORMGOOGLE,7,FALSE)</f>
        <v>https://drive.google.com/open?id=1yYTRdIV125RZJY4BplagxgL82RBMdfzW</v>
      </c>
    </row>
    <row r="76" spans="1:10" ht="15.75" thickBot="1" x14ac:dyDescent="0.3">
      <c r="A76" s="5" t="s">
        <v>609</v>
      </c>
      <c r="B76" s="119" t="s">
        <v>4421</v>
      </c>
      <c r="C76" s="5" t="s">
        <v>611</v>
      </c>
      <c r="D76" s="5" t="s">
        <v>66</v>
      </c>
      <c r="E76" s="5" t="s">
        <v>10</v>
      </c>
      <c r="F76" s="121">
        <v>42499</v>
      </c>
      <c r="G76" s="5" t="s">
        <v>612</v>
      </c>
      <c r="H76" s="5" t="s">
        <v>613</v>
      </c>
      <c r="I76" s="114" t="s">
        <v>614</v>
      </c>
      <c r="J76" t="str">
        <f>VLOOKUP(C76,FORMGOOGLE,7,FALSE)</f>
        <v>https://drive.google.com/open?id=1uZQ6ntngk9SPDYe9TxTh_ij7lLABP9UZ</v>
      </c>
    </row>
    <row r="77" spans="1:10" ht="15.75" thickBot="1" x14ac:dyDescent="0.3">
      <c r="A77" s="5" t="s">
        <v>609</v>
      </c>
      <c r="B77" s="119" t="s">
        <v>4425</v>
      </c>
      <c r="C77" s="5" t="s">
        <v>634</v>
      </c>
      <c r="D77" s="5" t="s">
        <v>2</v>
      </c>
      <c r="E77" s="5" t="s">
        <v>10</v>
      </c>
      <c r="F77" s="121">
        <v>42640</v>
      </c>
      <c r="G77" s="5" t="s">
        <v>635</v>
      </c>
      <c r="H77" s="5" t="s">
        <v>636</v>
      </c>
      <c r="I77" s="114" t="s">
        <v>637</v>
      </c>
      <c r="J77" t="str">
        <f>VLOOKUP(C77,FORMGOOGLE,7,FALSE)</f>
        <v>https://drive.google.com/open?id=1B3VwmhE21LWC-Dm2hDYjTys1S6pAxSFF</v>
      </c>
    </row>
    <row r="78" spans="1:10" ht="15.75" thickBot="1" x14ac:dyDescent="0.3">
      <c r="A78" s="5" t="s">
        <v>609</v>
      </c>
      <c r="B78" s="118" t="s">
        <v>4448</v>
      </c>
      <c r="C78" s="5" t="s">
        <v>2562</v>
      </c>
      <c r="D78" s="5" t="s">
        <v>2</v>
      </c>
      <c r="E78" s="5" t="s">
        <v>10</v>
      </c>
      <c r="F78" s="121">
        <v>42528</v>
      </c>
      <c r="G78" s="5" t="s">
        <v>2563</v>
      </c>
      <c r="H78" s="5" t="s">
        <v>2564</v>
      </c>
      <c r="I78" s="114" t="s">
        <v>3248</v>
      </c>
      <c r="J78" t="str">
        <f>VLOOKUP(C78,FORMGOOGLE,7,FALSE)</f>
        <v>https://drive.google.com/open?id=1dNSX7wG852rmvKA9s5SS8dZEtcxmRmaW</v>
      </c>
    </row>
    <row r="79" spans="1:10" ht="15.75" thickBot="1" x14ac:dyDescent="0.3">
      <c r="A79" s="5" t="s">
        <v>609</v>
      </c>
      <c r="B79" s="118" t="s">
        <v>4440</v>
      </c>
      <c r="C79" s="5" t="s">
        <v>2356</v>
      </c>
      <c r="D79" s="5" t="s">
        <v>66</v>
      </c>
      <c r="E79" s="5" t="s">
        <v>10</v>
      </c>
      <c r="F79" s="121">
        <v>41968</v>
      </c>
      <c r="G79" s="5" t="s">
        <v>2357</v>
      </c>
      <c r="H79" s="5" t="s">
        <v>2358</v>
      </c>
      <c r="I79" s="114" t="s">
        <v>3215</v>
      </c>
      <c r="J79" t="str">
        <f>VLOOKUP(C79,FORMGOOGLE,7,FALSE)</f>
        <v>https://drive.google.com/open?id=1Xbfva34DV7VCm3InAeaqesfot_WhAVS4</v>
      </c>
    </row>
    <row r="80" spans="1:10" ht="15.75" thickBot="1" x14ac:dyDescent="0.3">
      <c r="A80" s="5" t="s">
        <v>677</v>
      </c>
      <c r="B80" s="118" t="s">
        <v>4456</v>
      </c>
      <c r="C80" s="5" t="s">
        <v>716</v>
      </c>
      <c r="D80" s="5" t="s">
        <v>2</v>
      </c>
      <c r="E80" s="5" t="s">
        <v>10</v>
      </c>
      <c r="F80" s="121">
        <v>42948</v>
      </c>
      <c r="G80" s="5" t="s">
        <v>717</v>
      </c>
      <c r="H80" s="5" t="s">
        <v>718</v>
      </c>
      <c r="I80" s="114" t="s">
        <v>719</v>
      </c>
      <c r="J80" t="str">
        <f>VLOOKUP(C80,FORMGOOGLE,7,FALSE)</f>
        <v>https://drive.google.com/open?id=13qnGaVPoUt2U5qU_cuxssBrfE4M4CJ9M</v>
      </c>
    </row>
    <row r="81" spans="1:10" ht="15.75" thickBot="1" x14ac:dyDescent="0.3">
      <c r="A81" s="5" t="s">
        <v>677</v>
      </c>
      <c r="B81" s="118" t="s">
        <v>4454</v>
      </c>
      <c r="C81" s="5" t="s">
        <v>706</v>
      </c>
      <c r="D81" s="5" t="s">
        <v>2</v>
      </c>
      <c r="E81" s="5" t="s">
        <v>10</v>
      </c>
      <c r="F81" s="121">
        <v>42855</v>
      </c>
      <c r="G81" s="5" t="s">
        <v>707</v>
      </c>
      <c r="H81" s="5" t="s">
        <v>708</v>
      </c>
      <c r="I81" s="114" t="s">
        <v>709</v>
      </c>
      <c r="J81" t="str">
        <f>VLOOKUP(C81,FORMGOOGLE,7,FALSE)</f>
        <v>https://drive.google.com/open?id=1gWIVFU1YCDJ53Al-OwhEhKoInuFD3ho-</v>
      </c>
    </row>
    <row r="82" spans="1:10" ht="15.75" thickBot="1" x14ac:dyDescent="0.3">
      <c r="A82" s="5" t="s">
        <v>677</v>
      </c>
      <c r="B82" s="119" t="s">
        <v>4455</v>
      </c>
      <c r="C82" s="5" t="s">
        <v>711</v>
      </c>
      <c r="D82" s="5" t="s">
        <v>66</v>
      </c>
      <c r="E82" s="5" t="s">
        <v>10</v>
      </c>
      <c r="F82" s="121">
        <v>42884</v>
      </c>
      <c r="G82" s="5" t="s">
        <v>712</v>
      </c>
      <c r="H82" s="5" t="s">
        <v>713</v>
      </c>
      <c r="I82" s="114" t="s">
        <v>714</v>
      </c>
      <c r="J82" t="str">
        <f>VLOOKUP(C82,FORMGOOGLE,7,FALSE)</f>
        <v>https://drive.google.com/open?id=1ORvOngVtfUlG-9CyHLyc3bC7UIS6pAKp</v>
      </c>
    </row>
    <row r="83" spans="1:10" ht="15.75" thickBot="1" x14ac:dyDescent="0.3">
      <c r="A83" s="5" t="s">
        <v>677</v>
      </c>
      <c r="B83" s="118" t="s">
        <v>4450</v>
      </c>
      <c r="C83" s="5" t="s">
        <v>673</v>
      </c>
      <c r="D83" s="5" t="s">
        <v>2</v>
      </c>
      <c r="E83" s="5" t="s">
        <v>28</v>
      </c>
      <c r="F83" s="121">
        <v>42683</v>
      </c>
      <c r="G83" s="5" t="s">
        <v>674</v>
      </c>
      <c r="H83" s="5" t="s">
        <v>675</v>
      </c>
      <c r="I83" s="114" t="s">
        <v>676</v>
      </c>
      <c r="J83" t="str">
        <f>VLOOKUP(C83,FORMGOOGLE,7,FALSE)</f>
        <v>https://drive.google.com/open?id=1sQdYTT0yUsLUSvldgQvCTuRnH_jBQJJc</v>
      </c>
    </row>
    <row r="84" spans="1:10" ht="15.75" thickBot="1" x14ac:dyDescent="0.3">
      <c r="A84" s="5" t="s">
        <v>677</v>
      </c>
      <c r="B84" s="119" t="s">
        <v>4457</v>
      </c>
      <c r="C84" s="5" t="s">
        <v>733</v>
      </c>
      <c r="D84" s="5" t="s">
        <v>2</v>
      </c>
      <c r="E84" s="5" t="s">
        <v>28</v>
      </c>
      <c r="F84" s="121">
        <v>42702</v>
      </c>
      <c r="G84" s="5" t="s">
        <v>734</v>
      </c>
      <c r="H84" s="5" t="s">
        <v>735</v>
      </c>
      <c r="I84" s="114" t="s">
        <v>736</v>
      </c>
      <c r="J84" t="str">
        <f>VLOOKUP(C84,FORMGOOGLE,7,FALSE)</f>
        <v>https://drive.google.com/open?id=1qxlekTV6tWTxtBl4bqCMQvYr_Pzx9NHe</v>
      </c>
    </row>
    <row r="85" spans="1:10" ht="15.75" thickBot="1" x14ac:dyDescent="0.3">
      <c r="A85" s="5" t="s">
        <v>677</v>
      </c>
      <c r="B85" s="118" t="s">
        <v>4452</v>
      </c>
      <c r="C85" s="5" t="s">
        <v>689</v>
      </c>
      <c r="D85" s="5" t="s">
        <v>2</v>
      </c>
      <c r="E85" s="5" t="s">
        <v>59</v>
      </c>
      <c r="F85" s="121">
        <v>42689</v>
      </c>
      <c r="G85" s="5" t="s">
        <v>690</v>
      </c>
      <c r="H85" s="5" t="s">
        <v>691</v>
      </c>
      <c r="I85" s="114" t="s">
        <v>692</v>
      </c>
      <c r="J85" t="str">
        <f>VLOOKUP(C85,FORMGOOGLE,7,FALSE)</f>
        <v>https://drive.google.com/open?id=1NSMGnJeV80TtySLjwwwwfOdMm8hjHJyE</v>
      </c>
    </row>
    <row r="86" spans="1:10" ht="15.75" thickBot="1" x14ac:dyDescent="0.3">
      <c r="A86" s="5" t="s">
        <v>677</v>
      </c>
      <c r="B86" s="119" t="s">
        <v>4453</v>
      </c>
      <c r="C86" s="5" t="s">
        <v>701</v>
      </c>
      <c r="D86" s="5" t="s">
        <v>2</v>
      </c>
      <c r="E86" s="5" t="s">
        <v>10</v>
      </c>
      <c r="F86" s="121">
        <v>42950</v>
      </c>
      <c r="G86" s="5" t="s">
        <v>702</v>
      </c>
      <c r="H86" s="5" t="s">
        <v>703</v>
      </c>
      <c r="I86" s="114" t="s">
        <v>704</v>
      </c>
      <c r="J86" t="str">
        <f>VLOOKUP(C86,FORMGOOGLE,7,FALSE)</f>
        <v>https://drive.google.com/open?id=1vaWjclMaWugPDboHC8WMwhvGBiiK6SXT</v>
      </c>
    </row>
    <row r="87" spans="1:10" ht="15.75" thickBot="1" x14ac:dyDescent="0.3">
      <c r="A87" s="5" t="s">
        <v>677</v>
      </c>
      <c r="B87" s="119" t="s">
        <v>4451</v>
      </c>
      <c r="C87" s="5" t="s">
        <v>679</v>
      </c>
      <c r="D87" s="5" t="s">
        <v>2</v>
      </c>
      <c r="E87" s="5" t="s">
        <v>365</v>
      </c>
      <c r="F87" s="121">
        <v>42773</v>
      </c>
      <c r="G87" s="5" t="s">
        <v>680</v>
      </c>
      <c r="H87" s="5" t="s">
        <v>681</v>
      </c>
      <c r="I87" s="114" t="s">
        <v>682</v>
      </c>
      <c r="J87" t="str">
        <f>VLOOKUP(C87,FORMGOOGLE,7,FALSE)</f>
        <v>https://drive.google.com/open?id=11-q7WFZ_iGQRQQMYququX2kfb6Svpo1L</v>
      </c>
    </row>
    <row r="88" spans="1:10" ht="15.75" thickBot="1" x14ac:dyDescent="0.3">
      <c r="A88" s="5" t="s">
        <v>96</v>
      </c>
      <c r="B88" s="118" t="s">
        <v>4459</v>
      </c>
      <c r="C88" s="5" t="s">
        <v>103</v>
      </c>
      <c r="D88" s="5" t="s">
        <v>66</v>
      </c>
      <c r="E88" s="5" t="s">
        <v>104</v>
      </c>
      <c r="F88" s="121">
        <v>43137</v>
      </c>
      <c r="G88" s="5" t="s">
        <v>105</v>
      </c>
      <c r="H88" s="5" t="s">
        <v>106</v>
      </c>
      <c r="I88" s="114" t="s">
        <v>107</v>
      </c>
      <c r="J88" t="str">
        <f>VLOOKUP(C88,FORMGOOGLE,7,FALSE)</f>
        <v>https://drive.google.com/open?id=1-1klgcJlXxYe8igSJUmKUGLPBJMEahg1</v>
      </c>
    </row>
    <row r="89" spans="1:10" ht="15.75" thickBot="1" x14ac:dyDescent="0.3">
      <c r="A89" s="5" t="s">
        <v>96</v>
      </c>
      <c r="B89" s="118" t="s">
        <v>91</v>
      </c>
      <c r="C89" s="5" t="s">
        <v>92</v>
      </c>
      <c r="D89" s="5" t="s">
        <v>66</v>
      </c>
      <c r="E89" s="5" t="s">
        <v>10</v>
      </c>
      <c r="F89" s="121">
        <v>42899</v>
      </c>
      <c r="G89" s="5" t="s">
        <v>93</v>
      </c>
      <c r="H89" s="5" t="s">
        <v>94</v>
      </c>
      <c r="I89" s="114" t="s">
        <v>95</v>
      </c>
      <c r="J89" t="str">
        <f>VLOOKUP(C89,FORMGOOGLE,7,FALSE)</f>
        <v>https://drive.google.com/open?id=1XJn7exgblE_C0cdVs8mVs4BYmXENPaed</v>
      </c>
    </row>
    <row r="90" spans="1:10" ht="15.75" thickBot="1" x14ac:dyDescent="0.3">
      <c r="A90" s="5" t="s">
        <v>96</v>
      </c>
      <c r="B90" s="119" t="s">
        <v>4458</v>
      </c>
      <c r="C90" s="5" t="s">
        <v>98</v>
      </c>
      <c r="D90" s="5" t="s">
        <v>2</v>
      </c>
      <c r="E90" s="5" t="s">
        <v>28</v>
      </c>
      <c r="F90" s="121">
        <v>42865</v>
      </c>
      <c r="G90" s="5" t="s">
        <v>99</v>
      </c>
      <c r="H90" s="5" t="s">
        <v>100</v>
      </c>
      <c r="I90" s="114" t="s">
        <v>101</v>
      </c>
      <c r="J90" t="str">
        <f>VLOOKUP(C90,FORMGOOGLE,7,FALSE)</f>
        <v>https://drive.google.com/open?id=1E4csb5W-STQOw9FRg38eiP_P5pJUcJB4</v>
      </c>
    </row>
    <row r="91" spans="1:10" ht="15.75" thickBot="1" x14ac:dyDescent="0.3">
      <c r="A91" s="5" t="s">
        <v>725</v>
      </c>
      <c r="B91" s="119" t="s">
        <v>4468</v>
      </c>
      <c r="C91" s="5" t="s">
        <v>2238</v>
      </c>
      <c r="D91" s="5" t="s">
        <v>2</v>
      </c>
      <c r="E91" s="5" t="s">
        <v>10</v>
      </c>
      <c r="F91" s="121">
        <v>42422</v>
      </c>
      <c r="G91" s="5" t="s">
        <v>2239</v>
      </c>
      <c r="H91" s="5" t="s">
        <v>2240</v>
      </c>
      <c r="I91" s="114" t="s">
        <v>3198</v>
      </c>
      <c r="J91" t="str">
        <f>VLOOKUP(C91,FORMGOOGLE,7,FALSE)</f>
        <v>https://drive.google.com/open?id=1Me8dVHsDyPxsdG-wXNb46kVnrH8-06uY</v>
      </c>
    </row>
    <row r="92" spans="1:10" ht="15.75" thickBot="1" x14ac:dyDescent="0.3">
      <c r="A92" s="5" t="s">
        <v>725</v>
      </c>
      <c r="B92" s="118" t="s">
        <v>4467</v>
      </c>
      <c r="C92" s="5" t="s">
        <v>780</v>
      </c>
      <c r="D92" s="5" t="s">
        <v>2</v>
      </c>
      <c r="E92" s="5" t="s">
        <v>10</v>
      </c>
      <c r="F92" s="121">
        <v>43091</v>
      </c>
      <c r="G92" s="5" t="s">
        <v>2207</v>
      </c>
      <c r="H92" s="5" t="s">
        <v>2208</v>
      </c>
      <c r="I92" s="114" t="s">
        <v>3193</v>
      </c>
      <c r="J92" t="str">
        <f>VLOOKUP(C92,FORMGOOGLE,7,FALSE)</f>
        <v>https://drive.google.com/open?id=1hUMMcxVNvSrF3fTN8STHNMfFPvuoU3s5</v>
      </c>
    </row>
    <row r="93" spans="1:10" ht="15.75" thickBot="1" x14ac:dyDescent="0.3">
      <c r="A93" s="5" t="s">
        <v>725</v>
      </c>
      <c r="B93" s="118" t="s">
        <v>4465</v>
      </c>
      <c r="C93" s="5" t="s">
        <v>795</v>
      </c>
      <c r="D93" s="5" t="s">
        <v>2</v>
      </c>
      <c r="E93" s="5" t="s">
        <v>10</v>
      </c>
      <c r="F93" s="121">
        <v>42977</v>
      </c>
      <c r="G93" s="5" t="s">
        <v>796</v>
      </c>
      <c r="H93" s="5" t="s">
        <v>797</v>
      </c>
      <c r="I93" s="114" t="s">
        <v>798</v>
      </c>
      <c r="J93" t="str">
        <f>VLOOKUP(C93,FORMGOOGLE,7,FALSE)</f>
        <v>https://drive.google.com/open?id=1wCzRtMXYnu9pVybzVyY0c2LYrBugwkQl</v>
      </c>
    </row>
    <row r="94" spans="1:10" ht="15.75" thickBot="1" x14ac:dyDescent="0.3">
      <c r="A94" s="5" t="s">
        <v>725</v>
      </c>
      <c r="B94" s="119" t="s">
        <v>4472</v>
      </c>
      <c r="C94" s="5" t="s">
        <v>2555</v>
      </c>
      <c r="D94" s="5" t="s">
        <v>2</v>
      </c>
      <c r="E94" s="5" t="s">
        <v>28</v>
      </c>
      <c r="F94" s="121">
        <v>42659</v>
      </c>
      <c r="G94" s="5" t="s">
        <v>2556</v>
      </c>
      <c r="H94" s="5" t="s">
        <v>2557</v>
      </c>
      <c r="I94" s="114" t="s">
        <v>3247</v>
      </c>
      <c r="J94" t="str">
        <f>VLOOKUP(C94,FORMGOOGLE,7,FALSE)</f>
        <v>https://drive.google.com/open?id=1Zn_3k2SjDwwOMG108RGkytC2YJMMqXk7</v>
      </c>
    </row>
    <row r="95" spans="1:10" ht="15.75" thickBot="1" x14ac:dyDescent="0.3">
      <c r="A95" s="5" t="s">
        <v>725</v>
      </c>
      <c r="B95" s="118" t="s">
        <v>2405</v>
      </c>
      <c r="C95" s="5" t="s">
        <v>5156</v>
      </c>
      <c r="D95" s="5" t="s">
        <v>2</v>
      </c>
      <c r="E95" s="5" t="s">
        <v>28</v>
      </c>
      <c r="F95" s="121">
        <v>42125</v>
      </c>
      <c r="G95" s="5" t="s">
        <v>5157</v>
      </c>
      <c r="H95" s="5" t="s">
        <v>5158</v>
      </c>
      <c r="I95" s="114" t="s">
        <v>5159</v>
      </c>
      <c r="J95" t="str">
        <f>VLOOKUP(C95,FORMGOOGLE,7,FALSE)</f>
        <v>https://drive.google.com/open?id=1276mJNvEPL2IQYUigdHUd3bhCtSRykbR</v>
      </c>
    </row>
    <row r="96" spans="1:10" ht="15.75" thickBot="1" x14ac:dyDescent="0.3">
      <c r="A96" s="5" t="s">
        <v>725</v>
      </c>
      <c r="B96" s="119" t="s">
        <v>4470</v>
      </c>
      <c r="C96" s="5" t="s">
        <v>2452</v>
      </c>
      <c r="D96" s="5" t="s">
        <v>2</v>
      </c>
      <c r="E96" s="5" t="s">
        <v>28</v>
      </c>
      <c r="F96" s="121">
        <v>41682</v>
      </c>
      <c r="G96" s="5" t="s">
        <v>2453</v>
      </c>
      <c r="H96" s="5" t="s">
        <v>2454</v>
      </c>
      <c r="I96" s="114" t="s">
        <v>3229</v>
      </c>
      <c r="J96" t="str">
        <f>VLOOKUP(C96,FORMGOOGLE,7,FALSE)</f>
        <v>https://drive.google.com/open?id=17n5HLf7lHtXEvhLZv458DjnRMSJCWPrB</v>
      </c>
    </row>
    <row r="97" spans="1:10" ht="15.75" thickBot="1" x14ac:dyDescent="0.3">
      <c r="A97" s="5" t="s">
        <v>725</v>
      </c>
      <c r="B97" s="118" t="s">
        <v>4475</v>
      </c>
      <c r="C97" s="11" t="s">
        <v>2774</v>
      </c>
      <c r="D97" s="5" t="s">
        <v>2</v>
      </c>
      <c r="E97" s="5" t="s">
        <v>10</v>
      </c>
      <c r="F97" s="121">
        <v>41814</v>
      </c>
      <c r="G97" s="5" t="s">
        <v>2775</v>
      </c>
      <c r="H97" s="5" t="s">
        <v>2776</v>
      </c>
      <c r="I97" s="114" t="s">
        <v>3283</v>
      </c>
      <c r="J97" t="e">
        <f>VLOOKUP(C97,FORMGOOGLE,7,FALSE)</f>
        <v>#N/A</v>
      </c>
    </row>
    <row r="98" spans="1:10" ht="15.75" thickBot="1" x14ac:dyDescent="0.3">
      <c r="A98" s="5" t="s">
        <v>725</v>
      </c>
      <c r="B98" s="119" t="s">
        <v>4478</v>
      </c>
      <c r="C98" s="11" t="s">
        <v>2818</v>
      </c>
      <c r="D98" s="5" t="s">
        <v>2</v>
      </c>
      <c r="E98" s="5" t="s">
        <v>10</v>
      </c>
      <c r="F98" s="121">
        <v>41814</v>
      </c>
      <c r="G98" s="5" t="s">
        <v>2775</v>
      </c>
      <c r="H98" s="5" t="s">
        <v>2776</v>
      </c>
      <c r="I98" s="114" t="s">
        <v>3290</v>
      </c>
      <c r="J98" t="str">
        <f>VLOOKUP(C98,FORMGOOGLE,7,FALSE)</f>
        <v>https://drive.google.com/open?id=16qP1EdfUF3hQWN1rIOzAlO7sHwuvaCnk</v>
      </c>
    </row>
    <row r="99" spans="1:10" ht="15.75" thickBot="1" x14ac:dyDescent="0.3">
      <c r="A99" s="5" t="s">
        <v>725</v>
      </c>
      <c r="B99" s="118" t="s">
        <v>4473</v>
      </c>
      <c r="C99" s="5" t="s">
        <v>2580</v>
      </c>
      <c r="D99" s="5" t="s">
        <v>66</v>
      </c>
      <c r="E99" s="5" t="s">
        <v>28</v>
      </c>
      <c r="F99" s="121">
        <v>41747</v>
      </c>
      <c r="G99" s="5" t="s">
        <v>2581</v>
      </c>
      <c r="H99" s="5" t="s">
        <v>2582</v>
      </c>
      <c r="I99" s="114" t="s">
        <v>3250</v>
      </c>
      <c r="J99" t="str">
        <f>VLOOKUP(C99,FORMGOOGLE,7,FALSE)</f>
        <v>https://drive.google.com/open?id=1Jx620ujq3Ugn4RFLzGQiEeOhi_82ckrx</v>
      </c>
    </row>
    <row r="100" spans="1:10" ht="15.75" thickBot="1" x14ac:dyDescent="0.3">
      <c r="A100" s="5" t="s">
        <v>725</v>
      </c>
      <c r="B100" s="119" t="s">
        <v>4474</v>
      </c>
      <c r="C100" s="5" t="s">
        <v>2587</v>
      </c>
      <c r="D100" s="5" t="s">
        <v>2</v>
      </c>
      <c r="E100" s="5" t="s">
        <v>28</v>
      </c>
      <c r="F100" s="121">
        <v>41774</v>
      </c>
      <c r="G100" s="5" t="s">
        <v>2588</v>
      </c>
      <c r="H100" s="5" t="s">
        <v>2589</v>
      </c>
      <c r="I100" s="114" t="s">
        <v>3251</v>
      </c>
      <c r="J100" t="str">
        <f>VLOOKUP(C100,FORMGOOGLE,7,FALSE)</f>
        <v>https://drive.google.com/open?id=1B_HJH0PRRfvahGlTHIphlJs8ld5s2bGC</v>
      </c>
    </row>
    <row r="101" spans="1:10" ht="15.75" thickBot="1" x14ac:dyDescent="0.3">
      <c r="A101" s="5" t="s">
        <v>725</v>
      </c>
      <c r="B101" s="118" t="s">
        <v>4469</v>
      </c>
      <c r="C101" s="5" t="s">
        <v>856</v>
      </c>
      <c r="D101" s="5" t="s">
        <v>2</v>
      </c>
      <c r="E101" s="5" t="s">
        <v>204</v>
      </c>
      <c r="F101" s="121">
        <v>42456</v>
      </c>
      <c r="G101" s="5" t="s">
        <v>857</v>
      </c>
      <c r="H101" s="5" t="s">
        <v>858</v>
      </c>
      <c r="I101" s="114" t="s">
        <v>3219</v>
      </c>
      <c r="J101" t="str">
        <f>VLOOKUP(C101,FORMGOOGLE,7,FALSE)</f>
        <v>https://drive.google.com/open?id=1kRUWl1R8YywkvxG2zUpjy5_zEHsUUard</v>
      </c>
    </row>
    <row r="102" spans="1:10" ht="15.75" thickBot="1" x14ac:dyDescent="0.3">
      <c r="A102" s="5" t="s">
        <v>725</v>
      </c>
      <c r="B102" s="118" t="s">
        <v>4461</v>
      </c>
      <c r="C102" s="5" t="s">
        <v>721</v>
      </c>
      <c r="D102" s="5" t="s">
        <v>2</v>
      </c>
      <c r="E102" s="5" t="s">
        <v>28</v>
      </c>
      <c r="F102" s="121">
        <v>41969</v>
      </c>
      <c r="G102" s="5" t="s">
        <v>722</v>
      </c>
      <c r="H102" s="5" t="s">
        <v>723</v>
      </c>
      <c r="I102" s="114" t="s">
        <v>724</v>
      </c>
      <c r="J102" t="str">
        <f>VLOOKUP(C102,FORMGOOGLE,7,FALSE)</f>
        <v>https://drive.google.com/open?id=1jIOLT4sNZf7Dz6KVhnsV-UfBNjQk7XkL</v>
      </c>
    </row>
    <row r="103" spans="1:10" ht="15.75" thickBot="1" x14ac:dyDescent="0.3">
      <c r="A103" s="5" t="s">
        <v>725</v>
      </c>
      <c r="B103" s="118" t="s">
        <v>4471</v>
      </c>
      <c r="C103" s="5" t="s">
        <v>2489</v>
      </c>
      <c r="D103" s="5" t="s">
        <v>2</v>
      </c>
      <c r="E103" s="5" t="s">
        <v>2490</v>
      </c>
      <c r="F103" s="121">
        <v>42364</v>
      </c>
      <c r="G103" s="5" t="s">
        <v>2491</v>
      </c>
      <c r="H103" s="5" t="s">
        <v>2351</v>
      </c>
      <c r="I103" s="114" t="s">
        <v>3236</v>
      </c>
      <c r="J103" t="str">
        <f>VLOOKUP(C103,FORMGOOGLE,7,FALSE)</f>
        <v>https://drive.google.com/open?id=1qORfn9hv47dL44H77i3kFw4uX5gvm1W0</v>
      </c>
    </row>
    <row r="104" spans="1:10" ht="15.75" thickBot="1" x14ac:dyDescent="0.3">
      <c r="A104" s="5" t="s">
        <v>725</v>
      </c>
      <c r="B104" s="118" t="s">
        <v>4053</v>
      </c>
      <c r="C104" s="5" t="s">
        <v>4742</v>
      </c>
      <c r="D104" s="5" t="s">
        <v>66</v>
      </c>
      <c r="E104" s="5" t="s">
        <v>10</v>
      </c>
      <c r="F104" s="121">
        <v>42524</v>
      </c>
      <c r="G104" s="5" t="s">
        <v>4743</v>
      </c>
      <c r="H104" s="5" t="s">
        <v>4744</v>
      </c>
      <c r="I104" s="114" t="s">
        <v>4745</v>
      </c>
      <c r="J104" t="str">
        <f>VLOOKUP(C104,FORMGOOGLE,7,FALSE)</f>
        <v>https://drive.google.com/open?id=1o4x6bW30mjcUiqApmeT28BxMlFjleLjz</v>
      </c>
    </row>
    <row r="105" spans="1:10" ht="15.75" thickBot="1" x14ac:dyDescent="0.3">
      <c r="A105" s="5" t="s">
        <v>725</v>
      </c>
      <c r="B105" s="119" t="s">
        <v>3034</v>
      </c>
      <c r="C105" s="5" t="s">
        <v>5119</v>
      </c>
      <c r="D105" s="5" t="s">
        <v>66</v>
      </c>
      <c r="E105" s="5" t="s">
        <v>10</v>
      </c>
      <c r="F105" s="121">
        <v>42524</v>
      </c>
      <c r="G105" s="5" t="s">
        <v>4740</v>
      </c>
      <c r="H105" s="5" t="s">
        <v>4741</v>
      </c>
      <c r="I105" s="114" t="s">
        <v>5120</v>
      </c>
      <c r="J105" t="str">
        <f>VLOOKUP(C105,FORMGOOGLE,7,FALSE)</f>
        <v>https://drive.google.com/open?id=1jJC6nRWwOH0dY5UzMfDiXgMMRBOsJ4JK</v>
      </c>
    </row>
    <row r="106" spans="1:10" ht="15.75" thickBot="1" x14ac:dyDescent="0.3">
      <c r="A106" s="5" t="s">
        <v>725</v>
      </c>
      <c r="B106" s="119" t="s">
        <v>4381</v>
      </c>
      <c r="C106" s="5" t="s">
        <v>4811</v>
      </c>
      <c r="D106" s="5" t="s">
        <v>66</v>
      </c>
      <c r="E106" s="5" t="s">
        <v>10</v>
      </c>
      <c r="F106" s="121">
        <v>42524</v>
      </c>
      <c r="G106" s="5" t="s">
        <v>4740</v>
      </c>
      <c r="H106" s="5" t="s">
        <v>4741</v>
      </c>
      <c r="I106" s="114" t="s">
        <v>4770</v>
      </c>
      <c r="J106" t="str">
        <f>VLOOKUP(C106,FORMGOOGLE,7,FALSE)</f>
        <v>https://drive.google.com/open?id=160DqZ4OJxniq6jRPReW4Huz13RD01B4z</v>
      </c>
    </row>
    <row r="107" spans="1:10" ht="15.75" thickBot="1" x14ac:dyDescent="0.3">
      <c r="A107" s="5" t="s">
        <v>725</v>
      </c>
      <c r="B107" s="118" t="s">
        <v>4463</v>
      </c>
      <c r="C107" s="5" t="s">
        <v>744</v>
      </c>
      <c r="D107" s="5" t="s">
        <v>2</v>
      </c>
      <c r="E107" s="5" t="s">
        <v>28</v>
      </c>
      <c r="F107" s="121">
        <v>41824</v>
      </c>
      <c r="G107" s="5" t="s">
        <v>745</v>
      </c>
      <c r="H107" s="5" t="s">
        <v>746</v>
      </c>
      <c r="I107" s="114" t="s">
        <v>747</v>
      </c>
      <c r="J107" t="str">
        <f>VLOOKUP(C107,FORMGOOGLE,7,FALSE)</f>
        <v>https://drive.google.com/open?id=1-Ph51Jh-5i3msUlTZ0TZQaW0hBbCjU6B</v>
      </c>
    </row>
    <row r="108" spans="1:10" ht="15.75" thickBot="1" x14ac:dyDescent="0.3">
      <c r="A108" s="5" t="s">
        <v>725</v>
      </c>
      <c r="B108" s="118" t="s">
        <v>4479</v>
      </c>
      <c r="C108" s="5" t="s">
        <v>2866</v>
      </c>
      <c r="D108" s="5" t="s">
        <v>2</v>
      </c>
      <c r="E108" s="5" t="s">
        <v>28</v>
      </c>
      <c r="F108" s="121">
        <v>41741</v>
      </c>
      <c r="G108" s="5" t="s">
        <v>2867</v>
      </c>
      <c r="H108" s="5" t="s">
        <v>2868</v>
      </c>
      <c r="I108" s="114" t="s">
        <v>3299</v>
      </c>
      <c r="J108" t="str">
        <f>VLOOKUP(C108,FORMGOOGLE,7,FALSE)</f>
        <v>https://drive.google.com/open?id=1gKjQq4N0SGehfUdzHW5rlh6LHXlTQ0Jr</v>
      </c>
    </row>
    <row r="109" spans="1:10" ht="15.75" thickBot="1" x14ac:dyDescent="0.3">
      <c r="A109" s="5" t="s">
        <v>725</v>
      </c>
      <c r="B109" s="119" t="s">
        <v>4462</v>
      </c>
      <c r="C109" s="5" t="s">
        <v>727</v>
      </c>
      <c r="D109" s="5" t="s">
        <v>728</v>
      </c>
      <c r="E109" s="5" t="s">
        <v>28</v>
      </c>
      <c r="F109" s="121">
        <v>42316</v>
      </c>
      <c r="G109" s="5" t="s">
        <v>729</v>
      </c>
      <c r="H109" s="5" t="s">
        <v>730</v>
      </c>
      <c r="I109" s="114" t="s">
        <v>731</v>
      </c>
      <c r="J109" t="str">
        <f>VLOOKUP(C109,FORMGOOGLE,7,FALSE)</f>
        <v>https://drive.google.com/open?id=1U15qbKiG5sTqHxPTHywKhgWOvFi8xtZB</v>
      </c>
    </row>
    <row r="110" spans="1:10" ht="15.75" thickBot="1" x14ac:dyDescent="0.3">
      <c r="A110" s="5" t="s">
        <v>725</v>
      </c>
      <c r="B110" s="119" t="s">
        <v>4460</v>
      </c>
      <c r="C110" s="5" t="s">
        <v>1650</v>
      </c>
      <c r="D110" s="5" t="s">
        <v>2</v>
      </c>
      <c r="E110" s="5" t="s">
        <v>28</v>
      </c>
      <c r="F110" s="121">
        <v>41945</v>
      </c>
      <c r="G110" s="5" t="s">
        <v>1651</v>
      </c>
      <c r="H110" s="5" t="s">
        <v>1652</v>
      </c>
      <c r="I110" s="114" t="s">
        <v>4500</v>
      </c>
      <c r="J110" t="str">
        <f>VLOOKUP(C110,FORMGOOGLE,7,FALSE)</f>
        <v>https://drive.google.com/open?id=19NZ1rz8cBzk5zPi05Nh1yyix6FImK0cf</v>
      </c>
    </row>
    <row r="111" spans="1:10" ht="15.75" thickBot="1" x14ac:dyDescent="0.3">
      <c r="A111" s="5" t="s">
        <v>113</v>
      </c>
      <c r="B111" s="118" t="s">
        <v>135</v>
      </c>
      <c r="C111" s="5" t="s">
        <v>136</v>
      </c>
      <c r="D111" s="5" t="s">
        <v>66</v>
      </c>
      <c r="E111" s="5" t="s">
        <v>10</v>
      </c>
      <c r="F111" s="121">
        <v>42133</v>
      </c>
      <c r="G111" s="5" t="s">
        <v>137</v>
      </c>
      <c r="H111" s="5" t="s">
        <v>138</v>
      </c>
      <c r="I111" s="114" t="s">
        <v>139</v>
      </c>
      <c r="J111" t="str">
        <f>VLOOKUP(C111,FORMGOOGLE,7,FALSE)</f>
        <v>https://drive.google.com/open?id=1KiT-i5-qROCkVo4sQQaYNGfYBqDBOklo</v>
      </c>
    </row>
    <row r="112" spans="1:10" ht="15.75" thickBot="1" x14ac:dyDescent="0.3">
      <c r="A112" s="5" t="s">
        <v>113</v>
      </c>
      <c r="B112" s="118" t="s">
        <v>114</v>
      </c>
      <c r="C112" s="5" t="s">
        <v>115</v>
      </c>
      <c r="D112" s="5" t="s">
        <v>2</v>
      </c>
      <c r="E112" s="5" t="s">
        <v>116</v>
      </c>
      <c r="F112" s="121">
        <v>42997</v>
      </c>
      <c r="G112" s="5" t="s">
        <v>117</v>
      </c>
      <c r="H112" s="5" t="s">
        <v>118</v>
      </c>
      <c r="I112" s="114" t="s">
        <v>119</v>
      </c>
      <c r="J112" t="str">
        <f>VLOOKUP(C112,FORMGOOGLE,7,FALSE)</f>
        <v>https://drive.google.com/open?id=1IcjIiVs_nkbDbfGNy7mcGkVSrvHSPOKD</v>
      </c>
    </row>
    <row r="113" spans="1:10" ht="15.75" thickBot="1" x14ac:dyDescent="0.3">
      <c r="A113" s="5" t="s">
        <v>113</v>
      </c>
      <c r="B113" s="118" t="s">
        <v>125</v>
      </c>
      <c r="C113" s="5" t="s">
        <v>126</v>
      </c>
      <c r="D113" s="5" t="s">
        <v>66</v>
      </c>
      <c r="E113" s="5" t="s">
        <v>10</v>
      </c>
      <c r="F113" s="121">
        <v>42110</v>
      </c>
      <c r="G113" s="5" t="s">
        <v>127</v>
      </c>
      <c r="H113" s="5" t="s">
        <v>128</v>
      </c>
      <c r="I113" s="114" t="s">
        <v>129</v>
      </c>
      <c r="J113" t="str">
        <f>VLOOKUP(C113,FORMGOOGLE,7,FALSE)</f>
        <v>https://drive.google.com/open?id=1buT_gA_8WnR057QnjJcKJGpcqOXcrxpZ</v>
      </c>
    </row>
    <row r="114" spans="1:10" ht="15.75" thickBot="1" x14ac:dyDescent="0.3">
      <c r="A114" s="5" t="s">
        <v>113</v>
      </c>
      <c r="B114" s="119" t="s">
        <v>150</v>
      </c>
      <c r="C114" s="5" t="s">
        <v>151</v>
      </c>
      <c r="D114" s="5" t="s">
        <v>2</v>
      </c>
      <c r="E114" s="5" t="s">
        <v>10</v>
      </c>
      <c r="F114" s="121">
        <v>42181</v>
      </c>
      <c r="G114" s="5" t="s">
        <v>152</v>
      </c>
      <c r="H114" s="5" t="s">
        <v>153</v>
      </c>
      <c r="I114" s="114" t="s">
        <v>154</v>
      </c>
      <c r="J114" t="str">
        <f>VLOOKUP(C114,FORMGOOGLE,7,FALSE)</f>
        <v>https://drive.google.com/open?id=1QEkp6U6e4u90Z3X-3aINY58kKwgjuygn</v>
      </c>
    </row>
    <row r="115" spans="1:10" ht="15.75" thickBot="1" x14ac:dyDescent="0.3">
      <c r="A115" s="5" t="s">
        <v>113</v>
      </c>
      <c r="B115" s="119" t="s">
        <v>140</v>
      </c>
      <c r="C115" s="5" t="s">
        <v>141</v>
      </c>
      <c r="D115" s="5" t="s">
        <v>2</v>
      </c>
      <c r="E115" s="5" t="s">
        <v>10</v>
      </c>
      <c r="F115" s="121">
        <v>42970</v>
      </c>
      <c r="G115" s="5" t="s">
        <v>142</v>
      </c>
      <c r="H115" s="5" t="s">
        <v>143</v>
      </c>
      <c r="I115" s="114" t="s">
        <v>144</v>
      </c>
      <c r="J115" t="str">
        <f>VLOOKUP(C115,FORMGOOGLE,7,FALSE)</f>
        <v>https://drive.google.com/open?id=1pwccknEVS32XQVbBan7a8RCs43KKe4SL</v>
      </c>
    </row>
    <row r="116" spans="1:10" ht="15.75" thickBot="1" x14ac:dyDescent="0.3">
      <c r="A116" s="5" t="s">
        <v>113</v>
      </c>
      <c r="B116" s="119" t="s">
        <v>108</v>
      </c>
      <c r="C116" s="5" t="s">
        <v>109</v>
      </c>
      <c r="D116" s="5" t="s">
        <v>66</v>
      </c>
      <c r="E116" s="5" t="s">
        <v>59</v>
      </c>
      <c r="F116" s="121">
        <v>42563</v>
      </c>
      <c r="G116" s="5" t="s">
        <v>110</v>
      </c>
      <c r="H116" s="5" t="s">
        <v>111</v>
      </c>
      <c r="I116" s="114" t="s">
        <v>112</v>
      </c>
      <c r="J116" t="str">
        <f>VLOOKUP(C116,FORMGOOGLE,7,FALSE)</f>
        <v>https://drive.google.com/open?id=1VFbJnLngCWLAnS2WIsiPL5ZOy0hUYxra</v>
      </c>
    </row>
    <row r="117" spans="1:10" ht="15.75" thickBot="1" x14ac:dyDescent="0.3">
      <c r="A117" s="5" t="s">
        <v>113</v>
      </c>
      <c r="B117" s="119" t="s">
        <v>120</v>
      </c>
      <c r="C117" s="5" t="s">
        <v>121</v>
      </c>
      <c r="D117" s="5" t="s">
        <v>66</v>
      </c>
      <c r="E117" s="5" t="s">
        <v>28</v>
      </c>
      <c r="F117" s="121">
        <v>42812</v>
      </c>
      <c r="G117" s="5" t="s">
        <v>122</v>
      </c>
      <c r="H117" s="5" t="s">
        <v>123</v>
      </c>
      <c r="I117" s="114" t="s">
        <v>124</v>
      </c>
      <c r="J117" t="str">
        <f>VLOOKUP(C117,FORMGOOGLE,7,FALSE)</f>
        <v>https://drive.google.com/open?id=1kNPXsNr8cpoppYLSIGFQo63l2eJbOOpM</v>
      </c>
    </row>
    <row r="118" spans="1:10" ht="15.75" thickBot="1" x14ac:dyDescent="0.3">
      <c r="A118" s="5" t="s">
        <v>113</v>
      </c>
      <c r="B118" s="119" t="s">
        <v>130</v>
      </c>
      <c r="C118" s="5" t="s">
        <v>131</v>
      </c>
      <c r="D118" s="5" t="s">
        <v>66</v>
      </c>
      <c r="E118" s="5" t="s">
        <v>28</v>
      </c>
      <c r="F118" s="121">
        <v>41369</v>
      </c>
      <c r="G118" s="5" t="s">
        <v>132</v>
      </c>
      <c r="H118" s="5" t="s">
        <v>133</v>
      </c>
      <c r="I118" s="114" t="s">
        <v>134</v>
      </c>
      <c r="J118" t="str">
        <f>VLOOKUP(C118,FORMGOOGLE,7,FALSE)</f>
        <v>https://drive.google.com/open?id=1layLAjEW5waE-PElONo6q_d02rozq-Fj</v>
      </c>
    </row>
    <row r="119" spans="1:10" ht="15.75" thickBot="1" x14ac:dyDescent="0.3">
      <c r="A119" s="5" t="s">
        <v>113</v>
      </c>
      <c r="B119" s="118" t="s">
        <v>145</v>
      </c>
      <c r="C119" s="5" t="s">
        <v>146</v>
      </c>
      <c r="D119" s="5" t="s">
        <v>66</v>
      </c>
      <c r="E119" s="5" t="s">
        <v>28</v>
      </c>
      <c r="F119" s="121">
        <v>42663</v>
      </c>
      <c r="G119" s="5" t="s">
        <v>147</v>
      </c>
      <c r="H119" s="5" t="s">
        <v>148</v>
      </c>
      <c r="I119" s="114" t="s">
        <v>149</v>
      </c>
      <c r="J119" t="str">
        <f>VLOOKUP(C119,FORMGOOGLE,7,FALSE)</f>
        <v>https://drive.google.com/open?id=1xr_rr_Y7jZ8X2AS0bNQHe3ibHlF8bdy2</v>
      </c>
    </row>
    <row r="120" spans="1:10" ht="15.75" thickBot="1" x14ac:dyDescent="0.3">
      <c r="A120" s="5" t="s">
        <v>550</v>
      </c>
      <c r="B120" s="118" t="s">
        <v>545</v>
      </c>
      <c r="C120" s="5" t="s">
        <v>546</v>
      </c>
      <c r="D120" s="5" t="s">
        <v>2</v>
      </c>
      <c r="E120" s="5" t="s">
        <v>28</v>
      </c>
      <c r="F120" s="121">
        <v>43177</v>
      </c>
      <c r="G120" s="5" t="s">
        <v>547</v>
      </c>
      <c r="H120" s="5" t="s">
        <v>548</v>
      </c>
      <c r="I120" s="114" t="s">
        <v>549</v>
      </c>
      <c r="J120" t="str">
        <f>VLOOKUP(C120,FORMGOOGLE,7,FALSE)</f>
        <v>https://drive.google.com/open?id=18gbMBtOsheY7ha0zah_GUJqgQ0OPnM3L</v>
      </c>
    </row>
    <row r="121" spans="1:10" ht="15.75" thickBot="1" x14ac:dyDescent="0.3">
      <c r="A121" s="5" t="s">
        <v>4621</v>
      </c>
      <c r="B121" s="119" t="s">
        <v>4616</v>
      </c>
      <c r="C121" s="5" t="s">
        <v>4617</v>
      </c>
      <c r="D121" s="5" t="s">
        <v>2</v>
      </c>
      <c r="E121" s="5" t="s">
        <v>10</v>
      </c>
      <c r="F121" s="121">
        <v>41737</v>
      </c>
      <c r="G121" s="5" t="s">
        <v>4618</v>
      </c>
      <c r="H121" s="5" t="s">
        <v>4619</v>
      </c>
      <c r="I121" s="114" t="s">
        <v>4620</v>
      </c>
      <c r="J121" t="str">
        <f>VLOOKUP(C121,FORMGOOGLE,7,FALSE)</f>
        <v>https://drive.google.com/open?id=19lPkXH3QUt-0VCfqDIeqpuym35GpdRw0</v>
      </c>
    </row>
    <row r="122" spans="1:10" ht="15.75" thickBot="1" x14ac:dyDescent="0.3">
      <c r="A122" s="5" t="s">
        <v>441</v>
      </c>
      <c r="B122" s="118" t="s">
        <v>436</v>
      </c>
      <c r="C122" s="5" t="s">
        <v>437</v>
      </c>
      <c r="D122" s="5" t="s">
        <v>66</v>
      </c>
      <c r="E122" s="5" t="s">
        <v>28</v>
      </c>
      <c r="F122" s="121">
        <v>41900</v>
      </c>
      <c r="G122" s="5" t="s">
        <v>438</v>
      </c>
      <c r="H122" s="5" t="s">
        <v>439</v>
      </c>
      <c r="I122" s="114" t="s">
        <v>440</v>
      </c>
      <c r="J122" t="str">
        <f>VLOOKUP(C122,FORMGOOGLE,7,FALSE)</f>
        <v>https://drive.google.com/open?id=1n1k3SqTPXXdb95exagphXtp8hoPs_bRe</v>
      </c>
    </row>
    <row r="123" spans="1:10" ht="15.75" thickBot="1" x14ac:dyDescent="0.3">
      <c r="A123" s="5" t="s">
        <v>441</v>
      </c>
      <c r="B123" s="119" t="s">
        <v>2021</v>
      </c>
      <c r="C123" s="5" t="s">
        <v>2016</v>
      </c>
      <c r="D123" s="5" t="s">
        <v>66</v>
      </c>
      <c r="E123" s="5" t="s">
        <v>10</v>
      </c>
      <c r="F123" s="121">
        <v>42460</v>
      </c>
      <c r="G123" s="5" t="s">
        <v>2017</v>
      </c>
      <c r="H123" s="5" t="s">
        <v>2018</v>
      </c>
      <c r="I123" s="114" t="s">
        <v>3172</v>
      </c>
      <c r="J123" t="str">
        <f>VLOOKUP(C123,FORMGOOGLE,7,FALSE)</f>
        <v>https://drive.google.com/open?id=1mpVbfKyCd0thV6Zs5dczECsjI9ykxXWc</v>
      </c>
    </row>
    <row r="124" spans="1:10" ht="15.75" thickBot="1" x14ac:dyDescent="0.3">
      <c r="A124" s="5" t="s">
        <v>441</v>
      </c>
      <c r="B124" s="118" t="s">
        <v>2027</v>
      </c>
      <c r="C124" s="5" t="s">
        <v>2023</v>
      </c>
      <c r="D124" s="5" t="s">
        <v>66</v>
      </c>
      <c r="E124" s="5" t="s">
        <v>10</v>
      </c>
      <c r="F124" s="121">
        <v>42294</v>
      </c>
      <c r="G124" s="5" t="s">
        <v>2024</v>
      </c>
      <c r="H124" s="5" t="s">
        <v>2025</v>
      </c>
      <c r="I124" s="114" t="s">
        <v>3173</v>
      </c>
      <c r="J124" t="str">
        <f>VLOOKUP(C124,FORMGOOGLE,7,FALSE)</f>
        <v>https://drive.google.com/open?id=1op6XFXUl-XLeGA1GOGMGOgCX_0P8PgTY</v>
      </c>
    </row>
    <row r="125" spans="1:10" ht="15.75" thickBot="1" x14ac:dyDescent="0.3">
      <c r="A125" s="5" t="s">
        <v>441</v>
      </c>
      <c r="B125" s="119" t="s">
        <v>2034</v>
      </c>
      <c r="C125" s="5" t="s">
        <v>2030</v>
      </c>
      <c r="D125" s="5" t="s">
        <v>66</v>
      </c>
      <c r="E125" s="5" t="s">
        <v>10</v>
      </c>
      <c r="F125" s="121">
        <v>42746</v>
      </c>
      <c r="G125" s="5" t="s">
        <v>2031</v>
      </c>
      <c r="H125" s="5" t="s">
        <v>2032</v>
      </c>
      <c r="I125" s="114" t="s">
        <v>3174</v>
      </c>
      <c r="J125" t="str">
        <f>VLOOKUP(C125,FORMGOOGLE,7,FALSE)</f>
        <v>https://drive.google.com/open?id=1kuLGYXpfP3yoIdCxrwnFe8SoMAlebxCY</v>
      </c>
    </row>
    <row r="126" spans="1:10" ht="15.75" thickBot="1" x14ac:dyDescent="0.3">
      <c r="A126" s="5" t="s">
        <v>441</v>
      </c>
      <c r="B126" s="118" t="s">
        <v>2051</v>
      </c>
      <c r="C126" s="5" t="s">
        <v>2047</v>
      </c>
      <c r="D126" s="5" t="s">
        <v>2</v>
      </c>
      <c r="E126" s="5" t="s">
        <v>59</v>
      </c>
      <c r="F126" s="121">
        <v>42358</v>
      </c>
      <c r="G126" s="5" t="s">
        <v>2048</v>
      </c>
      <c r="H126" s="5" t="s">
        <v>2049</v>
      </c>
      <c r="I126" s="114" t="s">
        <v>3176</v>
      </c>
      <c r="J126" t="str">
        <f>VLOOKUP(C126,FORMGOOGLE,7,FALSE)</f>
        <v>https://drive.google.com/open?id=1_OYkOBXq3Gu5uFzLRptUyU3tqBmgPsOa</v>
      </c>
    </row>
    <row r="127" spans="1:10" ht="15.75" thickBot="1" x14ac:dyDescent="0.3">
      <c r="A127" s="5" t="s">
        <v>441</v>
      </c>
      <c r="B127" s="119" t="s">
        <v>2057</v>
      </c>
      <c r="C127" s="5" t="s">
        <v>2053</v>
      </c>
      <c r="D127" s="5" t="s">
        <v>66</v>
      </c>
      <c r="E127" s="5" t="s">
        <v>10</v>
      </c>
      <c r="F127" s="121">
        <v>41646</v>
      </c>
      <c r="G127" s="5" t="s">
        <v>2054</v>
      </c>
      <c r="H127" s="5" t="s">
        <v>2055</v>
      </c>
      <c r="I127" s="114" t="s">
        <v>3177</v>
      </c>
      <c r="J127" t="str">
        <f>VLOOKUP(C127,FORMGOOGLE,7,FALSE)</f>
        <v>https://drive.google.com/open?id=1EcfuLoXPo74jdEKA2Rt0FObCjdmkLUYi</v>
      </c>
    </row>
    <row r="128" spans="1:10" ht="15.75" thickBot="1" x14ac:dyDescent="0.3">
      <c r="A128" s="5" t="s">
        <v>441</v>
      </c>
      <c r="B128" s="118" t="s">
        <v>2103</v>
      </c>
      <c r="C128" s="5" t="s">
        <v>2099</v>
      </c>
      <c r="D128" s="5" t="s">
        <v>66</v>
      </c>
      <c r="E128" s="5" t="s">
        <v>10</v>
      </c>
      <c r="F128" s="121">
        <v>42265</v>
      </c>
      <c r="G128" s="5" t="s">
        <v>2100</v>
      </c>
      <c r="H128" s="5" t="s">
        <v>2101</v>
      </c>
      <c r="I128" s="114" t="s">
        <v>3184</v>
      </c>
      <c r="J128" t="str">
        <f>VLOOKUP(C128,FORMGOOGLE,7,FALSE)</f>
        <v>https://drive.google.com/open?id=1-DdCbENZ896NU6TMcN-luCbTS4eVcul_</v>
      </c>
    </row>
    <row r="129" spans="1:10" ht="15.75" thickBot="1" x14ac:dyDescent="0.3">
      <c r="A129" s="5" t="s">
        <v>441</v>
      </c>
      <c r="B129" s="119" t="s">
        <v>2111</v>
      </c>
      <c r="C129" s="5" t="s">
        <v>2106</v>
      </c>
      <c r="D129" s="5" t="s">
        <v>66</v>
      </c>
      <c r="E129" s="5" t="s">
        <v>2107</v>
      </c>
      <c r="F129" s="121">
        <v>41420</v>
      </c>
      <c r="G129" s="5" t="s">
        <v>2108</v>
      </c>
      <c r="H129" s="5" t="s">
        <v>2109</v>
      </c>
      <c r="I129" s="114" t="s">
        <v>3185</v>
      </c>
      <c r="J129" t="str">
        <f>VLOOKUP(C129,FORMGOOGLE,7,FALSE)</f>
        <v>https://drive.google.com/open?id=1ZDCJ1HKa6b-hpN78HJ6vEX4a7mf69e6L</v>
      </c>
    </row>
    <row r="130" spans="1:10" ht="15.75" thickBot="1" x14ac:dyDescent="0.3">
      <c r="A130" s="5" t="s">
        <v>441</v>
      </c>
      <c r="B130" s="118" t="s">
        <v>2117</v>
      </c>
      <c r="C130" s="5" t="s">
        <v>2113</v>
      </c>
      <c r="D130" s="5" t="s">
        <v>2</v>
      </c>
      <c r="E130" s="5" t="s">
        <v>10</v>
      </c>
      <c r="F130" s="121">
        <v>42825</v>
      </c>
      <c r="G130" s="5" t="s">
        <v>2114</v>
      </c>
      <c r="H130" s="5" t="s">
        <v>2115</v>
      </c>
      <c r="I130" s="114" t="s">
        <v>3186</v>
      </c>
      <c r="J130" t="str">
        <f>VLOOKUP(C130,FORMGOOGLE,7,FALSE)</f>
        <v>https://drive.google.com/open?id=1L1bJUsrftz_qee2-5uGwvup_ov332w13</v>
      </c>
    </row>
    <row r="131" spans="1:10" ht="15.75" thickBot="1" x14ac:dyDescent="0.3">
      <c r="A131" s="5" t="s">
        <v>441</v>
      </c>
      <c r="B131" s="119" t="s">
        <v>2124</v>
      </c>
      <c r="C131" s="5" t="s">
        <v>2120</v>
      </c>
      <c r="D131" s="5" t="s">
        <v>2</v>
      </c>
      <c r="E131" s="5" t="s">
        <v>10</v>
      </c>
      <c r="F131" s="121">
        <v>41939</v>
      </c>
      <c r="G131" s="5" t="s">
        <v>2121</v>
      </c>
      <c r="H131" s="5" t="s">
        <v>2122</v>
      </c>
      <c r="I131" s="114" t="s">
        <v>3187</v>
      </c>
      <c r="J131" t="str">
        <f>VLOOKUP(C131,FORMGOOGLE,7,FALSE)</f>
        <v>https://drive.google.com/open?id=1BO4s6AEONzKHFq05x2dlUTBJsVCuwyxf</v>
      </c>
    </row>
    <row r="132" spans="1:10" ht="15.75" thickBot="1" x14ac:dyDescent="0.3">
      <c r="A132" s="5" t="s">
        <v>441</v>
      </c>
      <c r="B132" s="118" t="s">
        <v>2136</v>
      </c>
      <c r="C132" s="5" t="s">
        <v>2131</v>
      </c>
      <c r="D132" s="5" t="s">
        <v>2</v>
      </c>
      <c r="E132" s="5" t="s">
        <v>2132</v>
      </c>
      <c r="F132" s="121">
        <v>42567</v>
      </c>
      <c r="G132" s="5" t="s">
        <v>2133</v>
      </c>
      <c r="H132" s="5" t="s">
        <v>2134</v>
      </c>
      <c r="I132" s="114" t="s">
        <v>3189</v>
      </c>
      <c r="J132" t="str">
        <f>VLOOKUP(C132,FORMGOOGLE,7,FALSE)</f>
        <v>https://drive.google.com/open?id=1urXGbSOnqcAUDF_2NZO_8Hw8woBQmnIn</v>
      </c>
    </row>
    <row r="133" spans="1:10" ht="15.75" thickBot="1" x14ac:dyDescent="0.3">
      <c r="A133" s="5" t="s">
        <v>441</v>
      </c>
      <c r="B133" s="119" t="s">
        <v>2142</v>
      </c>
      <c r="C133" s="5" t="s">
        <v>2138</v>
      </c>
      <c r="D133" s="5" t="s">
        <v>2</v>
      </c>
      <c r="E133" s="5" t="s">
        <v>10</v>
      </c>
      <c r="F133" s="121">
        <v>41954</v>
      </c>
      <c r="G133" s="5" t="s">
        <v>2139</v>
      </c>
      <c r="H133" s="5" t="s">
        <v>2140</v>
      </c>
      <c r="I133" s="114" t="s">
        <v>3190</v>
      </c>
      <c r="J133" t="str">
        <f>VLOOKUP(C133,FORMGOOGLE,7,FALSE)</f>
        <v>https://drive.google.com/open?id=1DyILU09kvA1eiqedbfSlVDCp5rm9loHP</v>
      </c>
    </row>
    <row r="134" spans="1:10" ht="15.75" thickBot="1" x14ac:dyDescent="0.3">
      <c r="A134" s="5" t="s">
        <v>441</v>
      </c>
      <c r="B134" s="118" t="s">
        <v>2731</v>
      </c>
      <c r="C134" s="5" t="s">
        <v>2727</v>
      </c>
      <c r="D134" s="5" t="s">
        <v>2</v>
      </c>
      <c r="E134" s="5" t="s">
        <v>59</v>
      </c>
      <c r="F134" s="121">
        <v>42742</v>
      </c>
      <c r="G134" s="5" t="s">
        <v>2728</v>
      </c>
      <c r="H134" s="5" t="s">
        <v>2729</v>
      </c>
      <c r="I134" s="114" t="s">
        <v>3276</v>
      </c>
      <c r="J134" t="str">
        <f>VLOOKUP(C134,FORMGOOGLE,7,FALSE)</f>
        <v>https://drive.google.com/open?id=1xiPHUd-AYsmLkgJlurmJ6UkGhOcqwcl4</v>
      </c>
    </row>
    <row r="135" spans="1:10" ht="15.75" thickBot="1" x14ac:dyDescent="0.3">
      <c r="A135" s="5" t="s">
        <v>441</v>
      </c>
      <c r="B135" s="119" t="s">
        <v>2750</v>
      </c>
      <c r="C135" s="5" t="s">
        <v>2746</v>
      </c>
      <c r="D135" s="5" t="s">
        <v>66</v>
      </c>
      <c r="E135" s="5" t="s">
        <v>10</v>
      </c>
      <c r="F135" s="121">
        <v>42556</v>
      </c>
      <c r="G135" s="5" t="s">
        <v>2747</v>
      </c>
      <c r="H135" s="5" t="s">
        <v>2748</v>
      </c>
      <c r="I135" s="114" t="s">
        <v>3278</v>
      </c>
      <c r="J135" t="str">
        <f>VLOOKUP(C135,FORMGOOGLE,7,FALSE)</f>
        <v>https://drive.google.com/open?id=1Kjg2NoBNKfoV2i1MIyz7dijG9d5HLOWK</v>
      </c>
    </row>
    <row r="136" spans="1:10" ht="15.75" thickBot="1" x14ac:dyDescent="0.3">
      <c r="A136" s="5" t="s">
        <v>441</v>
      </c>
      <c r="B136" s="118" t="s">
        <v>2766</v>
      </c>
      <c r="C136" s="5" t="s">
        <v>2762</v>
      </c>
      <c r="D136" s="5" t="s">
        <v>2</v>
      </c>
      <c r="E136" s="5" t="s">
        <v>10</v>
      </c>
      <c r="F136" s="121">
        <v>42931</v>
      </c>
      <c r="G136" s="5" t="s">
        <v>2763</v>
      </c>
      <c r="H136" s="5" t="s">
        <v>2764</v>
      </c>
      <c r="I136" s="114" t="s">
        <v>3281</v>
      </c>
      <c r="J136" t="str">
        <f>VLOOKUP(C136,FORMGOOGLE,7,FALSE)</f>
        <v>https://drive.google.com/open?id=1Lzf6ghUkVjUvHWLDIb15qz2rKm_cixOv</v>
      </c>
    </row>
    <row r="137" spans="1:10" ht="15.75" thickBot="1" x14ac:dyDescent="0.3">
      <c r="A137" s="5" t="s">
        <v>441</v>
      </c>
      <c r="B137" s="119" t="s">
        <v>2772</v>
      </c>
      <c r="C137" s="5" t="s">
        <v>2768</v>
      </c>
      <c r="D137" s="5" t="s">
        <v>2</v>
      </c>
      <c r="E137" s="5" t="s">
        <v>10</v>
      </c>
      <c r="F137" s="121">
        <v>42256</v>
      </c>
      <c r="G137" s="5" t="s">
        <v>2769</v>
      </c>
      <c r="H137" s="5" t="s">
        <v>2770</v>
      </c>
      <c r="I137" s="114" t="s">
        <v>3282</v>
      </c>
      <c r="J137" t="str">
        <f>VLOOKUP(C137,FORMGOOGLE,7,FALSE)</f>
        <v>https://drive.google.com/open?id=190xC0WIqWzmJZwg1TkvfD4K9ymXWFXiw</v>
      </c>
    </row>
    <row r="138" spans="1:10" ht="15.75" thickBot="1" x14ac:dyDescent="0.3">
      <c r="A138" s="5" t="s">
        <v>441</v>
      </c>
      <c r="B138" s="119" t="s">
        <v>4817</v>
      </c>
      <c r="C138" s="5" t="s">
        <v>4818</v>
      </c>
      <c r="D138" s="5" t="s">
        <v>2</v>
      </c>
      <c r="E138" s="5" t="s">
        <v>116</v>
      </c>
      <c r="F138" s="121">
        <v>41971</v>
      </c>
      <c r="G138" s="5" t="s">
        <v>4819</v>
      </c>
      <c r="H138" s="5" t="s">
        <v>4820</v>
      </c>
      <c r="I138" s="114" t="s">
        <v>4821</v>
      </c>
      <c r="J138" t="str">
        <f>VLOOKUP(C138,FORMGOOGLE,7,FALSE)</f>
        <v>https://drive.google.com/open?id=1qny-eRJWYtDMp16kDUlrZgHEKA0CMQ1H</v>
      </c>
    </row>
    <row r="139" spans="1:10" ht="15.75" thickBot="1" x14ac:dyDescent="0.3">
      <c r="A139" s="5" t="s">
        <v>441</v>
      </c>
      <c r="B139" s="118" t="s">
        <v>4822</v>
      </c>
      <c r="C139" s="5" t="s">
        <v>4823</v>
      </c>
      <c r="D139" s="5" t="s">
        <v>2</v>
      </c>
      <c r="E139" s="5" t="s">
        <v>10</v>
      </c>
      <c r="F139" s="121">
        <v>42623</v>
      </c>
      <c r="G139" s="5" t="s">
        <v>3371</v>
      </c>
      <c r="H139" s="5" t="s">
        <v>4824</v>
      </c>
      <c r="I139" s="114" t="s">
        <v>4825</v>
      </c>
      <c r="J139" t="str">
        <f>VLOOKUP(C139,FORMGOOGLE,7,FALSE)</f>
        <v>https://drive.google.com/open?id=1WrEK4UNDFenAM1abSlOYnyfqYJeTj1Dd</v>
      </c>
    </row>
    <row r="140" spans="1:10" ht="15.75" thickBot="1" x14ac:dyDescent="0.3">
      <c r="A140" s="5" t="s">
        <v>441</v>
      </c>
      <c r="B140" s="119" t="s">
        <v>4826</v>
      </c>
      <c r="C140" s="5" t="s">
        <v>4827</v>
      </c>
      <c r="D140" s="5" t="s">
        <v>2</v>
      </c>
      <c r="E140" s="5" t="s">
        <v>10</v>
      </c>
      <c r="F140" s="121">
        <v>42294</v>
      </c>
      <c r="G140" s="5" t="s">
        <v>4828</v>
      </c>
      <c r="H140" s="5" t="s">
        <v>4829</v>
      </c>
      <c r="I140" s="114" t="s">
        <v>4830</v>
      </c>
      <c r="J140" t="str">
        <f>VLOOKUP(C140,FORMGOOGLE,7,FALSE)</f>
        <v>https://drive.google.com/open?id=1GHbhqz_0_p9ETCugXIKvGsb7luE4_pfS</v>
      </c>
    </row>
    <row r="141" spans="1:10" ht="15.75" thickBot="1" x14ac:dyDescent="0.3">
      <c r="A141" s="5" t="s">
        <v>441</v>
      </c>
      <c r="B141" s="118" t="s">
        <v>4831</v>
      </c>
      <c r="C141" s="5" t="s">
        <v>4832</v>
      </c>
      <c r="D141" s="5" t="s">
        <v>2</v>
      </c>
      <c r="E141" s="5" t="s">
        <v>10</v>
      </c>
      <c r="F141" s="121">
        <v>41755</v>
      </c>
      <c r="G141" s="5" t="s">
        <v>4833</v>
      </c>
      <c r="H141" s="5" t="s">
        <v>4834</v>
      </c>
      <c r="I141" s="114" t="s">
        <v>4835</v>
      </c>
      <c r="J141" t="str">
        <f>VLOOKUP(C141,FORMGOOGLE,7,FALSE)</f>
        <v>https://drive.google.com/open?id=1vs127iF0lFDqp0qre4IAjrUhdb9e-kNK</v>
      </c>
    </row>
    <row r="142" spans="1:10" ht="15.75" thickBot="1" x14ac:dyDescent="0.3">
      <c r="A142" s="5" t="s">
        <v>441</v>
      </c>
      <c r="B142" s="119" t="s">
        <v>4836</v>
      </c>
      <c r="C142" s="5" t="s">
        <v>4837</v>
      </c>
      <c r="D142" s="5" t="s">
        <v>2</v>
      </c>
      <c r="E142" s="5" t="s">
        <v>10</v>
      </c>
      <c r="F142" s="121">
        <v>41438</v>
      </c>
      <c r="G142" s="5" t="s">
        <v>4838</v>
      </c>
      <c r="H142" s="5" t="s">
        <v>4839</v>
      </c>
      <c r="I142" s="114" t="s">
        <v>4840</v>
      </c>
      <c r="J142" t="str">
        <f>VLOOKUP(C142,FORMGOOGLE,7,FALSE)</f>
        <v>https://drive.google.com/open?id=1VXbyU23nCnXc-Ab28-lcnUQXQGgyfGsD</v>
      </c>
    </row>
    <row r="143" spans="1:10" ht="15.75" thickBot="1" x14ac:dyDescent="0.3">
      <c r="A143" s="5" t="s">
        <v>902</v>
      </c>
      <c r="B143" s="118" t="s">
        <v>551</v>
      </c>
      <c r="C143" s="5" t="s">
        <v>552</v>
      </c>
      <c r="D143" s="5" t="s">
        <v>66</v>
      </c>
      <c r="E143" s="5" t="s">
        <v>553</v>
      </c>
      <c r="F143" s="121">
        <v>41574</v>
      </c>
      <c r="G143" s="5" t="s">
        <v>554</v>
      </c>
      <c r="H143" s="5" t="s">
        <v>555</v>
      </c>
      <c r="I143" s="114" t="s">
        <v>556</v>
      </c>
      <c r="J143" t="str">
        <f>VLOOKUP(C143,FORMGOOGLE,7,FALSE)</f>
        <v>https://drive.google.com/open?id=1oRoMTuJa_7WoQIdgTJXbBcifqlIuqGJu</v>
      </c>
    </row>
    <row r="144" spans="1:10" ht="15.75" thickBot="1" x14ac:dyDescent="0.3">
      <c r="A144" s="5" t="s">
        <v>902</v>
      </c>
      <c r="B144" s="119" t="s">
        <v>358</v>
      </c>
      <c r="C144" s="5" t="s">
        <v>359</v>
      </c>
      <c r="D144" s="5" t="s">
        <v>2</v>
      </c>
      <c r="E144" s="5" t="s">
        <v>28</v>
      </c>
      <c r="F144" s="121">
        <v>42489</v>
      </c>
      <c r="G144" s="5" t="s">
        <v>360</v>
      </c>
      <c r="H144" s="5" t="s">
        <v>361</v>
      </c>
      <c r="I144" s="114" t="s">
        <v>362</v>
      </c>
      <c r="J144" t="str">
        <f>VLOOKUP(C144,FORMGOOGLE,7,FALSE)</f>
        <v>https://drive.google.com/open?id=1aA0qlxUCYTueZZSSKLcZHWrcO8eknZSY</v>
      </c>
    </row>
    <row r="145" spans="1:10" ht="15.75" thickBot="1" x14ac:dyDescent="0.3">
      <c r="A145" s="5" t="s">
        <v>902</v>
      </c>
      <c r="B145" s="119" t="s">
        <v>369</v>
      </c>
      <c r="C145" s="5" t="s">
        <v>370</v>
      </c>
      <c r="D145" s="5" t="s">
        <v>2</v>
      </c>
      <c r="E145" s="5" t="s">
        <v>28</v>
      </c>
      <c r="F145" s="121">
        <v>41019</v>
      </c>
      <c r="G145" s="5" t="s">
        <v>371</v>
      </c>
      <c r="H145" s="5" t="s">
        <v>372</v>
      </c>
      <c r="I145" s="114" t="s">
        <v>373</v>
      </c>
      <c r="J145" t="str">
        <f>VLOOKUP(C145,FORMGOOGLE,7,FALSE)</f>
        <v>https://drive.google.com/open?id=1nmSTzMOPJ44ihLrZxIRF_IZH92i4-LBk</v>
      </c>
    </row>
    <row r="146" spans="1:10" ht="15.75" thickBot="1" x14ac:dyDescent="0.3">
      <c r="A146" s="5" t="s">
        <v>902</v>
      </c>
      <c r="B146" s="118" t="s">
        <v>532</v>
      </c>
      <c r="C146" s="5" t="s">
        <v>533</v>
      </c>
      <c r="D146" s="5" t="s">
        <v>2</v>
      </c>
      <c r="E146" s="5" t="s">
        <v>204</v>
      </c>
      <c r="F146" s="121">
        <v>41871</v>
      </c>
      <c r="G146" s="5" t="s">
        <v>534</v>
      </c>
      <c r="H146" s="5" t="s">
        <v>535</v>
      </c>
      <c r="I146" s="114" t="s">
        <v>536</v>
      </c>
      <c r="J146" t="str">
        <f>VLOOKUP(C146,FORMGOOGLE,7,FALSE)</f>
        <v>https://drive.google.com/open?id=1aVt13sJQo4mZSz3HdiEjx7ZeVqj3Ygi_</v>
      </c>
    </row>
    <row r="147" spans="1:10" ht="15.75" thickBot="1" x14ac:dyDescent="0.3">
      <c r="A147" s="5" t="s">
        <v>902</v>
      </c>
      <c r="B147" s="119" t="s">
        <v>537</v>
      </c>
      <c r="C147" s="5" t="s">
        <v>538</v>
      </c>
      <c r="D147" s="5" t="s">
        <v>66</v>
      </c>
      <c r="E147" s="5" t="s">
        <v>28</v>
      </c>
      <c r="F147" s="121">
        <v>41895</v>
      </c>
      <c r="G147" s="5" t="s">
        <v>539</v>
      </c>
      <c r="H147" s="5" t="s">
        <v>540</v>
      </c>
      <c r="I147" s="114" t="s">
        <v>541</v>
      </c>
      <c r="J147" t="str">
        <f>VLOOKUP(C147,FORMGOOGLE,7,FALSE)</f>
        <v>https://drive.google.com/open?id=1wmUTM0rvHM-7jXyPTKyxbLcpLQMnP6lS</v>
      </c>
    </row>
    <row r="148" spans="1:10" ht="15.75" thickBot="1" x14ac:dyDescent="0.3">
      <c r="A148" s="5" t="s">
        <v>902</v>
      </c>
      <c r="B148" s="118" t="s">
        <v>374</v>
      </c>
      <c r="C148" s="5" t="s">
        <v>375</v>
      </c>
      <c r="D148" s="5" t="s">
        <v>2</v>
      </c>
      <c r="E148" s="5" t="s">
        <v>28</v>
      </c>
      <c r="F148" s="121">
        <v>42161</v>
      </c>
      <c r="G148" s="5" t="s">
        <v>376</v>
      </c>
      <c r="H148" s="5" t="s">
        <v>377</v>
      </c>
      <c r="I148" s="114" t="s">
        <v>378</v>
      </c>
      <c r="J148" t="str">
        <f>VLOOKUP(C148,FORMGOOGLE,7,FALSE)</f>
        <v>https://drive.google.com/open?id=1BYanQ6byneB71NGnFyyfhABnxalIDwiS</v>
      </c>
    </row>
    <row r="149" spans="1:10" ht="15.75" thickBot="1" x14ac:dyDescent="0.3">
      <c r="A149" s="5" t="s">
        <v>902</v>
      </c>
      <c r="B149" s="118" t="s">
        <v>363</v>
      </c>
      <c r="C149" s="5" t="s">
        <v>364</v>
      </c>
      <c r="D149" s="5" t="s">
        <v>2</v>
      </c>
      <c r="E149" s="5" t="s">
        <v>365</v>
      </c>
      <c r="F149" s="121">
        <v>42382</v>
      </c>
      <c r="G149" s="5" t="s">
        <v>366</v>
      </c>
      <c r="H149" s="5" t="s">
        <v>367</v>
      </c>
      <c r="I149" s="114" t="s">
        <v>368</v>
      </c>
      <c r="J149" t="str">
        <f>VLOOKUP(C149,FORMGOOGLE,7,FALSE)</f>
        <v>https://drive.google.com/open?id=1gPOJCOuwVVOrMQGPpLhV2Cba2Nyb-mam</v>
      </c>
    </row>
    <row r="150" spans="1:10" ht="15.75" thickBot="1" x14ac:dyDescent="0.3">
      <c r="A150" s="5" t="s">
        <v>902</v>
      </c>
      <c r="B150" s="118" t="s">
        <v>384</v>
      </c>
      <c r="C150" s="5" t="s">
        <v>385</v>
      </c>
      <c r="D150" s="5" t="s">
        <v>2</v>
      </c>
      <c r="E150" s="5" t="s">
        <v>28</v>
      </c>
      <c r="F150" s="121">
        <v>41616</v>
      </c>
      <c r="G150" s="5" t="s">
        <v>386</v>
      </c>
      <c r="H150" s="5" t="s">
        <v>387</v>
      </c>
      <c r="I150" s="114" t="s">
        <v>388</v>
      </c>
      <c r="J150" t="str">
        <f>VLOOKUP(C150,FORMGOOGLE,7,FALSE)</f>
        <v>https://drive.google.com/open?id=17H8BpI3I7PNYOOKVpWbna3Aj94TINIQ2</v>
      </c>
    </row>
    <row r="151" spans="1:10" ht="15.75" thickBot="1" x14ac:dyDescent="0.3">
      <c r="A151" s="5" t="s">
        <v>902</v>
      </c>
      <c r="B151" s="119" t="s">
        <v>527</v>
      </c>
      <c r="C151" s="5" t="s">
        <v>528</v>
      </c>
      <c r="D151" s="5" t="s">
        <v>66</v>
      </c>
      <c r="E151" s="5" t="s">
        <v>28</v>
      </c>
      <c r="F151" s="121">
        <v>42087</v>
      </c>
      <c r="G151" s="5" t="s">
        <v>529</v>
      </c>
      <c r="H151" s="5" t="s">
        <v>530</v>
      </c>
      <c r="I151" s="114" t="s">
        <v>531</v>
      </c>
      <c r="J151" t="str">
        <f>VLOOKUP(C151,FORMGOOGLE,7,FALSE)</f>
        <v>https://drive.google.com/open?id=1m1VLto70ZUnCvPI5Lucug6xuO81QzxJH</v>
      </c>
    </row>
    <row r="152" spans="1:10" ht="15.75" thickBot="1" x14ac:dyDescent="0.3">
      <c r="A152" s="5" t="s">
        <v>902</v>
      </c>
      <c r="B152" s="118" t="s">
        <v>349</v>
      </c>
      <c r="C152" s="5" t="s">
        <v>350</v>
      </c>
      <c r="D152" s="5" t="s">
        <v>2</v>
      </c>
      <c r="E152" s="5" t="s">
        <v>10</v>
      </c>
      <c r="F152" s="121">
        <v>41951</v>
      </c>
      <c r="G152" s="5" t="s">
        <v>351</v>
      </c>
      <c r="H152" s="5" t="s">
        <v>184</v>
      </c>
      <c r="I152" s="114" t="s">
        <v>352</v>
      </c>
      <c r="J152" t="str">
        <f>VLOOKUP(C152,FORMGOOGLE,7,FALSE)</f>
        <v>https://drive.google.com/open?id=1iDGuMOJoCZzFnl9NZiwe4w058dODbVqN</v>
      </c>
    </row>
    <row r="153" spans="1:10" ht="15.75" thickBot="1" x14ac:dyDescent="0.3">
      <c r="A153" s="5" t="s">
        <v>902</v>
      </c>
      <c r="B153" s="119" t="s">
        <v>512</v>
      </c>
      <c r="C153" s="5" t="s">
        <v>513</v>
      </c>
      <c r="D153" s="5" t="s">
        <v>66</v>
      </c>
      <c r="E153" s="5" t="s">
        <v>204</v>
      </c>
      <c r="F153" s="121">
        <v>41841</v>
      </c>
      <c r="G153" s="5" t="s">
        <v>514</v>
      </c>
      <c r="H153" s="5" t="s">
        <v>515</v>
      </c>
      <c r="I153" s="114" t="s">
        <v>516</v>
      </c>
      <c r="J153" t="str">
        <f>VLOOKUP(C153,FORMGOOGLE,7,FALSE)</f>
        <v>https://drive.google.com/open?id=1T8zere1wiyP9t9N8zj2PMGiLGAp3hbap</v>
      </c>
    </row>
    <row r="154" spans="1:10" ht="15.75" thickBot="1" x14ac:dyDescent="0.3">
      <c r="A154" s="5" t="s">
        <v>902</v>
      </c>
      <c r="B154" s="118" t="s">
        <v>517</v>
      </c>
      <c r="C154" s="5" t="s">
        <v>518</v>
      </c>
      <c r="D154" s="5" t="s">
        <v>66</v>
      </c>
      <c r="E154" s="5" t="s">
        <v>10</v>
      </c>
      <c r="F154" s="121">
        <v>41762</v>
      </c>
      <c r="G154" s="5" t="s">
        <v>519</v>
      </c>
      <c r="H154" s="5" t="s">
        <v>520</v>
      </c>
      <c r="I154" s="114" t="s">
        <v>521</v>
      </c>
      <c r="J154" t="str">
        <f>VLOOKUP(C154,FORMGOOGLE,7,FALSE)</f>
        <v>https://drive.google.com/open?id=1mO5EK9-skUEQrBOhYJw0jBGKgiB_306I</v>
      </c>
    </row>
    <row r="155" spans="1:10" ht="15.75" thickBot="1" x14ac:dyDescent="0.3">
      <c r="A155" s="5" t="s">
        <v>902</v>
      </c>
      <c r="B155" s="118" t="s">
        <v>496</v>
      </c>
      <c r="C155" s="5" t="s">
        <v>497</v>
      </c>
      <c r="D155" s="5" t="s">
        <v>66</v>
      </c>
      <c r="E155" s="5" t="s">
        <v>365</v>
      </c>
      <c r="F155" s="121">
        <v>41407</v>
      </c>
      <c r="G155" s="5" t="s">
        <v>498</v>
      </c>
      <c r="H155" s="5" t="s">
        <v>499</v>
      </c>
      <c r="I155" s="114" t="s">
        <v>500</v>
      </c>
      <c r="J155" t="str">
        <f>VLOOKUP(C155,FORMGOOGLE,7,FALSE)</f>
        <v>https://drive.google.com/open?id=1UioJKr_Hrfyr4IllR2rPV0vqyFw7Cfx5</v>
      </c>
    </row>
    <row r="156" spans="1:10" ht="15.75" thickBot="1" x14ac:dyDescent="0.3">
      <c r="A156" s="5" t="s">
        <v>902</v>
      </c>
      <c r="B156" s="119" t="s">
        <v>379</v>
      </c>
      <c r="C156" s="5" t="s">
        <v>380</v>
      </c>
      <c r="D156" s="5" t="s">
        <v>2</v>
      </c>
      <c r="E156" s="5" t="s">
        <v>28</v>
      </c>
      <c r="F156" s="121">
        <v>41601</v>
      </c>
      <c r="G156" s="5" t="s">
        <v>381</v>
      </c>
      <c r="H156" s="5" t="s">
        <v>382</v>
      </c>
      <c r="I156" s="114" t="s">
        <v>383</v>
      </c>
      <c r="J156" t="str">
        <f>VLOOKUP(C156,FORMGOOGLE,7,FALSE)</f>
        <v>https://drive.google.com/open?id=1UVzijFz4lEmIvBtcNJe6OIS5gcMBpGHv</v>
      </c>
    </row>
    <row r="157" spans="1:10" ht="15.75" thickBot="1" x14ac:dyDescent="0.3">
      <c r="A157" s="5" t="s">
        <v>902</v>
      </c>
      <c r="B157" s="119" t="s">
        <v>425</v>
      </c>
      <c r="C157" s="5" t="s">
        <v>426</v>
      </c>
      <c r="D157" s="5" t="s">
        <v>66</v>
      </c>
      <c r="E157" s="5" t="s">
        <v>28</v>
      </c>
      <c r="F157" s="121">
        <v>41634</v>
      </c>
      <c r="G157" s="5" t="s">
        <v>427</v>
      </c>
      <c r="H157" s="5" t="s">
        <v>428</v>
      </c>
      <c r="I157" s="114" t="s">
        <v>429</v>
      </c>
      <c r="J157" t="str">
        <f>VLOOKUP(C157,FORMGOOGLE,7,FALSE)</f>
        <v>https://drive.google.com/open?id=1UQEsF6lhuqU9urCJ-ssDP54oU3blBW1z</v>
      </c>
    </row>
    <row r="158" spans="1:10" ht="15.75" thickBot="1" x14ac:dyDescent="0.3">
      <c r="A158" s="5" t="s">
        <v>902</v>
      </c>
      <c r="B158" s="119" t="s">
        <v>557</v>
      </c>
      <c r="C158" s="5" t="s">
        <v>558</v>
      </c>
      <c r="D158" s="5" t="s">
        <v>2</v>
      </c>
      <c r="E158" s="5" t="s">
        <v>10</v>
      </c>
      <c r="F158" s="121">
        <v>42141</v>
      </c>
      <c r="G158" s="5" t="s">
        <v>559</v>
      </c>
      <c r="H158" s="5" t="s">
        <v>560</v>
      </c>
      <c r="I158" s="114" t="s">
        <v>561</v>
      </c>
      <c r="J158" t="str">
        <f>VLOOKUP(C158,FORMGOOGLE,7,FALSE)</f>
        <v>https://drive.google.com/open?id=1Yt-phJOnOF62nN5bANxt6upLBSC4QsSZ</v>
      </c>
    </row>
    <row r="159" spans="1:10" ht="15.75" thickBot="1" x14ac:dyDescent="0.3">
      <c r="A159" s="5" t="s">
        <v>902</v>
      </c>
      <c r="B159" s="119" t="s">
        <v>615</v>
      </c>
      <c r="C159" s="5" t="s">
        <v>616</v>
      </c>
      <c r="D159" s="5" t="s">
        <v>66</v>
      </c>
      <c r="E159" s="5" t="s">
        <v>28</v>
      </c>
      <c r="F159" s="121">
        <v>41586</v>
      </c>
      <c r="G159" s="5" t="s">
        <v>376</v>
      </c>
      <c r="H159" s="5" t="s">
        <v>377</v>
      </c>
      <c r="I159" s="114" t="s">
        <v>617</v>
      </c>
      <c r="J159" t="str">
        <f>VLOOKUP(C159,FORMGOOGLE,7,FALSE)</f>
        <v>https://drive.google.com/open?id=1PVxWw_avR8fZT1qucxyQfa0DL5fJRvkx</v>
      </c>
    </row>
    <row r="160" spans="1:10" ht="15.75" thickBot="1" x14ac:dyDescent="0.3">
      <c r="A160" s="5" t="s">
        <v>699</v>
      </c>
      <c r="B160" s="118" t="s">
        <v>880</v>
      </c>
      <c r="C160" s="5" t="s">
        <v>881</v>
      </c>
      <c r="D160" s="5" t="s">
        <v>2</v>
      </c>
      <c r="E160" s="5" t="s">
        <v>10</v>
      </c>
      <c r="F160" s="121">
        <v>42066</v>
      </c>
      <c r="G160" s="5" t="s">
        <v>882</v>
      </c>
      <c r="H160" s="5" t="s">
        <v>883</v>
      </c>
      <c r="I160" s="114" t="s">
        <v>884</v>
      </c>
      <c r="J160" t="str">
        <f>VLOOKUP(C160,FORMGOOGLE,7,FALSE)</f>
        <v>https://drive.google.com/open?id=1GzNRaw6UpD3g5dYm_5sv7a9KyeGdaieo</v>
      </c>
    </row>
    <row r="161" spans="1:10" ht="15.75" thickBot="1" x14ac:dyDescent="0.3">
      <c r="A161" s="5" t="s">
        <v>699</v>
      </c>
      <c r="B161" s="118" t="s">
        <v>808</v>
      </c>
      <c r="C161" s="5" t="s">
        <v>809</v>
      </c>
      <c r="D161" s="5" t="s">
        <v>2</v>
      </c>
      <c r="E161" s="5" t="s">
        <v>10</v>
      </c>
      <c r="F161" s="121">
        <v>41632</v>
      </c>
      <c r="G161" s="5" t="s">
        <v>810</v>
      </c>
      <c r="H161" s="5" t="s">
        <v>811</v>
      </c>
      <c r="I161" s="114" t="s">
        <v>812</v>
      </c>
      <c r="J161" t="str">
        <f>VLOOKUP(C161,FORMGOOGLE,7,FALSE)</f>
        <v>https://drive.google.com/open?id=1v5WoDClZA_ChTqHGN3o4cQt18EkE3ro4</v>
      </c>
    </row>
    <row r="162" spans="1:10" ht="15.75" thickBot="1" x14ac:dyDescent="0.3">
      <c r="A162" s="6" t="s">
        <v>699</v>
      </c>
      <c r="B162" s="119" t="s">
        <v>813</v>
      </c>
      <c r="C162" s="5" t="s">
        <v>814</v>
      </c>
      <c r="D162" s="5" t="s">
        <v>2</v>
      </c>
      <c r="E162" s="11" t="s">
        <v>815</v>
      </c>
      <c r="F162" s="121">
        <v>42005</v>
      </c>
      <c r="G162" s="5" t="s">
        <v>816</v>
      </c>
      <c r="H162" s="5" t="s">
        <v>817</v>
      </c>
      <c r="I162" s="114" t="s">
        <v>818</v>
      </c>
      <c r="J162" t="str">
        <f>VLOOKUP(C162,FORMGOOGLE,7,FALSE)</f>
        <v>https://drive.google.com/open?id=10dIxDPoiBWrpY6v7ZSlDxQNVKNg2SJNh</v>
      </c>
    </row>
    <row r="163" spans="1:10" ht="15.75" thickBot="1" x14ac:dyDescent="0.3">
      <c r="A163" s="5" t="s">
        <v>699</v>
      </c>
      <c r="B163" s="118" t="s">
        <v>5229</v>
      </c>
      <c r="C163" s="5" t="s">
        <v>5230</v>
      </c>
      <c r="D163" s="5" t="s">
        <v>2</v>
      </c>
      <c r="E163" s="5" t="s">
        <v>10</v>
      </c>
      <c r="F163" s="121">
        <v>41797</v>
      </c>
      <c r="G163" s="5" t="s">
        <v>5231</v>
      </c>
      <c r="H163" s="5" t="s">
        <v>5232</v>
      </c>
      <c r="I163" s="114" t="s">
        <v>5233</v>
      </c>
      <c r="J163" t="str">
        <f>VLOOKUP(C163,FORMGOOGLE,7,FALSE)</f>
        <v>https://drive.google.com/open?id=1qbPyYrpJs4nVfL8kCI42egtG780eChg_</v>
      </c>
    </row>
    <row r="164" spans="1:10" ht="15.75" thickBot="1" x14ac:dyDescent="0.3">
      <c r="A164" s="5" t="s">
        <v>699</v>
      </c>
      <c r="B164" s="119" t="s">
        <v>4571</v>
      </c>
      <c r="C164" s="5" t="s">
        <v>4572</v>
      </c>
      <c r="D164" s="5" t="s">
        <v>66</v>
      </c>
      <c r="E164" s="5" t="s">
        <v>28</v>
      </c>
      <c r="F164" s="121">
        <v>41721</v>
      </c>
      <c r="G164" s="5" t="s">
        <v>4573</v>
      </c>
      <c r="H164" s="5" t="s">
        <v>4574</v>
      </c>
      <c r="I164" s="114" t="s">
        <v>4575</v>
      </c>
      <c r="J164" t="str">
        <f>VLOOKUP(C164,FORMGOOGLE,7,FALSE)</f>
        <v>https://drive.google.com/open?id=1nIE6jOgAy4YB0t71f9BX0D97VO5qmEYi</v>
      </c>
    </row>
    <row r="165" spans="1:10" ht="15.75" thickBot="1" x14ac:dyDescent="0.3">
      <c r="A165" s="5" t="s">
        <v>699</v>
      </c>
      <c r="B165" s="119" t="s">
        <v>693</v>
      </c>
      <c r="C165" s="5" t="s">
        <v>694</v>
      </c>
      <c r="D165" s="5" t="s">
        <v>2</v>
      </c>
      <c r="E165" s="11" t="s">
        <v>695</v>
      </c>
      <c r="F165" s="121">
        <v>41905</v>
      </c>
      <c r="G165" s="5" t="s">
        <v>696</v>
      </c>
      <c r="H165" s="5" t="s">
        <v>697</v>
      </c>
      <c r="I165" s="114" t="s">
        <v>698</v>
      </c>
      <c r="J165" t="str">
        <f>VLOOKUP(C165,FORMGOOGLE,7,FALSE)</f>
        <v>https://drive.google.com/open?id=1HMNapIA9MdAtlgclld8U5yRKJsM_RxHo</v>
      </c>
    </row>
    <row r="166" spans="1:10" ht="15.75" thickBot="1" x14ac:dyDescent="0.3">
      <c r="A166" s="5" t="s">
        <v>4920</v>
      </c>
      <c r="B166" s="119" t="s">
        <v>4915</v>
      </c>
      <c r="C166" s="5" t="s">
        <v>4916</v>
      </c>
      <c r="D166" s="5" t="s">
        <v>2</v>
      </c>
      <c r="E166" s="5" t="s">
        <v>10</v>
      </c>
      <c r="F166" s="121">
        <v>42352</v>
      </c>
      <c r="G166" s="5" t="s">
        <v>4917</v>
      </c>
      <c r="H166" s="5" t="s">
        <v>4918</v>
      </c>
      <c r="I166" s="114" t="s">
        <v>4919</v>
      </c>
      <c r="J166" t="str">
        <f>VLOOKUP(C166,FORMGOOGLE,7,FALSE)</f>
        <v>https://drive.google.com/open?id=1WOdQGkWzoZi-JmWQwd6dHwftcg9TpZ4i</v>
      </c>
    </row>
    <row r="167" spans="1:10" ht="15.75" thickBot="1" x14ac:dyDescent="0.3">
      <c r="A167" s="5" t="s">
        <v>567</v>
      </c>
      <c r="B167" s="119" t="s">
        <v>562</v>
      </c>
      <c r="C167" s="5" t="s">
        <v>563</v>
      </c>
      <c r="D167" s="5" t="s">
        <v>2</v>
      </c>
      <c r="E167" s="5" t="s">
        <v>10</v>
      </c>
      <c r="F167" s="121">
        <v>42621</v>
      </c>
      <c r="G167" s="5" t="s">
        <v>564</v>
      </c>
      <c r="H167" s="5" t="s">
        <v>565</v>
      </c>
      <c r="I167" s="114" t="s">
        <v>566</v>
      </c>
      <c r="J167" t="str">
        <f>VLOOKUP(C167,FORMGOOGLE,7,FALSE)</f>
        <v>https://drive.google.com/open?id=1BDO8IPQOWKgJlnGrduSKmy9kJVd-dJo9</v>
      </c>
    </row>
    <row r="168" spans="1:10" ht="15.75" thickBot="1" x14ac:dyDescent="0.3">
      <c r="A168" s="5" t="s">
        <v>567</v>
      </c>
      <c r="B168" s="119" t="s">
        <v>573</v>
      </c>
      <c r="C168" s="5" t="s">
        <v>574</v>
      </c>
      <c r="D168" s="5" t="s">
        <v>2</v>
      </c>
      <c r="E168" s="5" t="s">
        <v>10</v>
      </c>
      <c r="F168" s="121">
        <v>42543</v>
      </c>
      <c r="G168" s="5" t="s">
        <v>575</v>
      </c>
      <c r="H168" s="5" t="s">
        <v>576</v>
      </c>
      <c r="I168" s="114" t="s">
        <v>577</v>
      </c>
      <c r="J168" t="str">
        <f>VLOOKUP(C168,FORMGOOGLE,7,FALSE)</f>
        <v>https://drive.google.com/open?id=1OoWN1rVPEyf8ZlB8Gl8Npld7O2ZYdG6F</v>
      </c>
    </row>
    <row r="169" spans="1:10" ht="15.75" thickBot="1" x14ac:dyDescent="0.3">
      <c r="A169" s="5" t="s">
        <v>567</v>
      </c>
      <c r="B169" s="119" t="s">
        <v>582</v>
      </c>
      <c r="C169" s="5" t="s">
        <v>583</v>
      </c>
      <c r="D169" s="5" t="s">
        <v>66</v>
      </c>
      <c r="E169" s="5" t="s">
        <v>28</v>
      </c>
      <c r="F169" s="121">
        <v>41261</v>
      </c>
      <c r="G169" s="5" t="s">
        <v>584</v>
      </c>
      <c r="H169" s="5" t="s">
        <v>585</v>
      </c>
      <c r="I169" s="114" t="s">
        <v>586</v>
      </c>
      <c r="J169" t="str">
        <f>VLOOKUP(C169,FORMGOOGLE,7,FALSE)</f>
        <v>https://drive.google.com/open?id=1mGRIBvx9UKS6lDNqqyIRdQYPsI6-8IzE</v>
      </c>
    </row>
    <row r="170" spans="1:10" ht="15.75" thickBot="1" x14ac:dyDescent="0.3">
      <c r="A170" s="5" t="s">
        <v>567</v>
      </c>
      <c r="B170" s="119" t="s">
        <v>2415</v>
      </c>
      <c r="C170" s="5" t="s">
        <v>578</v>
      </c>
      <c r="D170" s="5" t="s">
        <v>66</v>
      </c>
      <c r="E170" s="5" t="s">
        <v>579</v>
      </c>
      <c r="F170" s="121">
        <v>40834</v>
      </c>
      <c r="G170" s="5" t="s">
        <v>580</v>
      </c>
      <c r="H170" s="5" t="s">
        <v>581</v>
      </c>
      <c r="I170" s="115" t="s">
        <v>1513</v>
      </c>
      <c r="J170" t="str">
        <f>VLOOKUP(C170,FORMGOOGLE,7,FALSE)</f>
        <v>https://drive.google.com/open?id=1_FuZ6TTcrbkipetCBPYcL-0B5D1rx6rW</v>
      </c>
    </row>
    <row r="171" spans="1:10" ht="15.75" thickBot="1" x14ac:dyDescent="0.3">
      <c r="A171" s="5" t="s">
        <v>567</v>
      </c>
      <c r="B171" s="118" t="s">
        <v>568</v>
      </c>
      <c r="C171" s="5" t="s">
        <v>569</v>
      </c>
      <c r="D171" s="5" t="s">
        <v>2</v>
      </c>
      <c r="E171" s="5" t="s">
        <v>10</v>
      </c>
      <c r="F171" s="121">
        <v>42412</v>
      </c>
      <c r="G171" s="5" t="s">
        <v>570</v>
      </c>
      <c r="H171" s="5" t="s">
        <v>571</v>
      </c>
      <c r="I171" s="114" t="s">
        <v>572</v>
      </c>
      <c r="J171" t="str">
        <f>VLOOKUP(C171,FORMGOOGLE,7,FALSE)</f>
        <v>https://drive.google.com/open?id=1fiMqF4rjCEHpIgP9NjPirNXbEUQO-CxO</v>
      </c>
    </row>
    <row r="172" spans="1:10" ht="15.75" thickBot="1" x14ac:dyDescent="0.3">
      <c r="A172" s="5" t="s">
        <v>567</v>
      </c>
      <c r="B172" s="118" t="s">
        <v>870</v>
      </c>
      <c r="C172" s="5" t="s">
        <v>871</v>
      </c>
      <c r="D172" s="5" t="s">
        <v>2</v>
      </c>
      <c r="E172" s="5" t="s">
        <v>10</v>
      </c>
      <c r="F172" s="121">
        <v>42921</v>
      </c>
      <c r="G172" s="5" t="s">
        <v>872</v>
      </c>
      <c r="H172" s="5" t="s">
        <v>873</v>
      </c>
      <c r="I172" s="114" t="s">
        <v>874</v>
      </c>
      <c r="J172" t="str">
        <f>VLOOKUP(C172,FORMGOOGLE,7,FALSE)</f>
        <v>https://drive.google.com/open?id=1j1K8zCbMjJ21h0FYgZZzW28mVEBwtP4c</v>
      </c>
    </row>
    <row r="173" spans="1:10" ht="15.75" thickBot="1" x14ac:dyDescent="0.3">
      <c r="A173" s="5" t="s">
        <v>3345</v>
      </c>
      <c r="B173" s="118" t="s">
        <v>5221</v>
      </c>
      <c r="C173" s="5" t="s">
        <v>5222</v>
      </c>
      <c r="D173" s="5" t="s">
        <v>66</v>
      </c>
      <c r="E173" s="5" t="s">
        <v>10</v>
      </c>
      <c r="F173" s="121">
        <v>41606</v>
      </c>
      <c r="G173" s="5" t="s">
        <v>5223</v>
      </c>
      <c r="H173" s="5" t="s">
        <v>5224</v>
      </c>
      <c r="I173" s="114" t="s">
        <v>5225</v>
      </c>
      <c r="J173" t="str">
        <f>VLOOKUP(C173,FORMGOOGLE,7,FALSE)</f>
        <v>https://drive.google.com/open?id=1ZDObWq02ERj7S5cLv_EDIkuhnWcbjQbb</v>
      </c>
    </row>
    <row r="174" spans="1:10" ht="15.75" thickBot="1" x14ac:dyDescent="0.3">
      <c r="A174" s="5" t="s">
        <v>3345</v>
      </c>
      <c r="B174" s="118" t="s">
        <v>5214</v>
      </c>
      <c r="C174" s="5" t="s">
        <v>5215</v>
      </c>
      <c r="D174" s="5" t="s">
        <v>2</v>
      </c>
      <c r="E174" s="5" t="s">
        <v>10</v>
      </c>
      <c r="F174" s="121">
        <v>42448</v>
      </c>
      <c r="G174" s="5" t="s">
        <v>5216</v>
      </c>
      <c r="H174" s="5" t="s">
        <v>5217</v>
      </c>
      <c r="I174" s="114" t="s">
        <v>5218</v>
      </c>
      <c r="J174" t="str">
        <f>VLOOKUP(C174,FORMGOOGLE,7,FALSE)</f>
        <v>https://drive.google.com/open?id=1FFPJntYTmZEsarHbLS1MeYCUK2hwCU1B</v>
      </c>
    </row>
    <row r="175" spans="1:10" ht="15.75" thickBot="1" x14ac:dyDescent="0.3">
      <c r="A175" s="5" t="s">
        <v>3345</v>
      </c>
      <c r="B175" s="118" t="s">
        <v>5219</v>
      </c>
      <c r="C175" s="5" t="s">
        <v>4100</v>
      </c>
      <c r="D175" s="5" t="s">
        <v>66</v>
      </c>
      <c r="E175" s="5" t="s">
        <v>28</v>
      </c>
      <c r="F175" s="121">
        <v>41526</v>
      </c>
      <c r="G175" s="5" t="s">
        <v>4101</v>
      </c>
      <c r="H175" s="5" t="s">
        <v>4102</v>
      </c>
      <c r="I175" s="114" t="s">
        <v>5220</v>
      </c>
      <c r="J175" t="str">
        <f>VLOOKUP(C175,FORMGOOGLE,7,FALSE)</f>
        <v>https://drive.google.com/open?id=1ggk120jZiISTGIRiRgHhZFwdD7A1R6YG</v>
      </c>
    </row>
    <row r="176" spans="1:10" ht="15.75" thickBot="1" x14ac:dyDescent="0.3">
      <c r="A176" s="5" t="s">
        <v>25</v>
      </c>
      <c r="B176" s="118" t="s">
        <v>26</v>
      </c>
      <c r="C176" s="5" t="s">
        <v>27</v>
      </c>
      <c r="D176" s="5" t="s">
        <v>2</v>
      </c>
      <c r="E176" s="5" t="s">
        <v>28</v>
      </c>
      <c r="F176" s="121">
        <v>42037</v>
      </c>
      <c r="G176" s="5" t="s">
        <v>29</v>
      </c>
      <c r="H176" s="5" t="s">
        <v>30</v>
      </c>
      <c r="I176" s="114" t="s">
        <v>31</v>
      </c>
      <c r="J176" t="str">
        <f>VLOOKUP(C176,FORMGOOGLE,7,FALSE)</f>
        <v>https://drive.google.com/open?id=1x0WjMDp1vEONPYIFlWgEEhmV92TyO6i0</v>
      </c>
    </row>
    <row r="177" spans="1:10" ht="15.75" thickBot="1" x14ac:dyDescent="0.3">
      <c r="A177" s="5" t="s">
        <v>25</v>
      </c>
      <c r="B177" s="119" t="s">
        <v>52</v>
      </c>
      <c r="C177" s="5" t="s">
        <v>53</v>
      </c>
      <c r="D177" s="5" t="s">
        <v>2</v>
      </c>
      <c r="E177" s="5" t="s">
        <v>10</v>
      </c>
      <c r="F177" s="121">
        <v>42729</v>
      </c>
      <c r="G177" s="5" t="s">
        <v>54</v>
      </c>
      <c r="H177" s="5" t="s">
        <v>55</v>
      </c>
      <c r="I177" s="114" t="s">
        <v>56</v>
      </c>
      <c r="J177" t="str">
        <f>VLOOKUP(C177,FORMGOOGLE,7,FALSE)</f>
        <v>https://drive.google.com/open?id=1TWXX2Dc3Rz4kjWJ-tCJAgX26qkrP6gvh</v>
      </c>
    </row>
    <row r="178" spans="1:10" ht="15.75" thickBot="1" x14ac:dyDescent="0.3">
      <c r="A178" s="5" t="s">
        <v>25</v>
      </c>
      <c r="B178" s="119" t="s">
        <v>32</v>
      </c>
      <c r="C178" s="5" t="s">
        <v>33</v>
      </c>
      <c r="D178" s="5" t="s">
        <v>2</v>
      </c>
      <c r="E178" s="5" t="s">
        <v>10</v>
      </c>
      <c r="F178" s="121">
        <v>42841</v>
      </c>
      <c r="G178" s="5" t="s">
        <v>34</v>
      </c>
      <c r="H178" s="5" t="s">
        <v>35</v>
      </c>
      <c r="I178" s="114" t="s">
        <v>36</v>
      </c>
      <c r="J178" t="str">
        <f>VLOOKUP(C178,FORMGOOGLE,7,FALSE)</f>
        <v>https://drive.google.com/open?id=17le2Igs59p_HTSCsAR3GNNJt2RIMSDCY</v>
      </c>
    </row>
    <row r="179" spans="1:10" ht="15.75" thickBot="1" x14ac:dyDescent="0.3">
      <c r="A179" s="5" t="s">
        <v>25</v>
      </c>
      <c r="B179" s="119" t="s">
        <v>42</v>
      </c>
      <c r="C179" s="5" t="s">
        <v>43</v>
      </c>
      <c r="D179" s="5" t="s">
        <v>2</v>
      </c>
      <c r="E179" s="5" t="s">
        <v>10</v>
      </c>
      <c r="F179" s="121">
        <v>42577</v>
      </c>
      <c r="G179" s="5" t="s">
        <v>44</v>
      </c>
      <c r="H179" s="5" t="s">
        <v>45</v>
      </c>
      <c r="I179" s="114" t="s">
        <v>46</v>
      </c>
      <c r="J179" t="str">
        <f>VLOOKUP(C179,FORMGOOGLE,7,FALSE)</f>
        <v>https://drive.google.com/open?id=1rW0U4BxDjbyOl2mhyPLhvdRdedM758eF</v>
      </c>
    </row>
    <row r="180" spans="1:10" ht="15.75" thickBot="1" x14ac:dyDescent="0.3">
      <c r="A180" s="5" t="s">
        <v>25</v>
      </c>
      <c r="B180" s="119" t="s">
        <v>20</v>
      </c>
      <c r="C180" s="5" t="s">
        <v>21</v>
      </c>
      <c r="D180" s="5" t="s">
        <v>2</v>
      </c>
      <c r="E180" s="5" t="s">
        <v>10</v>
      </c>
      <c r="F180" s="121">
        <v>42488</v>
      </c>
      <c r="G180" s="5" t="s">
        <v>22</v>
      </c>
      <c r="H180" s="5" t="s">
        <v>23</v>
      </c>
      <c r="I180" s="114" t="s">
        <v>24</v>
      </c>
      <c r="J180" t="str">
        <f>VLOOKUP(C180,FORMGOOGLE,7,FALSE)</f>
        <v>https://drive.google.com/open?id=1f5SwUGtvDG6QgH4U3gKJlQTxwe1MwDIH</v>
      </c>
    </row>
    <row r="181" spans="1:10" ht="15.75" thickBot="1" x14ac:dyDescent="0.3">
      <c r="A181" s="5" t="s">
        <v>25</v>
      </c>
      <c r="B181" s="118" t="s">
        <v>47</v>
      </c>
      <c r="C181" s="5" t="s">
        <v>48</v>
      </c>
      <c r="D181" s="5" t="s">
        <v>2</v>
      </c>
      <c r="E181" s="5" t="s">
        <v>10</v>
      </c>
      <c r="F181" s="121">
        <v>41482</v>
      </c>
      <c r="G181" s="5" t="s">
        <v>49</v>
      </c>
      <c r="H181" s="5" t="s">
        <v>50</v>
      </c>
      <c r="I181" s="114" t="s">
        <v>51</v>
      </c>
      <c r="J181" t="str">
        <f>VLOOKUP(C181,FORMGOOGLE,7,FALSE)</f>
        <v>https://drive.google.com/open?id=1JNVvb5MHz_uR3Se5WpFia029sUNc5CvC</v>
      </c>
    </row>
    <row r="182" spans="1:10" ht="15.75" thickBot="1" x14ac:dyDescent="0.3">
      <c r="A182" s="5" t="s">
        <v>25</v>
      </c>
      <c r="B182" s="118" t="s">
        <v>37</v>
      </c>
      <c r="C182" s="5" t="s">
        <v>38</v>
      </c>
      <c r="D182" s="5" t="s">
        <v>2</v>
      </c>
      <c r="E182" s="5" t="s">
        <v>10</v>
      </c>
      <c r="F182" s="121">
        <v>42307</v>
      </c>
      <c r="G182" s="5" t="s">
        <v>39</v>
      </c>
      <c r="H182" s="5" t="s">
        <v>40</v>
      </c>
      <c r="I182" s="114" t="s">
        <v>41</v>
      </c>
      <c r="J182" t="str">
        <f>VLOOKUP(C182,FORMGOOGLE,7,FALSE)</f>
        <v>https://drive.google.com/open?id=11JLbasjtEy0YNiuuHAGDR05kzL8r2mTs</v>
      </c>
    </row>
    <row r="183" spans="1:10" ht="15.75" thickBot="1" x14ac:dyDescent="0.3">
      <c r="A183" s="5" t="s">
        <v>2219</v>
      </c>
      <c r="B183" s="119" t="s">
        <v>2706</v>
      </c>
      <c r="C183" s="5" t="s">
        <v>2701</v>
      </c>
      <c r="D183" s="5" t="s">
        <v>66</v>
      </c>
      <c r="E183" s="5" t="s">
        <v>10</v>
      </c>
      <c r="F183" s="121">
        <v>41762</v>
      </c>
      <c r="G183" s="5" t="s">
        <v>2702</v>
      </c>
      <c r="H183" s="5" t="s">
        <v>2703</v>
      </c>
      <c r="I183" s="114" t="s">
        <v>3271</v>
      </c>
      <c r="J183" t="str">
        <f>VLOOKUP(C183,FORMGOOGLE,7,FALSE)</f>
        <v>https://drive.google.com/open?id=1CckfZso7-BJicw2OcIQLahyCc-77vABh</v>
      </c>
    </row>
    <row r="184" spans="1:10" ht="15.75" thickBot="1" x14ac:dyDescent="0.3">
      <c r="A184" s="5" t="s">
        <v>2219</v>
      </c>
      <c r="B184" s="118" t="s">
        <v>2477</v>
      </c>
      <c r="C184" s="5" t="s">
        <v>2400</v>
      </c>
      <c r="D184" s="5" t="s">
        <v>66</v>
      </c>
      <c r="E184" s="5" t="s">
        <v>28</v>
      </c>
      <c r="F184" s="121">
        <v>41433</v>
      </c>
      <c r="G184" s="5" t="s">
        <v>2401</v>
      </c>
      <c r="H184" s="5" t="s">
        <v>2402</v>
      </c>
      <c r="I184" s="114" t="s">
        <v>3233</v>
      </c>
      <c r="J184" t="str">
        <f>VLOOKUP(C184,FORMGOOGLE,7,FALSE)</f>
        <v>https://drive.google.com/open?id=1weVm7GBm0NAZzJ0_OTzx_H9OAo3Cq-FX</v>
      </c>
    </row>
    <row r="185" spans="1:10" ht="15.75" thickBot="1" x14ac:dyDescent="0.3">
      <c r="A185" s="5" t="s">
        <v>2219</v>
      </c>
      <c r="B185" s="118" t="s">
        <v>2606</v>
      </c>
      <c r="C185" s="5" t="s">
        <v>2601</v>
      </c>
      <c r="D185" s="5" t="s">
        <v>66</v>
      </c>
      <c r="E185" s="5" t="s">
        <v>59</v>
      </c>
      <c r="F185" s="121">
        <v>41917</v>
      </c>
      <c r="G185" s="5" t="s">
        <v>2602</v>
      </c>
      <c r="H185" s="5" t="s">
        <v>2603</v>
      </c>
      <c r="I185" s="114" t="s">
        <v>3253</v>
      </c>
      <c r="J185" t="str">
        <f>VLOOKUP(C185,FORMGOOGLE,7,FALSE)</f>
        <v>https://drive.google.com/open?id=186C723h2WZsfkzRWWtZDXS_LYxFfxWVV</v>
      </c>
    </row>
    <row r="186" spans="1:10" ht="15.75" thickBot="1" x14ac:dyDescent="0.3">
      <c r="A186" s="5" t="s">
        <v>2219</v>
      </c>
      <c r="B186" s="119" t="s">
        <v>2636</v>
      </c>
      <c r="C186" s="5" t="s">
        <v>2294</v>
      </c>
      <c r="D186" s="5" t="s">
        <v>2</v>
      </c>
      <c r="E186" s="5" t="s">
        <v>2295</v>
      </c>
      <c r="F186" s="121">
        <v>41547</v>
      </c>
      <c r="G186" s="5" t="s">
        <v>2296</v>
      </c>
      <c r="H186" s="5" t="s">
        <v>2297</v>
      </c>
      <c r="I186" s="114" t="s">
        <v>3258</v>
      </c>
      <c r="J186" t="str">
        <f>VLOOKUP(C186,FORMGOOGLE,7,FALSE)</f>
        <v>https://drive.google.com/open?id=1Z_7Ml9vUkfMkAtcyrmWpLOerH5FOjLx3</v>
      </c>
    </row>
    <row r="187" spans="1:10" ht="15.75" thickBot="1" x14ac:dyDescent="0.3">
      <c r="A187" s="5" t="s">
        <v>2219</v>
      </c>
      <c r="B187" s="118" t="s">
        <v>2257</v>
      </c>
      <c r="C187" s="5" t="s">
        <v>2252</v>
      </c>
      <c r="D187" s="5" t="s">
        <v>66</v>
      </c>
      <c r="E187" s="5" t="s">
        <v>10</v>
      </c>
      <c r="F187" s="121">
        <v>41418</v>
      </c>
      <c r="G187" s="5" t="s">
        <v>2253</v>
      </c>
      <c r="H187" s="5" t="s">
        <v>2254</v>
      </c>
      <c r="I187" s="114" t="s">
        <v>3200</v>
      </c>
      <c r="J187" t="str">
        <f>VLOOKUP(C187,FORMGOOGLE,7,FALSE)</f>
        <v>https://drive.google.com/open?id=1YpCQGMANhSLSjMsw1A0cVwOqeDu9wnsf</v>
      </c>
    </row>
    <row r="188" spans="1:10" ht="15.75" thickBot="1" x14ac:dyDescent="0.3">
      <c r="A188" s="5" t="s">
        <v>2219</v>
      </c>
      <c r="B188" s="119" t="s">
        <v>2328</v>
      </c>
      <c r="C188" s="5" t="s">
        <v>2323</v>
      </c>
      <c r="D188" s="5" t="s">
        <v>66</v>
      </c>
      <c r="E188" s="5" t="s">
        <v>10</v>
      </c>
      <c r="F188" s="121">
        <v>42385</v>
      </c>
      <c r="G188" s="5" t="s">
        <v>2324</v>
      </c>
      <c r="H188" s="5" t="s">
        <v>2325</v>
      </c>
      <c r="I188" s="114" t="s">
        <v>3210</v>
      </c>
      <c r="J188" t="str">
        <f>VLOOKUP(C188,FORMGOOGLE,7,FALSE)</f>
        <v>https://drive.google.com/open?id=19bPE9ePboSHsz_byAoz0CN4WeHJHzHWe</v>
      </c>
    </row>
    <row r="189" spans="1:10" ht="15.75" thickBot="1" x14ac:dyDescent="0.3">
      <c r="A189" s="5" t="s">
        <v>2219</v>
      </c>
      <c r="B189" s="119" t="s">
        <v>2660</v>
      </c>
      <c r="C189" s="5" t="s">
        <v>2521</v>
      </c>
      <c r="D189" s="5" t="s">
        <v>2</v>
      </c>
      <c r="E189" s="5" t="s">
        <v>10</v>
      </c>
      <c r="F189" s="121">
        <v>42788</v>
      </c>
      <c r="G189" s="5" t="s">
        <v>2522</v>
      </c>
      <c r="H189" s="5" t="s">
        <v>2523</v>
      </c>
      <c r="I189" s="114" t="s">
        <v>3263</v>
      </c>
      <c r="J189" t="str">
        <f>VLOOKUP(C189,FORMGOOGLE,7,FALSE)</f>
        <v>https://drive.google.com/open?id=1TrHJJjzNXDEds7kZNeuJvHbmIeqxzs1J</v>
      </c>
    </row>
    <row r="190" spans="1:10" ht="15.75" thickBot="1" x14ac:dyDescent="0.3">
      <c r="A190" s="5" t="s">
        <v>2219</v>
      </c>
      <c r="B190" s="119" t="s">
        <v>2760</v>
      </c>
      <c r="C190" s="5" t="s">
        <v>2738</v>
      </c>
      <c r="D190" s="5" t="s">
        <v>66</v>
      </c>
      <c r="E190" s="5" t="s">
        <v>2739</v>
      </c>
      <c r="F190" s="121">
        <v>41866</v>
      </c>
      <c r="G190" s="5" t="s">
        <v>2740</v>
      </c>
      <c r="H190" s="5" t="s">
        <v>2741</v>
      </c>
      <c r="I190" s="114" t="s">
        <v>3280</v>
      </c>
      <c r="J190" t="str">
        <f>VLOOKUP(C190,FORMGOOGLE,7,FALSE)</f>
        <v>https://drive.google.com/open?id=1cZpxA5P2RE8_b3_XQbvPIWvKwors5WZ9</v>
      </c>
    </row>
    <row r="191" spans="1:10" ht="15.75" thickBot="1" x14ac:dyDescent="0.3">
      <c r="A191" s="5" t="s">
        <v>2219</v>
      </c>
      <c r="B191" s="119" t="s">
        <v>3002</v>
      </c>
      <c r="C191" s="5" t="s">
        <v>3000</v>
      </c>
      <c r="D191" s="5" t="s">
        <v>2</v>
      </c>
      <c r="E191" s="5" t="s">
        <v>28</v>
      </c>
      <c r="F191" s="121">
        <v>42588</v>
      </c>
      <c r="G191" s="5" t="s">
        <v>2982</v>
      </c>
      <c r="H191" s="5" t="s">
        <v>2755</v>
      </c>
      <c r="I191" s="114" t="s">
        <v>3322</v>
      </c>
      <c r="J191" t="str">
        <f>VLOOKUP(C191,FORMGOOGLE,7,FALSE)</f>
        <v>https://drive.google.com/open?id=1F8MIBE1jWqJ_Ber50MYdKCiiWSUHzjgF</v>
      </c>
    </row>
    <row r="192" spans="1:10" ht="15.75" thickBot="1" x14ac:dyDescent="0.3">
      <c r="A192" s="5" t="s">
        <v>2219</v>
      </c>
      <c r="B192" s="118" t="s">
        <v>2364</v>
      </c>
      <c r="C192" s="5" t="s">
        <v>2280</v>
      </c>
      <c r="D192" s="5" t="s">
        <v>2</v>
      </c>
      <c r="E192" s="5" t="s">
        <v>28</v>
      </c>
      <c r="F192" s="121">
        <v>41861</v>
      </c>
      <c r="G192" s="5" t="s">
        <v>2281</v>
      </c>
      <c r="H192" s="5" t="s">
        <v>2282</v>
      </c>
      <c r="I192" s="114" t="s">
        <v>3216</v>
      </c>
      <c r="J192" t="str">
        <f>VLOOKUP(C192,FORMGOOGLE,7,FALSE)</f>
        <v>https://drive.google.com/open?id=1HOKGkLmGgmCqw5f1mPhQQH98KZJbikrg</v>
      </c>
    </row>
    <row r="193" spans="1:10" ht="15.75" thickBot="1" x14ac:dyDescent="0.3">
      <c r="A193" s="5" t="s">
        <v>2219</v>
      </c>
      <c r="B193" s="118" t="s">
        <v>5247</v>
      </c>
      <c r="C193" s="5" t="s">
        <v>4613</v>
      </c>
      <c r="D193" s="5" t="s">
        <v>2</v>
      </c>
      <c r="E193" s="5" t="s">
        <v>10</v>
      </c>
      <c r="F193" s="121">
        <v>42013</v>
      </c>
      <c r="G193" s="5" t="s">
        <v>4614</v>
      </c>
      <c r="H193" s="5" t="s">
        <v>4615</v>
      </c>
      <c r="I193" s="114" t="s">
        <v>5248</v>
      </c>
      <c r="J193" t="str">
        <f>VLOOKUP(C193,FORMGOOGLE,7,FALSE)</f>
        <v>https://drive.google.com/open?id=1CKwa6m6MWkD8ZhKVe6pJ4doGMuLYXXHO</v>
      </c>
    </row>
    <row r="194" spans="1:10" ht="15.75" thickBot="1" x14ac:dyDescent="0.3">
      <c r="A194" s="5" t="s">
        <v>2219</v>
      </c>
      <c r="B194" s="119" t="s">
        <v>2342</v>
      </c>
      <c r="C194" s="5" t="s">
        <v>2337</v>
      </c>
      <c r="D194" s="5" t="s">
        <v>2</v>
      </c>
      <c r="E194" s="5" t="s">
        <v>10</v>
      </c>
      <c r="F194" s="121">
        <v>41742</v>
      </c>
      <c r="G194" s="5" t="s">
        <v>2338</v>
      </c>
      <c r="H194" s="5" t="s">
        <v>2339</v>
      </c>
      <c r="I194" s="114" t="s">
        <v>3212</v>
      </c>
      <c r="J194" t="str">
        <f>VLOOKUP(C194,FORMGOOGLE,7,FALSE)</f>
        <v>https://drive.google.com/open?id=1-phvnA5_MRRGhwPjZ73q6a5fcZoIDBEZ</v>
      </c>
    </row>
    <row r="195" spans="1:10" ht="15.75" thickBot="1" x14ac:dyDescent="0.3">
      <c r="A195" s="5" t="s">
        <v>2219</v>
      </c>
      <c r="B195" s="118" t="s">
        <v>2536</v>
      </c>
      <c r="C195" s="5" t="s">
        <v>354</v>
      </c>
      <c r="D195" s="5" t="s">
        <v>66</v>
      </c>
      <c r="E195" s="5" t="s">
        <v>1155</v>
      </c>
      <c r="F195" s="121">
        <v>42002</v>
      </c>
      <c r="G195" s="5" t="s">
        <v>2446</v>
      </c>
      <c r="H195" s="5" t="s">
        <v>2447</v>
      </c>
      <c r="I195" s="114" t="s">
        <v>3243</v>
      </c>
      <c r="J195" t="str">
        <f>VLOOKUP(C195,FORMGOOGLE,7,FALSE)</f>
        <v>https://drive.google.com/open?id=1YoB_LfvFSJkdRfIgNvEHJrJ82JJVtzLq</v>
      </c>
    </row>
    <row r="196" spans="1:10" ht="15.75" thickBot="1" x14ac:dyDescent="0.3">
      <c r="A196" s="5" t="s">
        <v>2219</v>
      </c>
      <c r="B196" s="119" t="s">
        <v>2354</v>
      </c>
      <c r="C196" s="5" t="s">
        <v>2349</v>
      </c>
      <c r="D196" s="5" t="s">
        <v>66</v>
      </c>
      <c r="E196" s="5" t="s">
        <v>28</v>
      </c>
      <c r="F196" s="121">
        <v>42118</v>
      </c>
      <c r="G196" s="5" t="s">
        <v>2350</v>
      </c>
      <c r="H196" s="5" t="s">
        <v>2351</v>
      </c>
      <c r="I196" s="114" t="s">
        <v>3214</v>
      </c>
      <c r="J196" t="str">
        <f>VLOOKUP(C196,FORMGOOGLE,7,FALSE)</f>
        <v>https://drive.google.com/open?id=1YYDFIi29fo8jY-j96grI__XEXtD14fIl</v>
      </c>
    </row>
    <row r="197" spans="1:10" ht="15.75" thickBot="1" x14ac:dyDescent="0.3">
      <c r="A197" s="5" t="s">
        <v>2219</v>
      </c>
      <c r="B197" s="119" t="s">
        <v>2412</v>
      </c>
      <c r="C197" s="5" t="s">
        <v>2407</v>
      </c>
      <c r="D197" s="5" t="s">
        <v>2</v>
      </c>
      <c r="E197" s="5" t="s">
        <v>28</v>
      </c>
      <c r="F197" s="121">
        <v>42674</v>
      </c>
      <c r="G197" s="5" t="s">
        <v>2408</v>
      </c>
      <c r="H197" s="5" t="s">
        <v>2409</v>
      </c>
      <c r="I197" s="114" t="s">
        <v>3222</v>
      </c>
      <c r="J197" t="str">
        <f>VLOOKUP(C197,FORMGOOGLE,7,FALSE)</f>
        <v>https://drive.google.com/open?id=1rQRHN3sbdFM66X4KHudoOxzm69DvRer_</v>
      </c>
    </row>
    <row r="198" spans="1:10" ht="15.75" thickBot="1" x14ac:dyDescent="0.3">
      <c r="A198" s="5" t="s">
        <v>2219</v>
      </c>
      <c r="B198" s="118" t="s">
        <v>2225</v>
      </c>
      <c r="C198" s="5" t="s">
        <v>2220</v>
      </c>
      <c r="D198" s="5" t="s">
        <v>66</v>
      </c>
      <c r="E198" s="5" t="s">
        <v>28</v>
      </c>
      <c r="F198" s="121">
        <v>42203</v>
      </c>
      <c r="G198" s="5" t="s">
        <v>2221</v>
      </c>
      <c r="H198" s="5" t="s">
        <v>2222</v>
      </c>
      <c r="I198" s="114" t="s">
        <v>3195</v>
      </c>
      <c r="J198" t="str">
        <f>VLOOKUP(C198,FORMGOOGLE,7,FALSE)</f>
        <v>https://drive.google.com/open?id=1nBuIzjY6i0mpTQ9uN-CcO6Yn7XRXVbQL</v>
      </c>
    </row>
    <row r="199" spans="1:10" ht="15.75" thickBot="1" x14ac:dyDescent="0.3">
      <c r="A199" s="5" t="s">
        <v>2219</v>
      </c>
      <c r="B199" s="119" t="s">
        <v>2292</v>
      </c>
      <c r="C199" s="5" t="s">
        <v>2287</v>
      </c>
      <c r="D199" s="5" t="s">
        <v>2</v>
      </c>
      <c r="E199" s="5" t="s">
        <v>59</v>
      </c>
      <c r="F199" s="121">
        <v>42196</v>
      </c>
      <c r="G199" s="5" t="s">
        <v>2288</v>
      </c>
      <c r="H199" s="5" t="s">
        <v>2289</v>
      </c>
      <c r="I199" s="114" t="s">
        <v>3205</v>
      </c>
      <c r="J199" t="str">
        <f>VLOOKUP(C199,FORMGOOGLE,7,FALSE)</f>
        <v>https://drive.google.com/open?id=1zSmJe3HzMDNLdQTVLtW72K7A2qNqW78n</v>
      </c>
    </row>
    <row r="200" spans="1:10" ht="15.75" thickBot="1" x14ac:dyDescent="0.3">
      <c r="A200" s="5" t="s">
        <v>2219</v>
      </c>
      <c r="B200" s="118" t="s">
        <v>2546</v>
      </c>
      <c r="C200" s="5" t="s">
        <v>2330</v>
      </c>
      <c r="D200" s="5" t="s">
        <v>66</v>
      </c>
      <c r="E200" s="5" t="s">
        <v>59</v>
      </c>
      <c r="F200" s="121">
        <v>42030</v>
      </c>
      <c r="G200" s="5" t="s">
        <v>2331</v>
      </c>
      <c r="H200" s="5" t="s">
        <v>2332</v>
      </c>
      <c r="I200" s="114" t="s">
        <v>3245</v>
      </c>
      <c r="J200" t="str">
        <f>VLOOKUP(C200,FORMGOOGLE,7,FALSE)</f>
        <v>https://drive.google.com/open?id=1e9cixQcwKZsB2Xyl1fAwFmLlkkuBh9A1</v>
      </c>
    </row>
    <row r="201" spans="1:10" ht="15.75" thickBot="1" x14ac:dyDescent="0.3">
      <c r="A201" s="5" t="s">
        <v>2219</v>
      </c>
      <c r="B201" s="118" t="s">
        <v>2716</v>
      </c>
      <c r="C201" s="5" t="s">
        <v>2681</v>
      </c>
      <c r="D201" s="5" t="s">
        <v>66</v>
      </c>
      <c r="E201" s="5" t="s">
        <v>28</v>
      </c>
      <c r="F201" s="121">
        <v>41906</v>
      </c>
      <c r="G201" s="5" t="s">
        <v>2682</v>
      </c>
      <c r="H201" s="5" t="s">
        <v>2683</v>
      </c>
      <c r="I201" s="114" t="s">
        <v>3273</v>
      </c>
      <c r="J201" t="str">
        <f>VLOOKUP(C201,FORMGOOGLE,7,FALSE)</f>
        <v>https://drive.google.com/open?id=1NZZ2C8X3giFgUCE8E2ulCsyV9HT7d124</v>
      </c>
    </row>
    <row r="202" spans="1:10" ht="15.75" thickBot="1" x14ac:dyDescent="0.3">
      <c r="A202" s="5" t="s">
        <v>2219</v>
      </c>
      <c r="B202" s="118" t="s">
        <v>2321</v>
      </c>
      <c r="C202" s="5" t="s">
        <v>2316</v>
      </c>
      <c r="D202" s="5" t="s">
        <v>66</v>
      </c>
      <c r="E202" s="5" t="s">
        <v>10</v>
      </c>
      <c r="F202" s="121">
        <v>41925</v>
      </c>
      <c r="G202" s="5" t="s">
        <v>2317</v>
      </c>
      <c r="H202" s="5" t="s">
        <v>2318</v>
      </c>
      <c r="I202" s="114" t="s">
        <v>3209</v>
      </c>
      <c r="J202" t="str">
        <f>VLOOKUP(C202,FORMGOOGLE,7,FALSE)</f>
        <v>https://drive.google.com/open?id=1VnTLp2RssADWEGe-TRFaZFimwy_pyA55</v>
      </c>
    </row>
    <row r="203" spans="1:10" ht="15.75" thickBot="1" x14ac:dyDescent="0.3">
      <c r="A203" s="5" t="s">
        <v>2219</v>
      </c>
      <c r="B203" s="118" t="s">
        <v>3151</v>
      </c>
      <c r="C203" s="5" t="s">
        <v>2733</v>
      </c>
      <c r="D203" s="5" t="s">
        <v>66</v>
      </c>
      <c r="E203" s="5" t="s">
        <v>28</v>
      </c>
      <c r="F203" s="121">
        <v>42192</v>
      </c>
      <c r="G203" s="5" t="s">
        <v>2734</v>
      </c>
      <c r="H203" s="5" t="s">
        <v>2735</v>
      </c>
      <c r="I203" s="117" t="e">
        <v>#N/A</v>
      </c>
      <c r="J203" t="str">
        <f>VLOOKUP(C203,FORMGOOGLE,7,FALSE)</f>
        <v>https://drive.google.com/open?id=1LfamwvMgHMFzh1C4F4yD_mxU_rASbBj8</v>
      </c>
    </row>
    <row r="204" spans="1:10" ht="15.75" thickBot="1" x14ac:dyDescent="0.3">
      <c r="A204" s="5" t="s">
        <v>2219</v>
      </c>
      <c r="B204" s="119" t="s">
        <v>2508</v>
      </c>
      <c r="C204" s="5" t="s">
        <v>2503</v>
      </c>
      <c r="D204" s="5" t="s">
        <v>66</v>
      </c>
      <c r="E204" s="5" t="s">
        <v>10</v>
      </c>
      <c r="F204" s="121">
        <v>42543</v>
      </c>
      <c r="G204" s="5" t="s">
        <v>2504</v>
      </c>
      <c r="H204" s="5" t="s">
        <v>2505</v>
      </c>
      <c r="I204" s="114" t="s">
        <v>3238</v>
      </c>
      <c r="J204" t="str">
        <f>VLOOKUP(C204,FORMGOOGLE,7,FALSE)</f>
        <v>https://drive.google.com/open?id=1R0xsZ3JB5WgoYfr2w3W-xVpxfuR93nW8</v>
      </c>
    </row>
    <row r="205" spans="1:10" ht="15.75" thickBot="1" x14ac:dyDescent="0.3">
      <c r="A205" s="5" t="s">
        <v>2219</v>
      </c>
      <c r="B205" s="118" t="s">
        <v>2347</v>
      </c>
      <c r="C205" s="5" t="s">
        <v>2344</v>
      </c>
      <c r="D205" s="5" t="s">
        <v>66</v>
      </c>
      <c r="E205" s="5" t="s">
        <v>2345</v>
      </c>
      <c r="F205" s="121">
        <v>42283</v>
      </c>
      <c r="G205" s="5" t="s">
        <v>2317</v>
      </c>
      <c r="H205" s="5" t="s">
        <v>2318</v>
      </c>
      <c r="I205" s="114" t="s">
        <v>3213</v>
      </c>
      <c r="J205" t="str">
        <f>VLOOKUP(C205,FORMGOOGLE,7,FALSE)</f>
        <v>https://drive.google.com/open?id=1nXHMHWvyt9YmIDP8GFGOndQ_eu4F6tkT</v>
      </c>
    </row>
    <row r="206" spans="1:10" ht="15.75" thickBot="1" x14ac:dyDescent="0.3">
      <c r="A206" s="5" t="s">
        <v>2219</v>
      </c>
      <c r="B206" s="119" t="s">
        <v>2613</v>
      </c>
      <c r="C206" s="5" t="s">
        <v>2608</v>
      </c>
      <c r="D206" s="5" t="s">
        <v>66</v>
      </c>
      <c r="E206" s="5" t="s">
        <v>10</v>
      </c>
      <c r="F206" s="121">
        <v>41925</v>
      </c>
      <c r="G206" s="5" t="s">
        <v>2609</v>
      </c>
      <c r="H206" s="5" t="s">
        <v>2610</v>
      </c>
      <c r="I206" s="114" t="s">
        <v>3254</v>
      </c>
      <c r="J206" t="str">
        <f>VLOOKUP(C206,FORMGOOGLE,7,FALSE)</f>
        <v>https://drive.google.com/open?id=1nYgtEnvBc-2oafr89_vMw6tvhgcnSXE8</v>
      </c>
    </row>
    <row r="207" spans="1:10" ht="15.75" thickBot="1" x14ac:dyDescent="0.3">
      <c r="A207" s="5" t="s">
        <v>2219</v>
      </c>
      <c r="B207" s="119" t="s">
        <v>2487</v>
      </c>
      <c r="C207" s="5" t="s">
        <v>2431</v>
      </c>
      <c r="D207" s="5" t="s">
        <v>66</v>
      </c>
      <c r="E207" s="5" t="s">
        <v>28</v>
      </c>
      <c r="F207" s="121">
        <v>42299</v>
      </c>
      <c r="G207" s="5" t="s">
        <v>2432</v>
      </c>
      <c r="H207" s="5" t="s">
        <v>2433</v>
      </c>
      <c r="I207" s="114" t="s">
        <v>3235</v>
      </c>
      <c r="J207" t="str">
        <f>VLOOKUP(C207,FORMGOOGLE,7,FALSE)</f>
        <v>https://drive.google.com/open?id=1GAroFSRp1Ii272XDhixMhAwsta8qjBNM</v>
      </c>
    </row>
    <row r="208" spans="1:10" ht="15.75" thickBot="1" x14ac:dyDescent="0.3">
      <c r="A208" s="5" t="s">
        <v>2219</v>
      </c>
      <c r="B208" s="118" t="s">
        <v>2657</v>
      </c>
      <c r="C208" s="5" t="s">
        <v>2652</v>
      </c>
      <c r="D208" s="5" t="s">
        <v>66</v>
      </c>
      <c r="E208" s="5" t="s">
        <v>10</v>
      </c>
      <c r="F208" s="121">
        <v>42170</v>
      </c>
      <c r="G208" s="5" t="s">
        <v>2653</v>
      </c>
      <c r="H208" s="5" t="s">
        <v>2654</v>
      </c>
      <c r="I208" s="114" t="s">
        <v>3262</v>
      </c>
      <c r="J208" t="str">
        <f>VLOOKUP(C208,FORMGOOGLE,7,FALSE)</f>
        <v>https://drive.google.com/open?id=1AkUa0BS0NAaiUOwB3Xgw-QEgpxLnD-nD</v>
      </c>
    </row>
    <row r="209" spans="1:10" ht="15.75" thickBot="1" x14ac:dyDescent="0.3">
      <c r="A209" s="5" t="s">
        <v>2219</v>
      </c>
      <c r="B209" s="119" t="s">
        <v>2232</v>
      </c>
      <c r="C209" s="5" t="s">
        <v>2227</v>
      </c>
      <c r="D209" s="5" t="s">
        <v>2</v>
      </c>
      <c r="E209" s="5" t="s">
        <v>10</v>
      </c>
      <c r="F209" s="121">
        <v>42733</v>
      </c>
      <c r="G209" s="5" t="s">
        <v>2228</v>
      </c>
      <c r="H209" s="5" t="s">
        <v>2229</v>
      </c>
      <c r="I209" s="114" t="s">
        <v>3196</v>
      </c>
      <c r="J209" t="str">
        <f>VLOOKUP(C209,FORMGOOGLE,7,FALSE)</f>
        <v>https://drive.google.com/open?id=1yefzqLQFpzpNv6RhFf9fm5kZStIAO1S4</v>
      </c>
    </row>
    <row r="210" spans="1:10" ht="15.75" thickBot="1" x14ac:dyDescent="0.3">
      <c r="A210" s="5" t="s">
        <v>2219</v>
      </c>
      <c r="B210" s="119" t="s">
        <v>2314</v>
      </c>
      <c r="C210" s="5" t="s">
        <v>2309</v>
      </c>
      <c r="D210" s="5" t="s">
        <v>2</v>
      </c>
      <c r="E210" s="5" t="s">
        <v>10</v>
      </c>
      <c r="F210" s="121">
        <v>42272</v>
      </c>
      <c r="G210" s="5" t="s">
        <v>2310</v>
      </c>
      <c r="H210" s="5" t="s">
        <v>2311</v>
      </c>
      <c r="I210" s="114" t="s">
        <v>3208</v>
      </c>
      <c r="J210" t="str">
        <f>VLOOKUP(C210,FORMGOOGLE,7,FALSE)</f>
        <v>https://drive.google.com/open?id=1FMCv-OTNjtD4cu_4XJfLIvrcqilIeQyx</v>
      </c>
    </row>
    <row r="211" spans="1:10" ht="15.75" thickBot="1" x14ac:dyDescent="0.3">
      <c r="A211" s="5" t="s">
        <v>2219</v>
      </c>
      <c r="B211" s="119" t="s">
        <v>2673</v>
      </c>
      <c r="C211" s="5" t="s">
        <v>2594</v>
      </c>
      <c r="D211" s="5" t="s">
        <v>2</v>
      </c>
      <c r="E211" s="5" t="s">
        <v>10</v>
      </c>
      <c r="F211" s="121">
        <v>42281</v>
      </c>
      <c r="G211" s="5" t="s">
        <v>2595</v>
      </c>
      <c r="H211" s="5" t="s">
        <v>2596</v>
      </c>
      <c r="I211" s="114" t="s">
        <v>3266</v>
      </c>
      <c r="J211" t="str">
        <f>VLOOKUP(C211,FORMGOOGLE,7,FALSE)</f>
        <v>https://drive.google.com/open?id=1koccTZvq0-DWYxDEU4pijkrtdAMdaxTK</v>
      </c>
    </row>
    <row r="212" spans="1:10" ht="15.75" thickBot="1" x14ac:dyDescent="0.3">
      <c r="A212" s="5" t="s">
        <v>2219</v>
      </c>
      <c r="B212" s="118" t="s">
        <v>2501</v>
      </c>
      <c r="C212" s="5" t="s">
        <v>2496</v>
      </c>
      <c r="D212" s="5" t="s">
        <v>2</v>
      </c>
      <c r="E212" s="5" t="s">
        <v>28</v>
      </c>
      <c r="F212" s="121">
        <v>42553</v>
      </c>
      <c r="G212" s="5" t="s">
        <v>2497</v>
      </c>
      <c r="H212" s="5" t="s">
        <v>2498</v>
      </c>
      <c r="I212" s="114" t="s">
        <v>3237</v>
      </c>
      <c r="J212" t="str">
        <f>VLOOKUP(C212,FORMGOOGLE,7,FALSE)</f>
        <v>https://drive.google.com/open?id=18vn_P_zdAUY6xw7TO7HDwD-3BonY26NF</v>
      </c>
    </row>
    <row r="213" spans="1:10" ht="15.75" thickBot="1" x14ac:dyDescent="0.3">
      <c r="A213" s="5" t="s">
        <v>2219</v>
      </c>
      <c r="B213" s="119" t="s">
        <v>2264</v>
      </c>
      <c r="C213" s="5" t="s">
        <v>2259</v>
      </c>
      <c r="D213" s="5" t="s">
        <v>66</v>
      </c>
      <c r="E213" s="5" t="s">
        <v>10</v>
      </c>
      <c r="F213" s="121">
        <v>41907</v>
      </c>
      <c r="G213" s="5" t="s">
        <v>2260</v>
      </c>
      <c r="H213" s="5" t="s">
        <v>2261</v>
      </c>
      <c r="I213" s="114" t="s">
        <v>3201</v>
      </c>
      <c r="J213" t="str">
        <f>VLOOKUP(C213,FORMGOOGLE,7,FALSE)</f>
        <v>https://drive.google.com/open?id=1iGR_E4Z2vsNTTwrRZsBbdEgDmyD4JhcB</v>
      </c>
    </row>
    <row r="214" spans="1:10" ht="15.75" thickBot="1" x14ac:dyDescent="0.3">
      <c r="A214" s="5" t="s">
        <v>2219</v>
      </c>
      <c r="B214" s="118" t="s">
        <v>2422</v>
      </c>
      <c r="C214" s="5" t="s">
        <v>2417</v>
      </c>
      <c r="D214" s="5" t="s">
        <v>66</v>
      </c>
      <c r="E214" s="5" t="s">
        <v>10</v>
      </c>
      <c r="F214" s="121">
        <v>42307</v>
      </c>
      <c r="G214" s="5" t="s">
        <v>2418</v>
      </c>
      <c r="H214" s="5" t="s">
        <v>2419</v>
      </c>
      <c r="I214" s="114" t="s">
        <v>3224</v>
      </c>
      <c r="J214" t="str">
        <f>VLOOKUP(C214,FORMGOOGLE,7,FALSE)</f>
        <v>https://drive.google.com/open?id=1VrlskstDc4qBThiFEYUpZRoXn_aw3a6h</v>
      </c>
    </row>
    <row r="215" spans="1:10" ht="15.75" thickBot="1" x14ac:dyDescent="0.3">
      <c r="A215" s="5" t="s">
        <v>2219</v>
      </c>
      <c r="B215" s="119" t="s">
        <v>2398</v>
      </c>
      <c r="C215" s="5" t="s">
        <v>2393</v>
      </c>
      <c r="D215" s="5" t="s">
        <v>2</v>
      </c>
      <c r="E215" s="5" t="s">
        <v>59</v>
      </c>
      <c r="F215" s="121">
        <v>42929</v>
      </c>
      <c r="G215" s="5" t="s">
        <v>2394</v>
      </c>
      <c r="H215" s="5" t="s">
        <v>2395</v>
      </c>
      <c r="I215" s="114" t="s">
        <v>3220</v>
      </c>
      <c r="J215" t="str">
        <f>VLOOKUP(C215,FORMGOOGLE,7,FALSE)</f>
        <v>https://drive.google.com/open?id=1C4S2RNHsMXPKdYbhVQIjmJw_8Dhoit7i</v>
      </c>
    </row>
    <row r="216" spans="1:10" ht="15.75" thickBot="1" x14ac:dyDescent="0.3">
      <c r="A216" s="5" t="s">
        <v>2219</v>
      </c>
      <c r="B216" s="118" t="s">
        <v>4569</v>
      </c>
      <c r="C216" s="5" t="s">
        <v>4564</v>
      </c>
      <c r="D216" s="5" t="s">
        <v>2</v>
      </c>
      <c r="E216" s="5" t="s">
        <v>28</v>
      </c>
      <c r="F216" s="121">
        <v>42319</v>
      </c>
      <c r="G216" s="5" t="s">
        <v>4565</v>
      </c>
      <c r="H216" s="5" t="s">
        <v>4566</v>
      </c>
      <c r="I216" s="114" t="s">
        <v>4570</v>
      </c>
      <c r="J216" t="str">
        <f>VLOOKUP(C216,FORMGOOGLE,7,FALSE)</f>
        <v>https://drive.google.com/open?id=1C4jZRjCRJwHAYZ_fCVk-pZ6zC8NquP7O</v>
      </c>
    </row>
    <row r="217" spans="1:10" ht="15.75" thickBot="1" x14ac:dyDescent="0.3">
      <c r="A217" s="5" t="s">
        <v>2219</v>
      </c>
      <c r="B217" s="118" t="s">
        <v>2830</v>
      </c>
      <c r="C217" s="5" t="s">
        <v>2825</v>
      </c>
      <c r="D217" s="5" t="s">
        <v>2</v>
      </c>
      <c r="E217" s="5" t="s">
        <v>315</v>
      </c>
      <c r="F217" s="121">
        <v>41394</v>
      </c>
      <c r="G217" s="5" t="s">
        <v>2826</v>
      </c>
      <c r="H217" s="5" t="s">
        <v>2827</v>
      </c>
      <c r="I217" s="114" t="s">
        <v>3292</v>
      </c>
      <c r="J217" t="str">
        <f>VLOOKUP(C217,FORMGOOGLE,7,FALSE)</f>
        <v>https://drive.google.com/open?id=1fBKnUqC0XMEaa_P4zcbjPYfqPOJT2woe</v>
      </c>
    </row>
    <row r="218" spans="1:10" ht="15.75" thickBot="1" x14ac:dyDescent="0.3">
      <c r="A218" s="5" t="s">
        <v>2219</v>
      </c>
      <c r="B218" s="119" t="s">
        <v>2725</v>
      </c>
      <c r="C218" s="5" t="s">
        <v>2538</v>
      </c>
      <c r="D218" s="5" t="s">
        <v>66</v>
      </c>
      <c r="E218" s="5" t="s">
        <v>10</v>
      </c>
      <c r="F218" s="121">
        <v>41967</v>
      </c>
      <c r="G218" s="5" t="s">
        <v>2539</v>
      </c>
      <c r="H218" s="5" t="s">
        <v>2540</v>
      </c>
      <c r="I218" s="114" t="s">
        <v>3275</v>
      </c>
      <c r="J218" t="str">
        <f>VLOOKUP(C218,FORMGOOGLE,7,FALSE)</f>
        <v>https://drive.google.com/open?id=18k_P7IhYuPq8plhp9TXs38WGbeDxELxT</v>
      </c>
    </row>
    <row r="219" spans="1:10" ht="15.75" thickBot="1" x14ac:dyDescent="0.3">
      <c r="A219" s="5" t="s">
        <v>671</v>
      </c>
      <c r="B219" s="119" t="s">
        <v>5145</v>
      </c>
      <c r="C219" s="5" t="s">
        <v>5121</v>
      </c>
      <c r="D219" s="5" t="s">
        <v>2</v>
      </c>
      <c r="E219" s="5" t="s">
        <v>28</v>
      </c>
      <c r="F219" s="121">
        <v>42549</v>
      </c>
      <c r="G219" s="5" t="s">
        <v>5122</v>
      </c>
      <c r="H219" s="5" t="s">
        <v>5123</v>
      </c>
      <c r="I219" s="114" t="s">
        <v>5146</v>
      </c>
      <c r="J219" t="str">
        <f>VLOOKUP(C219,FORMGOOGLE,7,FALSE)</f>
        <v>https://drive.google.com/open?id=1cany7yzynWKUZzSEijRVWSPBHrECwgg9</v>
      </c>
    </row>
    <row r="220" spans="1:10" ht="15.75" thickBot="1" x14ac:dyDescent="0.3">
      <c r="A220" s="5" t="s">
        <v>671</v>
      </c>
      <c r="B220" s="118" t="s">
        <v>5147</v>
      </c>
      <c r="C220" s="5" t="s">
        <v>5133</v>
      </c>
      <c r="D220" s="5" t="s">
        <v>66</v>
      </c>
      <c r="E220" s="5" t="s">
        <v>28</v>
      </c>
      <c r="F220" s="121">
        <v>41797</v>
      </c>
      <c r="G220" s="5" t="s">
        <v>5134</v>
      </c>
      <c r="H220" s="5" t="s">
        <v>5135</v>
      </c>
      <c r="I220" s="114" t="s">
        <v>5148</v>
      </c>
      <c r="J220" t="str">
        <f>VLOOKUP(C220,FORMGOOGLE,7,FALSE)</f>
        <v>https://drive.google.com/open?id=1RKZzZrbgaoTxpvQy2YpitavIJi3l9V0R</v>
      </c>
    </row>
    <row r="221" spans="1:10" ht="15.75" thickBot="1" x14ac:dyDescent="0.3">
      <c r="A221" s="5" t="s">
        <v>671</v>
      </c>
      <c r="B221" s="119" t="s">
        <v>5186</v>
      </c>
      <c r="C221" s="5" t="s">
        <v>5187</v>
      </c>
      <c r="D221" s="5" t="s">
        <v>66</v>
      </c>
      <c r="E221" s="5" t="s">
        <v>10</v>
      </c>
      <c r="F221" s="121">
        <v>41085</v>
      </c>
      <c r="G221" s="5" t="s">
        <v>5188</v>
      </c>
      <c r="H221" s="5" t="s">
        <v>5189</v>
      </c>
      <c r="I221" s="114" t="s">
        <v>5190</v>
      </c>
      <c r="J221" t="str">
        <f>VLOOKUP(C221,FORMGOOGLE,7,FALSE)</f>
        <v>https://drive.google.com/open?id=1MIPi3I0e1TxLHo7yNYDl_CIYOCJzC291</v>
      </c>
    </row>
    <row r="222" spans="1:10" ht="15.75" thickBot="1" x14ac:dyDescent="0.3">
      <c r="A222" s="5" t="s">
        <v>671</v>
      </c>
      <c r="B222" s="118" t="s">
        <v>5112</v>
      </c>
      <c r="C222" s="5" t="s">
        <v>5113</v>
      </c>
      <c r="D222" s="5" t="s">
        <v>66</v>
      </c>
      <c r="E222" s="5" t="s">
        <v>10</v>
      </c>
      <c r="F222" s="121">
        <v>41761</v>
      </c>
      <c r="G222" s="5" t="s">
        <v>5114</v>
      </c>
      <c r="H222" s="5" t="s">
        <v>5115</v>
      </c>
      <c r="I222" s="114" t="s">
        <v>5116</v>
      </c>
      <c r="J222" t="str">
        <f>VLOOKUP(C222,FORMGOOGLE,7,FALSE)</f>
        <v>https://drive.google.com/open?id=16GP34Y9DuZSUFUw_2Nrh5wqWmRAWGvZ5</v>
      </c>
    </row>
    <row r="223" spans="1:10" ht="15.75" thickBot="1" x14ac:dyDescent="0.3">
      <c r="A223" s="5" t="s">
        <v>671</v>
      </c>
      <c r="B223" s="118" t="s">
        <v>666</v>
      </c>
      <c r="C223" s="5" t="s">
        <v>667</v>
      </c>
      <c r="D223" s="5" t="s">
        <v>2</v>
      </c>
      <c r="E223" s="5" t="s">
        <v>28</v>
      </c>
      <c r="F223" s="121">
        <v>42464</v>
      </c>
      <c r="G223" s="5" t="s">
        <v>668</v>
      </c>
      <c r="H223" s="5" t="s">
        <v>669</v>
      </c>
      <c r="I223" s="114" t="s">
        <v>670</v>
      </c>
      <c r="J223" t="str">
        <f>VLOOKUP(C223,FORMGOOGLE,7,FALSE)</f>
        <v>https://drive.google.com/open?id=1SqEdAp4mLI3TGWzxn_881Sn1EKvIRWdE</v>
      </c>
    </row>
    <row r="224" spans="1:10" ht="15.75" thickBot="1" x14ac:dyDescent="0.3">
      <c r="A224" s="5" t="s">
        <v>671</v>
      </c>
      <c r="B224" s="118" t="s">
        <v>5094</v>
      </c>
      <c r="C224" s="11" t="s">
        <v>5095</v>
      </c>
      <c r="D224" s="5" t="s">
        <v>66</v>
      </c>
      <c r="E224" s="5" t="s">
        <v>28</v>
      </c>
      <c r="F224" s="121">
        <v>42538</v>
      </c>
      <c r="G224" s="5" t="s">
        <v>5092</v>
      </c>
      <c r="H224" s="5" t="s">
        <v>5093</v>
      </c>
      <c r="I224" s="114" t="s">
        <v>5096</v>
      </c>
      <c r="J224" t="str">
        <f>VLOOKUP(C224,FORMGOOGLE,7,FALSE)</f>
        <v>https://drive.google.com/open?id=1vrQEjquL7k7jrX06CF6k3jjekstXgik7</v>
      </c>
    </row>
    <row r="225" spans="1:10" ht="15.75" thickBot="1" x14ac:dyDescent="0.3">
      <c r="A225" s="5" t="s">
        <v>671</v>
      </c>
      <c r="B225" s="118" t="s">
        <v>5169</v>
      </c>
      <c r="C225" s="11" t="s">
        <v>5091</v>
      </c>
      <c r="D225" s="5" t="s">
        <v>66</v>
      </c>
      <c r="E225" s="5" t="s">
        <v>10</v>
      </c>
      <c r="F225" s="121">
        <v>42538</v>
      </c>
      <c r="G225" s="5" t="s">
        <v>5092</v>
      </c>
      <c r="H225" s="5" t="s">
        <v>5093</v>
      </c>
      <c r="I225" s="114" t="s">
        <v>5170</v>
      </c>
      <c r="J225" t="str">
        <f>VLOOKUP(C225,FORMGOOGLE,7,FALSE)</f>
        <v>https://drive.google.com/open?id=1URxoDBawZEFc2Pj2a93jGGXtMOx2JmrL</v>
      </c>
    </row>
    <row r="226" spans="1:10" ht="15.75" thickBot="1" x14ac:dyDescent="0.3">
      <c r="A226" s="5" t="s">
        <v>671</v>
      </c>
      <c r="B226" s="119" t="s">
        <v>5176</v>
      </c>
      <c r="C226" s="5" t="s">
        <v>5124</v>
      </c>
      <c r="D226" s="5" t="s">
        <v>2</v>
      </c>
      <c r="E226" s="5" t="s">
        <v>10</v>
      </c>
      <c r="F226" s="121">
        <v>42485</v>
      </c>
      <c r="G226" s="5" t="s">
        <v>5177</v>
      </c>
      <c r="H226" s="5" t="s">
        <v>5178</v>
      </c>
      <c r="I226" s="114" t="s">
        <v>5179</v>
      </c>
      <c r="J226" t="str">
        <f>VLOOKUP(C226,FORMGOOGLE,7,FALSE)</f>
        <v>https://drive.google.com/open?id=1qTQvz-KIs8428zjZ5l3TuD7wkb0D01O-</v>
      </c>
    </row>
    <row r="227" spans="1:10" ht="15.75" thickBot="1" x14ac:dyDescent="0.3">
      <c r="A227" s="5" t="s">
        <v>671</v>
      </c>
      <c r="B227" s="119" t="s">
        <v>5130</v>
      </c>
      <c r="C227" s="5" t="s">
        <v>5131</v>
      </c>
      <c r="D227" s="5" t="s">
        <v>2</v>
      </c>
      <c r="E227" s="5" t="s">
        <v>10</v>
      </c>
      <c r="F227" s="121">
        <v>41641</v>
      </c>
      <c r="G227" s="5" t="s">
        <v>5074</v>
      </c>
      <c r="H227" s="5" t="s">
        <v>5075</v>
      </c>
      <c r="I227" s="114" t="s">
        <v>5132</v>
      </c>
      <c r="J227" t="str">
        <f>VLOOKUP(C227,FORMGOOGLE,7,FALSE)</f>
        <v>https://drive.google.com/open?id=1yVFvSTM81-0ZNzPhPuiRuB7hheHi8uLy</v>
      </c>
    </row>
    <row r="228" spans="1:10" ht="15.75" thickBot="1" x14ac:dyDescent="0.3">
      <c r="A228" s="5" t="s">
        <v>671</v>
      </c>
      <c r="B228" s="119" t="s">
        <v>5245</v>
      </c>
      <c r="C228" s="5" t="s">
        <v>5242</v>
      </c>
      <c r="D228" s="5" t="s">
        <v>66</v>
      </c>
      <c r="E228" s="5" t="s">
        <v>10</v>
      </c>
      <c r="F228" s="121">
        <v>42390</v>
      </c>
      <c r="G228" s="5" t="s">
        <v>5243</v>
      </c>
      <c r="H228" s="5" t="s">
        <v>5244</v>
      </c>
      <c r="I228" s="114" t="s">
        <v>5246</v>
      </c>
      <c r="J228" t="str">
        <f>VLOOKUP(C228,FORMGOOGLE,7,FALSE)</f>
        <v>https://drive.google.com/open?id=1hhfk3kpfQ_bF-FOty8LREtp8wuaGzmsX</v>
      </c>
    </row>
    <row r="229" spans="1:10" ht="15.75" thickBot="1" x14ac:dyDescent="0.3">
      <c r="A229" s="5" t="s">
        <v>671</v>
      </c>
      <c r="B229" s="118" t="s">
        <v>5138</v>
      </c>
      <c r="C229" s="5" t="s">
        <v>5125</v>
      </c>
      <c r="D229" s="5" t="s">
        <v>66</v>
      </c>
      <c r="E229" s="5" t="s">
        <v>10</v>
      </c>
      <c r="F229" s="121">
        <v>41977</v>
      </c>
      <c r="G229" s="5" t="s">
        <v>5129</v>
      </c>
      <c r="H229" s="5" t="s">
        <v>5126</v>
      </c>
      <c r="I229" s="114" t="s">
        <v>5139</v>
      </c>
      <c r="J229" t="str">
        <f>VLOOKUP(C229,FORMGOOGLE,7,FALSE)</f>
        <v>https://drive.google.com/open?id=1gfHio6_PHagLvxL2nwl8NfivwEJMpQsK</v>
      </c>
    </row>
    <row r="230" spans="1:10" ht="15.75" thickBot="1" x14ac:dyDescent="0.3">
      <c r="A230" s="5" t="s">
        <v>671</v>
      </c>
      <c r="B230" s="119" t="s">
        <v>5127</v>
      </c>
      <c r="C230" s="5" t="s">
        <v>5117</v>
      </c>
      <c r="D230" s="5" t="s">
        <v>66</v>
      </c>
      <c r="E230" s="5" t="s">
        <v>10</v>
      </c>
      <c r="F230" s="121">
        <v>42144</v>
      </c>
      <c r="G230" s="5" t="s">
        <v>5118</v>
      </c>
      <c r="H230" s="5" t="s">
        <v>2186</v>
      </c>
      <c r="I230" s="114" t="s">
        <v>5128</v>
      </c>
      <c r="J230" t="str">
        <f>VLOOKUP(C230,FORMGOOGLE,7,FALSE)</f>
        <v>https://drive.google.com/open?id=1iLtOKGSyFLh_XqA3qy-Nl1vf68VppvIk</v>
      </c>
    </row>
    <row r="231" spans="1:10" ht="15.75" thickBot="1" x14ac:dyDescent="0.3">
      <c r="A231" s="5" t="s">
        <v>671</v>
      </c>
      <c r="B231" s="119" t="s">
        <v>5089</v>
      </c>
      <c r="C231" s="5" t="s">
        <v>5079</v>
      </c>
      <c r="D231" s="5" t="s">
        <v>2</v>
      </c>
      <c r="E231" s="5" t="s">
        <v>10</v>
      </c>
      <c r="F231" s="121">
        <v>42032</v>
      </c>
      <c r="G231" s="5" t="s">
        <v>5077</v>
      </c>
      <c r="H231" s="5" t="s">
        <v>5078</v>
      </c>
      <c r="I231" s="114" t="s">
        <v>5090</v>
      </c>
      <c r="J231" t="str">
        <f>VLOOKUP(C231,FORMGOOGLE,7,FALSE)</f>
        <v>https://drive.google.com/open?id=176wRirQGqhq7ev2OCD-bPb_siOEuAGFO</v>
      </c>
    </row>
    <row r="232" spans="1:10" ht="15.75" thickBot="1" x14ac:dyDescent="0.3">
      <c r="A232" s="5" t="s">
        <v>671</v>
      </c>
      <c r="B232" s="118" t="s">
        <v>5032</v>
      </c>
      <c r="C232" s="5" t="s">
        <v>5033</v>
      </c>
      <c r="D232" s="5" t="s">
        <v>66</v>
      </c>
      <c r="E232" s="5" t="s">
        <v>28</v>
      </c>
      <c r="F232" s="121">
        <v>42342</v>
      </c>
      <c r="G232" s="11" t="s">
        <v>5034</v>
      </c>
      <c r="H232" s="5" t="s">
        <v>1850</v>
      </c>
      <c r="I232" s="114" t="s">
        <v>5035</v>
      </c>
      <c r="J232" t="str">
        <f>VLOOKUP(C232,FORMGOOGLE,7,FALSE)</f>
        <v>https://drive.google.com/open?id=1MlLH0gRPe6rInuyIzEsDf_W83-3Bil4l</v>
      </c>
    </row>
    <row r="233" spans="1:10" ht="15.75" thickBot="1" x14ac:dyDescent="0.3">
      <c r="A233" s="5" t="s">
        <v>671</v>
      </c>
      <c r="B233" s="118" t="s">
        <v>5040</v>
      </c>
      <c r="C233" s="5" t="s">
        <v>5033</v>
      </c>
      <c r="D233" s="5" t="s">
        <v>66</v>
      </c>
      <c r="E233" s="5" t="s">
        <v>28</v>
      </c>
      <c r="F233" s="121">
        <v>42342</v>
      </c>
      <c r="G233" s="11" t="s">
        <v>5137</v>
      </c>
      <c r="H233" s="5" t="s">
        <v>1850</v>
      </c>
      <c r="I233" s="114" t="s">
        <v>5041</v>
      </c>
      <c r="J233" t="str">
        <f>VLOOKUP(C233,FORMGOOGLE,7,FALSE)</f>
        <v>https://drive.google.com/open?id=1MlLH0gRPe6rInuyIzEsDf_W83-3Bil4l</v>
      </c>
    </row>
    <row r="234" spans="1:10" ht="15.75" thickBot="1" x14ac:dyDescent="0.3">
      <c r="A234" s="5" t="s">
        <v>671</v>
      </c>
      <c r="B234" s="119" t="s">
        <v>5081</v>
      </c>
      <c r="C234" s="5" t="s">
        <v>5082</v>
      </c>
      <c r="D234" s="5" t="s">
        <v>2</v>
      </c>
      <c r="E234" s="5" t="s">
        <v>10</v>
      </c>
      <c r="F234" s="121">
        <v>41796</v>
      </c>
      <c r="G234" s="5" t="s">
        <v>5083</v>
      </c>
      <c r="H234" s="5" t="s">
        <v>5084</v>
      </c>
      <c r="I234" s="114" t="s">
        <v>5085</v>
      </c>
      <c r="J234" t="str">
        <f>VLOOKUP(C234,FORMGOOGLE,7,FALSE)</f>
        <v>https://drive.google.com/open?id=1ovJr0LkMhKNihpEiKXpd4oqMZTeZCiK_</v>
      </c>
    </row>
    <row r="235" spans="1:10" ht="15.75" thickBot="1" x14ac:dyDescent="0.3">
      <c r="A235" s="5" t="s">
        <v>671</v>
      </c>
      <c r="B235" s="119" t="s">
        <v>5171</v>
      </c>
      <c r="C235" s="5" t="s">
        <v>5099</v>
      </c>
      <c r="D235" s="5" t="s">
        <v>2</v>
      </c>
      <c r="E235" s="5" t="s">
        <v>28</v>
      </c>
      <c r="F235" s="121">
        <v>41473</v>
      </c>
      <c r="G235" s="5" t="s">
        <v>5100</v>
      </c>
      <c r="H235" s="5" t="s">
        <v>5101</v>
      </c>
      <c r="I235" s="114" t="s">
        <v>5172</v>
      </c>
      <c r="J235" t="str">
        <f>VLOOKUP(C235,FORMGOOGLE,7,FALSE)</f>
        <v>https://drive.google.com/open?id=1OZbP7cvPOhz87yqKy__2wONvXd4g86HA</v>
      </c>
    </row>
    <row r="236" spans="1:10" ht="15.75" thickBot="1" x14ac:dyDescent="0.3">
      <c r="A236" s="5" t="s">
        <v>671</v>
      </c>
      <c r="B236" s="119" t="s">
        <v>5212</v>
      </c>
      <c r="C236" s="5" t="s">
        <v>5055</v>
      </c>
      <c r="D236" s="5" t="s">
        <v>2</v>
      </c>
      <c r="E236" s="5" t="s">
        <v>28</v>
      </c>
      <c r="F236" s="121">
        <v>41409</v>
      </c>
      <c r="G236" s="5" t="s">
        <v>5056</v>
      </c>
      <c r="H236" s="5" t="s">
        <v>5057</v>
      </c>
      <c r="I236" s="114" t="s">
        <v>5213</v>
      </c>
      <c r="J236" t="str">
        <f>VLOOKUP(C236,FORMGOOGLE,7,FALSE)</f>
        <v>https://drive.google.com/open?id=1RmcUnwK5FRQ68yRN30o-7JvX9PiUYTmW</v>
      </c>
    </row>
    <row r="237" spans="1:10" ht="15.75" thickBot="1" x14ac:dyDescent="0.3">
      <c r="A237" s="5" t="s">
        <v>671</v>
      </c>
      <c r="B237" s="119" t="s">
        <v>5226</v>
      </c>
      <c r="C237" s="5" t="s">
        <v>5160</v>
      </c>
      <c r="D237" s="5" t="s">
        <v>66</v>
      </c>
      <c r="E237" s="11" t="s">
        <v>5227</v>
      </c>
      <c r="F237" s="121">
        <v>41188</v>
      </c>
      <c r="G237" s="5" t="s">
        <v>5161</v>
      </c>
      <c r="H237" s="5" t="s">
        <v>5162</v>
      </c>
      <c r="I237" s="114" t="s">
        <v>5228</v>
      </c>
      <c r="J237" t="str">
        <f>VLOOKUP(C237,FORMGOOGLE,7,FALSE)</f>
        <v>https://drive.google.com/open?id=1I3L7VoazNeRc192lCKhPgstb4wu0pLbW</v>
      </c>
    </row>
    <row r="238" spans="1:10" ht="15.75" thickBot="1" x14ac:dyDescent="0.3">
      <c r="A238" s="5" t="s">
        <v>671</v>
      </c>
      <c r="B238" s="118" t="s">
        <v>5191</v>
      </c>
      <c r="C238" s="5" t="s">
        <v>5192</v>
      </c>
      <c r="D238" s="5" t="s">
        <v>2</v>
      </c>
      <c r="E238" s="5" t="s">
        <v>365</v>
      </c>
      <c r="F238" s="121">
        <v>42539</v>
      </c>
      <c r="G238" s="5" t="s">
        <v>5193</v>
      </c>
      <c r="H238" s="5" t="s">
        <v>3905</v>
      </c>
      <c r="I238" s="114" t="s">
        <v>5194</v>
      </c>
      <c r="J238" t="str">
        <f>VLOOKUP(C238,FORMGOOGLE,7,FALSE)</f>
        <v>https://drive.google.com/open?id=1EsdJFg3EJQNUTyZsbBMoLW4FeSFNHb5W</v>
      </c>
    </row>
    <row r="239" spans="1:10" ht="15.75" thickBot="1" x14ac:dyDescent="0.3">
      <c r="A239" s="5" t="s">
        <v>671</v>
      </c>
      <c r="B239" s="118" t="s">
        <v>5234</v>
      </c>
      <c r="C239" s="5" t="s">
        <v>5042</v>
      </c>
      <c r="D239" s="5" t="s">
        <v>2</v>
      </c>
      <c r="E239" s="5" t="s">
        <v>28</v>
      </c>
      <c r="F239" s="121">
        <v>41784</v>
      </c>
      <c r="G239" s="5" t="s">
        <v>5043</v>
      </c>
      <c r="H239" s="5" t="s">
        <v>5044</v>
      </c>
      <c r="I239" s="114" t="s">
        <v>5235</v>
      </c>
      <c r="J239" t="str">
        <f>VLOOKUP(C239,FORMGOOGLE,7,FALSE)</f>
        <v>https://drive.google.com/open?id=1dZXUAZSXrIVvhJaR3cKbMP_5xy9lZTJp</v>
      </c>
    </row>
    <row r="240" spans="1:10" ht="15.75" thickBot="1" x14ac:dyDescent="0.3">
      <c r="A240" s="5" t="s">
        <v>671</v>
      </c>
      <c r="B240" s="119" t="s">
        <v>5149</v>
      </c>
      <c r="C240" s="5" t="s">
        <v>5086</v>
      </c>
      <c r="D240" s="5" t="s">
        <v>2</v>
      </c>
      <c r="E240" s="5" t="s">
        <v>10</v>
      </c>
      <c r="F240" s="121">
        <v>41630</v>
      </c>
      <c r="G240" s="5" t="s">
        <v>5087</v>
      </c>
      <c r="H240" s="5" t="s">
        <v>5088</v>
      </c>
      <c r="I240" s="114" t="s">
        <v>5150</v>
      </c>
      <c r="J240" t="str">
        <f>VLOOKUP(C240,FORMGOOGLE,7,FALSE)</f>
        <v>https://drive.google.com/open?id=1wAETq0tiRU6QQyi9OqOlDZdIO5SlY4zO</v>
      </c>
    </row>
    <row r="241" spans="1:10" ht="15.75" thickBot="1" x14ac:dyDescent="0.3">
      <c r="A241" s="5" t="s">
        <v>671</v>
      </c>
      <c r="B241" s="118" t="s">
        <v>5107</v>
      </c>
      <c r="C241" s="5" t="s">
        <v>5063</v>
      </c>
      <c r="D241" s="5" t="s">
        <v>2</v>
      </c>
      <c r="E241" s="5" t="s">
        <v>28</v>
      </c>
      <c r="F241" s="121">
        <v>42313</v>
      </c>
      <c r="G241" s="5" t="s">
        <v>5064</v>
      </c>
      <c r="H241" s="5" t="s">
        <v>5065</v>
      </c>
      <c r="I241" s="114" t="s">
        <v>5108</v>
      </c>
      <c r="J241" t="str">
        <f>VLOOKUP(C241,FORMGOOGLE,7,FALSE)</f>
        <v>https://drive.google.com/open?id=17VV6cDZ5b9YZY28X-S6rv5fHQB2CMVwP</v>
      </c>
    </row>
    <row r="242" spans="1:10" ht="15.75" thickBot="1" x14ac:dyDescent="0.3">
      <c r="A242" s="5" t="s">
        <v>671</v>
      </c>
      <c r="B242" s="119" t="s">
        <v>5045</v>
      </c>
      <c r="C242" s="5" t="s">
        <v>5046</v>
      </c>
      <c r="D242" s="5" t="s">
        <v>66</v>
      </c>
      <c r="E242" s="5" t="s">
        <v>10</v>
      </c>
      <c r="F242" s="121">
        <v>41731</v>
      </c>
      <c r="G242" s="5" t="s">
        <v>5047</v>
      </c>
      <c r="H242" s="5" t="s">
        <v>5048</v>
      </c>
      <c r="I242" s="114" t="s">
        <v>5049</v>
      </c>
      <c r="J242" t="str">
        <f>VLOOKUP(C242,FORMGOOGLE,7,FALSE)</f>
        <v>https://drive.google.com/open?id=1GC_eHvCM2b6KZWReDDsEoSzHVtc2e5ND</v>
      </c>
    </row>
    <row r="243" spans="1:10" ht="15.75" thickBot="1" x14ac:dyDescent="0.3">
      <c r="A243" s="5" t="s">
        <v>671</v>
      </c>
      <c r="B243" s="119" t="s">
        <v>5097</v>
      </c>
      <c r="C243" s="5" t="s">
        <v>5098</v>
      </c>
      <c r="D243" s="5" t="s">
        <v>2</v>
      </c>
      <c r="E243" s="5" t="s">
        <v>10</v>
      </c>
      <c r="F243" s="121">
        <v>42534</v>
      </c>
      <c r="G243" s="5" t="s">
        <v>5109</v>
      </c>
      <c r="H243" s="5" t="s">
        <v>5110</v>
      </c>
      <c r="I243" s="114" t="s">
        <v>5111</v>
      </c>
      <c r="J243" t="str">
        <f>VLOOKUP(C243,FORMGOOGLE,7,FALSE)</f>
        <v>https://drive.google.com/open?id=1q4IZUNINt47SqxLQpXd__FTMvw2kaZGO</v>
      </c>
    </row>
    <row r="244" spans="1:10" ht="15.75" thickBot="1" x14ac:dyDescent="0.3">
      <c r="A244" s="5" t="s">
        <v>671</v>
      </c>
      <c r="B244" s="119" t="s">
        <v>5036</v>
      </c>
      <c r="C244" s="5" t="s">
        <v>5037</v>
      </c>
      <c r="D244" s="5" t="s">
        <v>2</v>
      </c>
      <c r="E244" s="5" t="s">
        <v>579</v>
      </c>
      <c r="F244" s="121">
        <v>42214</v>
      </c>
      <c r="G244" s="5" t="s">
        <v>3856</v>
      </c>
      <c r="H244" s="5" t="s">
        <v>5038</v>
      </c>
      <c r="I244" s="114" t="s">
        <v>5039</v>
      </c>
      <c r="J244" t="str">
        <f>VLOOKUP(C244,FORMGOOGLE,7,FALSE)</f>
        <v>https://drive.google.com/open?id=1HTAjVAQgj_8OSj3zb9ldUm8P76GVwH0r</v>
      </c>
    </row>
    <row r="245" spans="1:10" ht="15.75" thickBot="1" x14ac:dyDescent="0.3">
      <c r="A245" s="5" t="s">
        <v>671</v>
      </c>
      <c r="B245" s="118" t="s">
        <v>5163</v>
      </c>
      <c r="C245" s="5" t="s">
        <v>5066</v>
      </c>
      <c r="D245" s="5" t="s">
        <v>2</v>
      </c>
      <c r="E245" s="5" t="s">
        <v>10</v>
      </c>
      <c r="F245" s="121">
        <v>42057</v>
      </c>
      <c r="G245" s="5" t="s">
        <v>5080</v>
      </c>
      <c r="H245" s="5" t="s">
        <v>5067</v>
      </c>
      <c r="I245" s="114" t="s">
        <v>5164</v>
      </c>
      <c r="J245" t="str">
        <f>VLOOKUP(C245,FORMGOOGLE,7,FALSE)</f>
        <v>https://drive.google.com/open?id=1mXLX3Cq3FiNeoLr6kiBq9RAdAgEHrBq-</v>
      </c>
    </row>
    <row r="246" spans="1:10" ht="15.75" thickBot="1" x14ac:dyDescent="0.3">
      <c r="A246" s="5" t="s">
        <v>671</v>
      </c>
      <c r="B246" s="118" t="s">
        <v>5206</v>
      </c>
      <c r="C246" s="5" t="s">
        <v>5207</v>
      </c>
      <c r="D246" s="5" t="s">
        <v>66</v>
      </c>
      <c r="E246" s="11" t="s">
        <v>5208</v>
      </c>
      <c r="F246" s="121">
        <v>41481</v>
      </c>
      <c r="G246" s="5" t="s">
        <v>5209</v>
      </c>
      <c r="H246" s="5" t="s">
        <v>5210</v>
      </c>
      <c r="I246" s="114" t="s">
        <v>5211</v>
      </c>
      <c r="J246" t="str">
        <f>VLOOKUP(C246,FORMGOOGLE,7,FALSE)</f>
        <v>https://drive.google.com/open?id=1rmeCf9iuiwVyRXADSqkUqOfEI07ItL0g</v>
      </c>
    </row>
    <row r="247" spans="1:10" ht="15.75" thickBot="1" x14ac:dyDescent="0.3">
      <c r="A247" s="5" t="s">
        <v>671</v>
      </c>
      <c r="B247" s="119" t="s">
        <v>5153</v>
      </c>
      <c r="C247" s="5" t="s">
        <v>5154</v>
      </c>
      <c r="D247" s="5" t="s">
        <v>66</v>
      </c>
      <c r="E247" s="5" t="s">
        <v>10</v>
      </c>
      <c r="F247" s="121">
        <v>41198</v>
      </c>
      <c r="G247" s="5" t="s">
        <v>5151</v>
      </c>
      <c r="H247" s="5" t="s">
        <v>5152</v>
      </c>
      <c r="I247" s="114" t="s">
        <v>5155</v>
      </c>
      <c r="J247" t="str">
        <f>VLOOKUP(C247,FORMGOOGLE,7,FALSE)</f>
        <v>https://drive.google.com/open?id=1rMo2z30NwE0MTtEdB8UVs5G_iR3tzc-g</v>
      </c>
    </row>
    <row r="248" spans="1:10" ht="15.75" thickBot="1" x14ac:dyDescent="0.3">
      <c r="A248" s="5" t="s">
        <v>671</v>
      </c>
      <c r="B248" s="118" t="s">
        <v>5140</v>
      </c>
      <c r="C248" s="5" t="s">
        <v>5141</v>
      </c>
      <c r="D248" s="5" t="s">
        <v>66</v>
      </c>
      <c r="E248" s="5" t="s">
        <v>10</v>
      </c>
      <c r="F248" s="121">
        <v>41773</v>
      </c>
      <c r="G248" s="5" t="s">
        <v>5142</v>
      </c>
      <c r="H248" s="5" t="s">
        <v>5143</v>
      </c>
      <c r="I248" s="114" t="s">
        <v>5144</v>
      </c>
      <c r="J248" t="str">
        <f>VLOOKUP(C248,FORMGOOGLE,7,FALSE)</f>
        <v>https://drive.google.com/open?id=1nQGy-IZMIAa7LvDWQoUX7pU2Un-B9wPt</v>
      </c>
    </row>
    <row r="249" spans="1:10" ht="15.75" thickBot="1" x14ac:dyDescent="0.3">
      <c r="A249" s="5" t="s">
        <v>671</v>
      </c>
      <c r="B249" s="118" t="s">
        <v>5072</v>
      </c>
      <c r="C249" s="5" t="s">
        <v>5073</v>
      </c>
      <c r="D249" s="5" t="s">
        <v>2</v>
      </c>
      <c r="E249" s="5" t="s">
        <v>10</v>
      </c>
      <c r="F249" s="121">
        <v>41641</v>
      </c>
      <c r="G249" s="5" t="s">
        <v>5074</v>
      </c>
      <c r="H249" s="5" t="s">
        <v>5075</v>
      </c>
      <c r="I249" s="114" t="s">
        <v>5076</v>
      </c>
      <c r="J249" t="str">
        <f>VLOOKUP(C249,FORMGOOGLE,7,FALSE)</f>
        <v>https://drive.google.com/open?id=1yVFvSTM81-0ZNzPhPuiRuB7hheHi8uLy</v>
      </c>
    </row>
    <row r="250" spans="1:10" ht="15.75" thickBot="1" x14ac:dyDescent="0.3">
      <c r="A250" s="6" t="s">
        <v>342</v>
      </c>
      <c r="B250" s="6" t="s">
        <v>855</v>
      </c>
      <c r="C250" s="6" t="s">
        <v>856</v>
      </c>
      <c r="D250" s="6" t="s">
        <v>2</v>
      </c>
      <c r="E250" s="6" t="s">
        <v>204</v>
      </c>
      <c r="F250" s="122">
        <v>42456</v>
      </c>
      <c r="G250" s="6" t="s">
        <v>857</v>
      </c>
      <c r="H250" s="6" t="s">
        <v>858</v>
      </c>
      <c r="I250" s="114" t="s">
        <v>859</v>
      </c>
      <c r="J250" t="str">
        <f>VLOOKUP(C250,FORMGOOGLE,7,FALSE)</f>
        <v>https://drive.google.com/open?id=1kRUWl1R8YywkvxG2zUpjy5_zEHsUUard</v>
      </c>
    </row>
    <row r="251" spans="1:10" ht="15.75" thickBot="1" x14ac:dyDescent="0.3">
      <c r="A251" s="6" t="s">
        <v>342</v>
      </c>
      <c r="B251" s="6" t="s">
        <v>2006</v>
      </c>
      <c r="C251" s="6" t="s">
        <v>856</v>
      </c>
      <c r="D251" s="6" t="s">
        <v>2</v>
      </c>
      <c r="E251" s="6" t="s">
        <v>204</v>
      </c>
      <c r="F251" s="122">
        <v>42456</v>
      </c>
      <c r="G251" s="6" t="s">
        <v>857</v>
      </c>
      <c r="H251" s="6" t="s">
        <v>858</v>
      </c>
      <c r="I251" s="114" t="s">
        <v>3170</v>
      </c>
      <c r="J251" t="str">
        <f>VLOOKUP(C251,FORMGOOGLE,7,FALSE)</f>
        <v>https://drive.google.com/open?id=1kRUWl1R8YywkvxG2zUpjy5_zEHsUUard</v>
      </c>
    </row>
    <row r="252" spans="1:10" ht="15.75" thickBot="1" x14ac:dyDescent="0.3">
      <c r="A252" s="6" t="s">
        <v>342</v>
      </c>
      <c r="B252" s="6" t="s">
        <v>338</v>
      </c>
      <c r="C252" s="6" t="s">
        <v>339</v>
      </c>
      <c r="D252" s="6" t="s">
        <v>66</v>
      </c>
      <c r="E252" s="6" t="s">
        <v>28</v>
      </c>
      <c r="F252" s="122">
        <v>41405</v>
      </c>
      <c r="G252" s="6" t="s">
        <v>1289</v>
      </c>
      <c r="H252" s="6" t="s">
        <v>340</v>
      </c>
      <c r="I252" s="114" t="s">
        <v>341</v>
      </c>
      <c r="J252" t="str">
        <f>VLOOKUP(C252,FORMGOOGLE,7,FALSE)</f>
        <v>https://drive.google.com/open?id=1KQuO5b8LJslak9xPO8NLAwAtFV3OIQfx</v>
      </c>
    </row>
    <row r="253" spans="1:10" ht="15.75" thickBot="1" x14ac:dyDescent="0.3">
      <c r="A253" s="6" t="s">
        <v>342</v>
      </c>
      <c r="B253" s="6" t="s">
        <v>5058</v>
      </c>
      <c r="C253" s="6" t="s">
        <v>5059</v>
      </c>
      <c r="D253" s="6" t="s">
        <v>2</v>
      </c>
      <c r="E253" s="6" t="s">
        <v>28</v>
      </c>
      <c r="F253" s="122">
        <v>42229</v>
      </c>
      <c r="G253" s="6" t="s">
        <v>5060</v>
      </c>
      <c r="H253" s="6" t="s">
        <v>5061</v>
      </c>
      <c r="I253" s="114" t="s">
        <v>5062</v>
      </c>
      <c r="J253" t="str">
        <f>VLOOKUP(C253,FORMGOOGLE,7,FALSE)</f>
        <v>https://drive.google.com/open?id=1JNG9Jc-VoqpvAjP_c_CpuHJDQE3Dvhr0</v>
      </c>
    </row>
    <row r="254" spans="1:10" ht="15.75" thickBot="1" x14ac:dyDescent="0.3">
      <c r="A254" s="6" t="s">
        <v>342</v>
      </c>
      <c r="B254" s="6" t="s">
        <v>5058</v>
      </c>
      <c r="C254" s="6" t="s">
        <v>5059</v>
      </c>
      <c r="D254" s="6" t="s">
        <v>2</v>
      </c>
      <c r="E254" s="6" t="s">
        <v>28</v>
      </c>
      <c r="F254" s="122">
        <v>42229</v>
      </c>
      <c r="G254" s="6" t="s">
        <v>5060</v>
      </c>
      <c r="H254" s="6" t="s">
        <v>5061</v>
      </c>
      <c r="I254" s="114" t="s">
        <v>5062</v>
      </c>
      <c r="J254" t="str">
        <f>VLOOKUP(C254,FORMGOOGLE,7,FALSE)</f>
        <v>https://drive.google.com/open?id=1JNG9Jc-VoqpvAjP_c_CpuHJDQE3Dvhr0</v>
      </c>
    </row>
    <row r="255" spans="1:10" ht="15.75" thickBot="1" x14ac:dyDescent="0.3">
      <c r="A255" s="6" t="s">
        <v>342</v>
      </c>
      <c r="B255" s="6" t="s">
        <v>5068</v>
      </c>
      <c r="C255" s="6" t="s">
        <v>5059</v>
      </c>
      <c r="D255" s="6" t="s">
        <v>2</v>
      </c>
      <c r="E255" s="6" t="s">
        <v>5069</v>
      </c>
      <c r="F255" s="122">
        <v>42231</v>
      </c>
      <c r="G255" s="6" t="s">
        <v>5070</v>
      </c>
      <c r="H255" s="6" t="s">
        <v>5061</v>
      </c>
      <c r="I255" s="114" t="s">
        <v>5071</v>
      </c>
      <c r="J255" t="str">
        <f>VLOOKUP(C255,FORMGOOGLE,7,FALSE)</f>
        <v>https://drive.google.com/open?id=1JNG9Jc-VoqpvAjP_c_CpuHJDQE3Dvhr0</v>
      </c>
    </row>
    <row r="256" spans="1:10" ht="15.75" thickBot="1" x14ac:dyDescent="0.3">
      <c r="A256" s="5" t="s">
        <v>490</v>
      </c>
      <c r="B256" s="118" t="s">
        <v>5029</v>
      </c>
      <c r="C256" s="5" t="s">
        <v>5013</v>
      </c>
      <c r="D256" s="5" t="s">
        <v>2</v>
      </c>
      <c r="E256" s="5" t="s">
        <v>59</v>
      </c>
      <c r="F256" s="121">
        <v>42725</v>
      </c>
      <c r="G256" s="5" t="s">
        <v>5030</v>
      </c>
      <c r="H256" s="5" t="s">
        <v>5014</v>
      </c>
      <c r="I256" s="114" t="s">
        <v>5031</v>
      </c>
      <c r="J256" t="str">
        <f>VLOOKUP(C256,FORMGOOGLE,7,FALSE)</f>
        <v>https://drive.google.com/open?id=1ta_OlEK5JhDiJIUxVmY_nT4MaZv87c89</v>
      </c>
    </row>
    <row r="257" spans="1:10" ht="15.75" thickBot="1" x14ac:dyDescent="0.3">
      <c r="A257" s="5" t="s">
        <v>490</v>
      </c>
      <c r="B257" s="119" t="s">
        <v>4989</v>
      </c>
      <c r="C257" s="5" t="s">
        <v>4990</v>
      </c>
      <c r="D257" s="5" t="s">
        <v>2</v>
      </c>
      <c r="E257" s="5" t="s">
        <v>10</v>
      </c>
      <c r="F257" s="121">
        <v>42484</v>
      </c>
      <c r="G257" s="5" t="s">
        <v>4991</v>
      </c>
      <c r="H257" s="5" t="s">
        <v>266</v>
      </c>
      <c r="I257" s="114" t="s">
        <v>4992</v>
      </c>
      <c r="J257" t="str">
        <f>VLOOKUP(C257,FORMGOOGLE,7,FALSE)</f>
        <v>https://drive.google.com/open?id=1h45p8GOai0EtLznZSGUznu6vIteYzxsO</v>
      </c>
    </row>
    <row r="258" spans="1:10" ht="15.75" thickBot="1" x14ac:dyDescent="0.3">
      <c r="A258" s="5" t="s">
        <v>490</v>
      </c>
      <c r="B258" s="119" t="s">
        <v>5165</v>
      </c>
      <c r="C258" s="5" t="s">
        <v>3323</v>
      </c>
      <c r="D258" s="5" t="s">
        <v>2</v>
      </c>
      <c r="E258" s="5" t="s">
        <v>28</v>
      </c>
      <c r="F258" s="121">
        <v>42868</v>
      </c>
      <c r="G258" s="5" t="s">
        <v>5166</v>
      </c>
      <c r="H258" s="5" t="s">
        <v>5167</v>
      </c>
      <c r="I258" s="114" t="s">
        <v>5168</v>
      </c>
      <c r="J258" t="str">
        <f>VLOOKUP(C258,FORMGOOGLE,7,FALSE)</f>
        <v>https://drive.google.com/open?id=1SvWmwKQtYLGqhi0Dcvzefz2g6t1Z35OM</v>
      </c>
    </row>
    <row r="259" spans="1:10" ht="15.75" thickBot="1" x14ac:dyDescent="0.3">
      <c r="A259" s="5" t="s">
        <v>490</v>
      </c>
      <c r="B259" s="118" t="s">
        <v>4984</v>
      </c>
      <c r="C259" s="5" t="s">
        <v>4985</v>
      </c>
      <c r="D259" s="5" t="s">
        <v>2</v>
      </c>
      <c r="E259" s="5" t="s">
        <v>10</v>
      </c>
      <c r="F259" s="121">
        <v>42602</v>
      </c>
      <c r="G259" s="5" t="s">
        <v>4986</v>
      </c>
      <c r="H259" s="5" t="s">
        <v>4987</v>
      </c>
      <c r="I259" s="114" t="s">
        <v>4988</v>
      </c>
      <c r="J259" t="str">
        <f>VLOOKUP(C259,FORMGOOGLE,7,FALSE)</f>
        <v>https://drive.google.com/open?id=1NizjICQtP7cOfLykBOq33Jy9vKvVnlQs</v>
      </c>
    </row>
    <row r="260" spans="1:10" ht="15.75" thickBot="1" x14ac:dyDescent="0.3">
      <c r="A260" s="5" t="s">
        <v>490</v>
      </c>
      <c r="B260" s="119" t="s">
        <v>491</v>
      </c>
      <c r="C260" s="5" t="s">
        <v>492</v>
      </c>
      <c r="D260" s="5" t="s">
        <v>66</v>
      </c>
      <c r="E260" s="5" t="s">
        <v>10</v>
      </c>
      <c r="F260" s="121">
        <v>41917</v>
      </c>
      <c r="G260" s="5" t="s">
        <v>493</v>
      </c>
      <c r="H260" s="5" t="s">
        <v>494</v>
      </c>
      <c r="I260" s="114" t="s">
        <v>495</v>
      </c>
      <c r="J260" t="str">
        <f>VLOOKUP(C260,FORMGOOGLE,7,FALSE)</f>
        <v>https://drive.google.com/open?id=1GwkDE1f73cPaXB1PxzaBKpnPtWLzslVJ</v>
      </c>
    </row>
    <row r="261" spans="1:10" ht="15.75" thickBot="1" x14ac:dyDescent="0.3">
      <c r="A261" s="5" t="s">
        <v>490</v>
      </c>
      <c r="B261" s="119" t="s">
        <v>4735</v>
      </c>
      <c r="C261" s="5" t="s">
        <v>2974</v>
      </c>
      <c r="D261" s="5" t="s">
        <v>2</v>
      </c>
      <c r="E261" s="5" t="s">
        <v>28</v>
      </c>
      <c r="F261" s="121">
        <v>41965</v>
      </c>
      <c r="G261" s="5" t="s">
        <v>2975</v>
      </c>
      <c r="H261" s="5" t="s">
        <v>2976</v>
      </c>
      <c r="I261" s="114" t="s">
        <v>4736</v>
      </c>
      <c r="J261" t="str">
        <f>VLOOKUP(C261,FORMGOOGLE,7,FALSE)</f>
        <v>https://drive.google.com/open?id=1_j6DB0qigK7AJj42gAozVSyhEnB1eZva</v>
      </c>
    </row>
    <row r="262" spans="1:10" ht="15.75" thickBot="1" x14ac:dyDescent="0.3">
      <c r="A262" s="5" t="s">
        <v>490</v>
      </c>
      <c r="B262" s="118" t="s">
        <v>4930</v>
      </c>
      <c r="C262" s="5" t="s">
        <v>4931</v>
      </c>
      <c r="D262" s="5" t="s">
        <v>2</v>
      </c>
      <c r="E262" s="5" t="s">
        <v>10</v>
      </c>
      <c r="F262" s="121">
        <v>42487</v>
      </c>
      <c r="G262" s="5" t="s">
        <v>4932</v>
      </c>
      <c r="H262" s="5" t="s">
        <v>4933</v>
      </c>
      <c r="I262" s="114" t="s">
        <v>4934</v>
      </c>
      <c r="J262" t="str">
        <f>VLOOKUP(C262,FORMGOOGLE,7,FALSE)</f>
        <v>https://drive.google.com/open?id=1ezYd82WyVuIZ-saJM2NLvQmE8kd_YCpc</v>
      </c>
    </row>
    <row r="263" spans="1:10" ht="15.75" thickBot="1" x14ac:dyDescent="0.3">
      <c r="A263" s="5" t="s">
        <v>490</v>
      </c>
      <c r="B263" s="118" t="s">
        <v>5102</v>
      </c>
      <c r="C263" s="5" t="s">
        <v>5103</v>
      </c>
      <c r="D263" s="5" t="s">
        <v>2</v>
      </c>
      <c r="E263" s="5" t="s">
        <v>10</v>
      </c>
      <c r="F263" s="121">
        <v>42498</v>
      </c>
      <c r="G263" s="5" t="s">
        <v>5104</v>
      </c>
      <c r="H263" s="5" t="s">
        <v>5105</v>
      </c>
      <c r="I263" s="114" t="s">
        <v>5106</v>
      </c>
      <c r="J263" t="str">
        <f>VLOOKUP(C263,FORMGOOGLE,7,FALSE)</f>
        <v>https://drive.google.com/open?id=1XQhTESXfKCIRojjGXImCh8Ecqc4HPh1i</v>
      </c>
    </row>
    <row r="264" spans="1:10" ht="15.75" thickBot="1" x14ac:dyDescent="0.3">
      <c r="A264" s="5" t="s">
        <v>490</v>
      </c>
      <c r="B264" s="118" t="s">
        <v>501</v>
      </c>
      <c r="C264" s="5" t="s">
        <v>502</v>
      </c>
      <c r="D264" s="5" t="s">
        <v>66</v>
      </c>
      <c r="E264" s="5" t="s">
        <v>10</v>
      </c>
      <c r="F264" s="121">
        <v>41708</v>
      </c>
      <c r="G264" s="5" t="s">
        <v>503</v>
      </c>
      <c r="H264" s="5" t="s">
        <v>504</v>
      </c>
      <c r="I264" s="114" t="s">
        <v>505</v>
      </c>
      <c r="J264" t="str">
        <f>VLOOKUP(C264,FORMGOOGLE,7,FALSE)</f>
        <v>https://drive.google.com/open?id=1nrhw_0a66hb_8AGJh4SGNbl1jyEwuIsW</v>
      </c>
    </row>
    <row r="265" spans="1:10" ht="15.75" thickBot="1" x14ac:dyDescent="0.3">
      <c r="A265" s="5" t="s">
        <v>490</v>
      </c>
      <c r="B265" s="118" t="s">
        <v>485</v>
      </c>
      <c r="C265" s="5" t="s">
        <v>486</v>
      </c>
      <c r="D265" s="5" t="s">
        <v>2</v>
      </c>
      <c r="E265" s="5" t="s">
        <v>10</v>
      </c>
      <c r="F265" s="121">
        <v>42134</v>
      </c>
      <c r="G265" s="5" t="s">
        <v>487</v>
      </c>
      <c r="H265" s="5" t="s">
        <v>488</v>
      </c>
      <c r="I265" s="114" t="s">
        <v>489</v>
      </c>
      <c r="J265" t="str">
        <f>VLOOKUP(C265,FORMGOOGLE,7,FALSE)</f>
        <v>https://drive.google.com/open?id=1mLR8w0ehbTr7JkkjSSgin78J7WinvqIs</v>
      </c>
    </row>
    <row r="266" spans="1:10" ht="15.75" thickBot="1" x14ac:dyDescent="0.3">
      <c r="A266" s="5" t="s">
        <v>490</v>
      </c>
      <c r="B266" s="118" t="s">
        <v>5019</v>
      </c>
      <c r="C266" s="5" t="s">
        <v>5020</v>
      </c>
      <c r="D266" s="5" t="s">
        <v>2</v>
      </c>
      <c r="E266" s="5" t="s">
        <v>28</v>
      </c>
      <c r="F266" s="121">
        <v>42469</v>
      </c>
      <c r="G266" s="5" t="s">
        <v>5021</v>
      </c>
      <c r="H266" s="5" t="s">
        <v>5022</v>
      </c>
      <c r="I266" s="114" t="s">
        <v>5023</v>
      </c>
      <c r="J266" t="str">
        <f>VLOOKUP(C266,FORMGOOGLE,7,FALSE)</f>
        <v>https://drive.google.com/open?id=1qV44wpt0XDxEdTnuCf4d9F5zdA8zDrpj</v>
      </c>
    </row>
    <row r="267" spans="1:10" ht="15.75" thickBot="1" x14ac:dyDescent="0.3">
      <c r="A267" s="5" t="s">
        <v>490</v>
      </c>
      <c r="B267" s="118" t="s">
        <v>4921</v>
      </c>
      <c r="C267" s="5" t="s">
        <v>4922</v>
      </c>
      <c r="D267" s="5" t="s">
        <v>2</v>
      </c>
      <c r="E267" s="5" t="s">
        <v>10</v>
      </c>
      <c r="F267" s="121">
        <v>41920</v>
      </c>
      <c r="G267" s="5" t="s">
        <v>4923</v>
      </c>
      <c r="H267" s="5" t="s">
        <v>4924</v>
      </c>
      <c r="I267" s="114" t="s">
        <v>4925</v>
      </c>
      <c r="J267" t="str">
        <f>VLOOKUP(C267,FORMGOOGLE,7,FALSE)</f>
        <v>https://drive.google.com/open?id=1eOqIp1V-ugnrqYD5LYHkcchcrufJESAQ</v>
      </c>
    </row>
    <row r="268" spans="1:10" ht="15.75" thickBot="1" x14ac:dyDescent="0.3">
      <c r="A268" s="5" t="s">
        <v>490</v>
      </c>
      <c r="B268" s="119" t="s">
        <v>5024</v>
      </c>
      <c r="C268" s="5" t="s">
        <v>5025</v>
      </c>
      <c r="D268" s="5" t="s">
        <v>2</v>
      </c>
      <c r="E268" s="5" t="s">
        <v>28</v>
      </c>
      <c r="F268" s="121">
        <v>42614</v>
      </c>
      <c r="G268" s="5" t="s">
        <v>5026</v>
      </c>
      <c r="H268" s="5" t="s">
        <v>5027</v>
      </c>
      <c r="I268" s="114" t="s">
        <v>5028</v>
      </c>
      <c r="J268" t="str">
        <f>VLOOKUP(C268,FORMGOOGLE,7,FALSE)</f>
        <v>https://drive.google.com/open?id=1mg_a_jNX2K48y44W6Y9RFhkFSBsyx6Ga</v>
      </c>
    </row>
    <row r="269" spans="1:10" ht="15.75" thickBot="1" x14ac:dyDescent="0.3">
      <c r="A269" s="5" t="s">
        <v>490</v>
      </c>
      <c r="B269" s="118" t="s">
        <v>4957</v>
      </c>
      <c r="C269" s="5" t="s">
        <v>4958</v>
      </c>
      <c r="D269" s="5" t="s">
        <v>2</v>
      </c>
      <c r="E269" s="5" t="s">
        <v>10</v>
      </c>
      <c r="F269" s="121">
        <v>42282</v>
      </c>
      <c r="G269" s="5" t="s">
        <v>4959</v>
      </c>
      <c r="H269" s="5" t="s">
        <v>3734</v>
      </c>
      <c r="I269" s="114" t="s">
        <v>4960</v>
      </c>
      <c r="J269" t="str">
        <f>VLOOKUP(C269,FORMGOOGLE,7,FALSE)</f>
        <v>https://drive.google.com/open?id=117pT1tPL37O-GpsLz1mRIHCoJ7WX4lJV</v>
      </c>
    </row>
    <row r="270" spans="1:10" ht="15.75" thickBot="1" x14ac:dyDescent="0.3">
      <c r="A270" s="5" t="s">
        <v>490</v>
      </c>
      <c r="B270" s="119" t="s">
        <v>4952</v>
      </c>
      <c r="C270" s="5" t="s">
        <v>4953</v>
      </c>
      <c r="D270" s="5" t="s">
        <v>66</v>
      </c>
      <c r="E270" s="5" t="s">
        <v>10</v>
      </c>
      <c r="F270" s="121">
        <v>41763</v>
      </c>
      <c r="G270" s="5" t="s">
        <v>4954</v>
      </c>
      <c r="H270" s="5" t="s">
        <v>4955</v>
      </c>
      <c r="I270" s="114" t="s">
        <v>4956</v>
      </c>
      <c r="J270" t="str">
        <f>VLOOKUP(C270,FORMGOOGLE,7,FALSE)</f>
        <v>https://drive.google.com/open?id=1uyZyrwQkil7ZXsbVdiQtrHbZS8FxXDGE</v>
      </c>
    </row>
    <row r="271" spans="1:10" ht="15.75" thickBot="1" x14ac:dyDescent="0.3">
      <c r="A271" s="5" t="s">
        <v>490</v>
      </c>
      <c r="B271" s="118" t="s">
        <v>4940</v>
      </c>
      <c r="C271" s="5" t="s">
        <v>4941</v>
      </c>
      <c r="D271" s="5" t="s">
        <v>2</v>
      </c>
      <c r="E271" s="5" t="s">
        <v>10</v>
      </c>
      <c r="F271" s="121">
        <v>42586</v>
      </c>
      <c r="G271" s="5" t="s">
        <v>4942</v>
      </c>
      <c r="H271" s="5" t="s">
        <v>4943</v>
      </c>
      <c r="I271" s="114" t="s">
        <v>4944</v>
      </c>
      <c r="J271" t="str">
        <f>VLOOKUP(C271,FORMGOOGLE,7,FALSE)</f>
        <v>https://drive.google.com/open?id=1hKO-k_5f4mifGO_nnlj6peokVqzVUnKq</v>
      </c>
    </row>
    <row r="272" spans="1:10" ht="15.75" thickBot="1" x14ac:dyDescent="0.3">
      <c r="A272" s="5" t="s">
        <v>490</v>
      </c>
      <c r="B272" s="118" t="s">
        <v>4975</v>
      </c>
      <c r="C272" s="5" t="s">
        <v>4976</v>
      </c>
      <c r="D272" s="5" t="s">
        <v>2</v>
      </c>
      <c r="E272" s="5" t="s">
        <v>10</v>
      </c>
      <c r="F272" s="121">
        <v>42806</v>
      </c>
      <c r="G272" s="5" t="s">
        <v>4977</v>
      </c>
      <c r="H272" s="5" t="s">
        <v>2505</v>
      </c>
      <c r="I272" s="114" t="s">
        <v>4978</v>
      </c>
      <c r="J272" t="str">
        <f>VLOOKUP(C272,FORMGOOGLE,7,FALSE)</f>
        <v>https://drive.google.com/open?id=1gj8O-ZCAxxYnkzkYg68_yHDJRa77Cbf1</v>
      </c>
    </row>
    <row r="273" spans="1:10" ht="15.75" thickBot="1" x14ac:dyDescent="0.3">
      <c r="A273" s="5" t="s">
        <v>14</v>
      </c>
      <c r="B273" s="119" t="s">
        <v>458</v>
      </c>
      <c r="C273" s="5" t="s">
        <v>459</v>
      </c>
      <c r="D273" s="5" t="s">
        <v>2</v>
      </c>
      <c r="E273" s="5" t="s">
        <v>28</v>
      </c>
      <c r="F273" s="121">
        <v>41599</v>
      </c>
      <c r="G273" s="5" t="s">
        <v>460</v>
      </c>
      <c r="H273" s="5" t="s">
        <v>461</v>
      </c>
      <c r="I273" s="114" t="s">
        <v>462</v>
      </c>
      <c r="J273" t="str">
        <f>VLOOKUP(C273,FORMGOOGLE,7,FALSE)</f>
        <v>https://drive.google.com/open?id=13BgRupaXjFWMGvBMOeHShfiUjNb4_Iz7</v>
      </c>
    </row>
    <row r="274" spans="1:10" ht="15.75" thickBot="1" x14ac:dyDescent="0.3">
      <c r="A274" s="5" t="s">
        <v>14</v>
      </c>
      <c r="B274" s="119" t="s">
        <v>391</v>
      </c>
      <c r="C274" s="5" t="s">
        <v>392</v>
      </c>
      <c r="D274" s="5" t="s">
        <v>2</v>
      </c>
      <c r="E274" s="5" t="s">
        <v>10</v>
      </c>
      <c r="F274" s="121">
        <v>41889</v>
      </c>
      <c r="G274" s="5" t="s">
        <v>393</v>
      </c>
      <c r="H274" s="5" t="s">
        <v>394</v>
      </c>
      <c r="I274" s="114" t="s">
        <v>395</v>
      </c>
      <c r="J274" t="str">
        <f>VLOOKUP(C274,FORMGOOGLE,7,FALSE)</f>
        <v>https://drive.google.com/open?id=1NamK3-RoRoqoHltzOfEB5hpZlZSZiJmj</v>
      </c>
    </row>
    <row r="275" spans="1:10" ht="15.75" thickBot="1" x14ac:dyDescent="0.3">
      <c r="A275" s="5" t="s">
        <v>14</v>
      </c>
      <c r="B275" s="119" t="s">
        <v>279</v>
      </c>
      <c r="C275" s="5" t="s">
        <v>280</v>
      </c>
      <c r="D275" s="5" t="s">
        <v>66</v>
      </c>
      <c r="E275" s="5" t="s">
        <v>28</v>
      </c>
      <c r="F275" s="121">
        <v>42022</v>
      </c>
      <c r="G275" s="5" t="s">
        <v>281</v>
      </c>
      <c r="H275" s="5" t="s">
        <v>282</v>
      </c>
      <c r="I275" s="114" t="s">
        <v>283</v>
      </c>
      <c r="J275" t="str">
        <f>VLOOKUP(C275,FORMGOOGLE,7,FALSE)</f>
        <v>https://drive.google.com/open?id=1ZlGNkOiVxAQSBR6l42nD-P2b9zftDtG2</v>
      </c>
    </row>
    <row r="276" spans="1:10" ht="15.75" thickBot="1" x14ac:dyDescent="0.3">
      <c r="A276" s="5" t="s">
        <v>14</v>
      </c>
      <c r="B276" s="119" t="s">
        <v>333</v>
      </c>
      <c r="C276" s="5" t="s">
        <v>334</v>
      </c>
      <c r="D276" s="5" t="s">
        <v>66</v>
      </c>
      <c r="E276" s="5" t="s">
        <v>10</v>
      </c>
      <c r="F276" s="121">
        <v>42774</v>
      </c>
      <c r="G276" s="5" t="s">
        <v>335</v>
      </c>
      <c r="H276" s="5" t="s">
        <v>336</v>
      </c>
      <c r="I276" s="114" t="s">
        <v>337</v>
      </c>
      <c r="J276" t="str">
        <f>VLOOKUP(C276,FORMGOOGLE,7,FALSE)</f>
        <v>https://drive.google.com/open?id=1S9itZYo6XSJP8cAl3eLy7ahkuJw1QHqN</v>
      </c>
    </row>
    <row r="277" spans="1:10" ht="15.75" thickBot="1" x14ac:dyDescent="0.3">
      <c r="A277" s="5" t="s">
        <v>14</v>
      </c>
      <c r="B277" s="119" t="s">
        <v>401</v>
      </c>
      <c r="C277" s="5" t="s">
        <v>16</v>
      </c>
      <c r="D277" s="5" t="s">
        <v>2</v>
      </c>
      <c r="E277" s="5" t="s">
        <v>402</v>
      </c>
      <c r="F277" s="121">
        <v>41776</v>
      </c>
      <c r="G277" s="5" t="s">
        <v>403</v>
      </c>
      <c r="H277" s="5" t="s">
        <v>404</v>
      </c>
      <c r="I277" s="114" t="s">
        <v>405</v>
      </c>
      <c r="J277" t="str">
        <f>VLOOKUP(C277,FORMGOOGLE,7,FALSE)</f>
        <v>https://drive.google.com/open?id=1-nHm9EXUgpOrxGSEEER_gd2MzcM0-AUU</v>
      </c>
    </row>
    <row r="278" spans="1:10" ht="15.75" thickBot="1" x14ac:dyDescent="0.3">
      <c r="A278" s="5" t="s">
        <v>14</v>
      </c>
      <c r="B278" s="118" t="s">
        <v>353</v>
      </c>
      <c r="C278" s="5" t="s">
        <v>354</v>
      </c>
      <c r="D278" s="5" t="s">
        <v>66</v>
      </c>
      <c r="E278" s="5" t="s">
        <v>10</v>
      </c>
      <c r="F278" s="121">
        <v>41756</v>
      </c>
      <c r="G278" s="5" t="s">
        <v>355</v>
      </c>
      <c r="H278" s="5" t="s">
        <v>356</v>
      </c>
      <c r="I278" s="114" t="s">
        <v>357</v>
      </c>
      <c r="J278" t="str">
        <f>VLOOKUP(C278,FORMGOOGLE,7,FALSE)</f>
        <v>https://drive.google.com/open?id=1YoB_LfvFSJkdRfIgNvEHJrJ82JJVtzLq</v>
      </c>
    </row>
    <row r="279" spans="1:10" ht="15.75" thickBot="1" x14ac:dyDescent="0.3">
      <c r="A279" s="5" t="s">
        <v>14</v>
      </c>
      <c r="B279" s="118" t="s">
        <v>416</v>
      </c>
      <c r="C279" s="5" t="s">
        <v>417</v>
      </c>
      <c r="D279" s="5" t="s">
        <v>2</v>
      </c>
      <c r="E279" s="5" t="s">
        <v>28</v>
      </c>
      <c r="F279" s="121">
        <v>41702</v>
      </c>
      <c r="G279" s="5" t="s">
        <v>418</v>
      </c>
      <c r="H279" s="5" t="s">
        <v>419</v>
      </c>
      <c r="I279" s="114" t="s">
        <v>420</v>
      </c>
      <c r="J279" t="str">
        <f>VLOOKUP(C279,FORMGOOGLE,7,FALSE)</f>
        <v>https://drive.google.com/open?id=11FypsBoZ20PagvxHBS7rWPoyQ1Xdbsja</v>
      </c>
    </row>
    <row r="280" spans="1:10" ht="15.75" thickBot="1" x14ac:dyDescent="0.3">
      <c r="A280" s="5" t="s">
        <v>14</v>
      </c>
      <c r="B280" s="119" t="s">
        <v>300</v>
      </c>
      <c r="C280" s="5" t="s">
        <v>301</v>
      </c>
      <c r="D280" s="5" t="s">
        <v>2</v>
      </c>
      <c r="E280" s="5" t="s">
        <v>10</v>
      </c>
      <c r="F280" s="121">
        <v>42367</v>
      </c>
      <c r="G280" s="5" t="s">
        <v>302</v>
      </c>
      <c r="H280" s="5" t="s">
        <v>303</v>
      </c>
      <c r="I280" s="114" t="s">
        <v>304</v>
      </c>
      <c r="J280" t="str">
        <f>VLOOKUP(C280,FORMGOOGLE,7,FALSE)</f>
        <v>https://drive.google.com/open?id=1UtVdy_RjMIhep5DDkvzLWLhsmyIAbNsL</v>
      </c>
    </row>
    <row r="281" spans="1:10" ht="15.75" thickBot="1" x14ac:dyDescent="0.3">
      <c r="A281" s="5" t="s">
        <v>14</v>
      </c>
      <c r="B281" s="118" t="s">
        <v>442</v>
      </c>
      <c r="C281" s="5" t="s">
        <v>443</v>
      </c>
      <c r="D281" s="5" t="s">
        <v>2</v>
      </c>
      <c r="E281" s="5" t="s">
        <v>315</v>
      </c>
      <c r="F281" s="121">
        <v>42181</v>
      </c>
      <c r="G281" s="5" t="s">
        <v>444</v>
      </c>
      <c r="H281" s="5" t="s">
        <v>194</v>
      </c>
      <c r="I281" s="114" t="s">
        <v>445</v>
      </c>
      <c r="J281" t="str">
        <f>VLOOKUP(C281,FORMGOOGLE,7,FALSE)</f>
        <v>https://drive.google.com/open?id=11nEfu10yfIuIviluH4OzlFUgCGZHMsOL</v>
      </c>
    </row>
    <row r="282" spans="1:10" ht="15.75" thickBot="1" x14ac:dyDescent="0.3">
      <c r="A282" s="5" t="s">
        <v>14</v>
      </c>
      <c r="B282" s="118" t="s">
        <v>463</v>
      </c>
      <c r="C282" s="5" t="s">
        <v>464</v>
      </c>
      <c r="D282" s="5" t="s">
        <v>2</v>
      </c>
      <c r="E282" s="5" t="s">
        <v>28</v>
      </c>
      <c r="F282" s="121">
        <v>42256</v>
      </c>
      <c r="G282" s="5" t="s">
        <v>465</v>
      </c>
      <c r="H282" s="5" t="s">
        <v>466</v>
      </c>
      <c r="I282" s="114" t="s">
        <v>467</v>
      </c>
      <c r="J282" t="str">
        <f>VLOOKUP(C282,FORMGOOGLE,7,FALSE)</f>
        <v>https://drive.google.com/open?id=1Sr8nUMFBiAw6xopvWbLeb_RZtjiFSJDs</v>
      </c>
    </row>
    <row r="283" spans="1:10" ht="15.75" thickBot="1" x14ac:dyDescent="0.3">
      <c r="A283" s="5" t="s">
        <v>14</v>
      </c>
      <c r="B283" s="119" t="s">
        <v>5015</v>
      </c>
      <c r="C283" s="5" t="s">
        <v>339</v>
      </c>
      <c r="D283" s="5" t="s">
        <v>66</v>
      </c>
      <c r="E283" s="5" t="s">
        <v>28</v>
      </c>
      <c r="F283" s="121">
        <v>41405</v>
      </c>
      <c r="G283" s="5" t="s">
        <v>5016</v>
      </c>
      <c r="H283" s="5" t="s">
        <v>5017</v>
      </c>
      <c r="I283" s="114" t="s">
        <v>5018</v>
      </c>
      <c r="J283" t="str">
        <f>VLOOKUP(C283,FORMGOOGLE,7,FALSE)</f>
        <v>https://drive.google.com/open?id=1KQuO5b8LJslak9xPO8NLAwAtFV3OIQfx</v>
      </c>
    </row>
    <row r="284" spans="1:10" ht="15.75" thickBot="1" x14ac:dyDescent="0.3">
      <c r="A284" s="5" t="s">
        <v>14</v>
      </c>
      <c r="B284" s="118" t="s">
        <v>295</v>
      </c>
      <c r="C284" s="5" t="s">
        <v>296</v>
      </c>
      <c r="D284" s="5" t="s">
        <v>2</v>
      </c>
      <c r="E284" s="5" t="s">
        <v>10</v>
      </c>
      <c r="F284" s="121">
        <v>41644</v>
      </c>
      <c r="G284" s="5" t="s">
        <v>297</v>
      </c>
      <c r="H284" s="5" t="s">
        <v>298</v>
      </c>
      <c r="I284" s="114" t="s">
        <v>299</v>
      </c>
      <c r="J284" t="str">
        <f>VLOOKUP(C284,FORMGOOGLE,7,FALSE)</f>
        <v>https://drive.google.com/open?id=1kP52y2Rm7ZGrAQVe9fX6z0qCNskgdVEC</v>
      </c>
    </row>
    <row r="285" spans="1:10" ht="15.75" thickBot="1" x14ac:dyDescent="0.3">
      <c r="A285" s="5" t="s">
        <v>14</v>
      </c>
      <c r="B285" s="119" t="s">
        <v>421</v>
      </c>
      <c r="C285" s="5" t="s">
        <v>422</v>
      </c>
      <c r="D285" s="5" t="s">
        <v>2</v>
      </c>
      <c r="E285" s="11" t="s">
        <v>423</v>
      </c>
      <c r="F285" s="121">
        <v>41644</v>
      </c>
      <c r="G285" s="5" t="s">
        <v>297</v>
      </c>
      <c r="H285" s="5" t="s">
        <v>298</v>
      </c>
      <c r="I285" s="114" t="s">
        <v>424</v>
      </c>
      <c r="J285" t="str">
        <f>VLOOKUP(C285,FORMGOOGLE,7,FALSE)</f>
        <v>https://drive.google.com/open?id=1kP52y2Rm7ZGrAQVe9fX6z0qCNskgdVEC</v>
      </c>
    </row>
    <row r="286" spans="1:10" ht="15.75" thickBot="1" x14ac:dyDescent="0.3">
      <c r="A286" s="5" t="s">
        <v>14</v>
      </c>
      <c r="B286" s="119" t="s">
        <v>411</v>
      </c>
      <c r="C286" s="5" t="s">
        <v>412</v>
      </c>
      <c r="D286" s="5" t="s">
        <v>2</v>
      </c>
      <c r="E286" s="5" t="s">
        <v>59</v>
      </c>
      <c r="F286" s="121">
        <v>41903</v>
      </c>
      <c r="G286" s="5" t="s">
        <v>413</v>
      </c>
      <c r="H286" s="5" t="s">
        <v>414</v>
      </c>
      <c r="I286" s="114" t="s">
        <v>415</v>
      </c>
      <c r="J286" t="str">
        <f>VLOOKUP(C286,FORMGOOGLE,7,FALSE)</f>
        <v>https://drive.google.com/open?id=1_NhMO69_Op17fTUS3dtet3fqctPIUw-k</v>
      </c>
    </row>
    <row r="287" spans="1:10" ht="15.75" thickBot="1" x14ac:dyDescent="0.3">
      <c r="A287" s="5" t="s">
        <v>14</v>
      </c>
      <c r="B287" s="118" t="s">
        <v>396</v>
      </c>
      <c r="C287" s="5" t="s">
        <v>397</v>
      </c>
      <c r="D287" s="5" t="s">
        <v>2</v>
      </c>
      <c r="E287" s="5" t="s">
        <v>10</v>
      </c>
      <c r="F287" s="121">
        <v>42591</v>
      </c>
      <c r="G287" s="5" t="s">
        <v>398</v>
      </c>
      <c r="H287" s="5" t="s">
        <v>399</v>
      </c>
      <c r="I287" s="114" t="s">
        <v>400</v>
      </c>
      <c r="J287" t="str">
        <f>VLOOKUP(C287,FORMGOOGLE,7,FALSE)</f>
        <v>https://drive.google.com/open?id=1L8m_8cl_sFHRLFbZwZzkm7-namnXLEIX</v>
      </c>
    </row>
    <row r="288" spans="1:10" ht="15.75" thickBot="1" x14ac:dyDescent="0.3">
      <c r="A288" s="5" t="s">
        <v>14</v>
      </c>
      <c r="B288" s="118" t="s">
        <v>8</v>
      </c>
      <c r="C288" s="5" t="s">
        <v>9</v>
      </c>
      <c r="D288" s="5" t="s">
        <v>2</v>
      </c>
      <c r="E288" s="5" t="s">
        <v>10</v>
      </c>
      <c r="F288" s="121">
        <v>42501</v>
      </c>
      <c r="G288" s="5" t="s">
        <v>11</v>
      </c>
      <c r="H288" s="5" t="s">
        <v>12</v>
      </c>
      <c r="I288" s="114" t="s">
        <v>13</v>
      </c>
      <c r="J288" t="str">
        <f>VLOOKUP(C288,FORMGOOGLE,7,FALSE)</f>
        <v>https://drive.google.com/open?id=1CxbLWtvE5o0cP9rqTU94xgy6vevWYehK</v>
      </c>
    </row>
    <row r="289" spans="1:10" ht="15.75" thickBot="1" x14ac:dyDescent="0.3">
      <c r="A289" s="5" t="s">
        <v>14</v>
      </c>
      <c r="B289" s="118" t="s">
        <v>320</v>
      </c>
      <c r="C289" s="5" t="s">
        <v>321</v>
      </c>
      <c r="D289" s="5" t="s">
        <v>2</v>
      </c>
      <c r="E289" s="11" t="s">
        <v>322</v>
      </c>
      <c r="F289" s="121">
        <v>42501</v>
      </c>
      <c r="G289" s="5" t="s">
        <v>323</v>
      </c>
      <c r="H289" s="5" t="s">
        <v>324</v>
      </c>
      <c r="I289" s="114" t="s">
        <v>325</v>
      </c>
      <c r="J289" t="str">
        <f>VLOOKUP(C289,FORMGOOGLE,7,FALSE)</f>
        <v>https://drive.google.com/open?id=188LySejn2nonP8yXnS7kCg4ra4DoxsYv</v>
      </c>
    </row>
    <row r="290" spans="1:10" ht="15.75" thickBot="1" x14ac:dyDescent="0.3">
      <c r="A290" s="5" t="s">
        <v>14</v>
      </c>
      <c r="B290" s="118" t="s">
        <v>257</v>
      </c>
      <c r="C290" s="5" t="s">
        <v>258</v>
      </c>
      <c r="D290" s="5" t="s">
        <v>2</v>
      </c>
      <c r="E290" s="11" t="s">
        <v>259</v>
      </c>
      <c r="F290" s="121">
        <v>42162</v>
      </c>
      <c r="G290" s="5" t="s">
        <v>260</v>
      </c>
      <c r="H290" s="5" t="s">
        <v>261</v>
      </c>
      <c r="I290" s="114" t="s">
        <v>262</v>
      </c>
      <c r="J290" t="str">
        <f>VLOOKUP(C290,FORMGOOGLE,7,FALSE)</f>
        <v>https://drive.google.com/open?id=1dyGM06YqSkXm9kVYE3yx83iJ5QNzesKx</v>
      </c>
    </row>
    <row r="291" spans="1:10" ht="15.75" thickBot="1" x14ac:dyDescent="0.3">
      <c r="A291" s="5" t="s">
        <v>2008</v>
      </c>
      <c r="B291" s="118" t="s">
        <v>2854</v>
      </c>
      <c r="C291" s="5" t="s">
        <v>2850</v>
      </c>
      <c r="D291" s="5" t="s">
        <v>66</v>
      </c>
      <c r="E291" s="5" t="s">
        <v>28</v>
      </c>
      <c r="F291" s="121">
        <v>42537</v>
      </c>
      <c r="G291" s="5" t="s">
        <v>2851</v>
      </c>
      <c r="H291" s="5" t="s">
        <v>2852</v>
      </c>
      <c r="I291" s="114" t="s">
        <v>3296</v>
      </c>
      <c r="J291" t="str">
        <f>VLOOKUP(C291,FORMGOOGLE,7,FALSE)</f>
        <v>https://drive.google.com/open?id=1tUfGXcLZa4jQWUzq1GWUpokTJAFkpHm5</v>
      </c>
    </row>
    <row r="292" spans="1:10" ht="15.75" thickBot="1" x14ac:dyDescent="0.3">
      <c r="A292" s="5" t="s">
        <v>2008</v>
      </c>
      <c r="B292" s="119" t="s">
        <v>2885</v>
      </c>
      <c r="C292" s="5" t="s">
        <v>2881</v>
      </c>
      <c r="D292" s="5" t="s">
        <v>2</v>
      </c>
      <c r="E292" s="5" t="s">
        <v>365</v>
      </c>
      <c r="F292" s="121">
        <v>42709</v>
      </c>
      <c r="G292" s="5" t="s">
        <v>2882</v>
      </c>
      <c r="H292" s="5" t="s">
        <v>2883</v>
      </c>
      <c r="I292" s="114" t="s">
        <v>3302</v>
      </c>
      <c r="J292" t="str">
        <f>VLOOKUP(C292,FORMGOOGLE,7,FALSE)</f>
        <v>https://drive.google.com/open?id=1Eyl5581CqGS3Hj1msDx0A94BZoOjVC6q</v>
      </c>
    </row>
    <row r="293" spans="1:10" ht="15.75" thickBot="1" x14ac:dyDescent="0.3">
      <c r="A293" s="5" t="s">
        <v>2008</v>
      </c>
      <c r="B293" s="119" t="s">
        <v>2888</v>
      </c>
      <c r="C293" s="5" t="s">
        <v>2009</v>
      </c>
      <c r="D293" s="5" t="s">
        <v>2</v>
      </c>
      <c r="E293" s="5" t="s">
        <v>28</v>
      </c>
      <c r="F293" s="121">
        <v>42131</v>
      </c>
      <c r="G293" s="5" t="s">
        <v>2010</v>
      </c>
      <c r="H293" s="5" t="s">
        <v>2011</v>
      </c>
      <c r="I293" s="114" t="s">
        <v>3303</v>
      </c>
      <c r="J293" t="str">
        <f>VLOOKUP(C293,FORMGOOGLE,7,FALSE)</f>
        <v>https://drive.google.com/open?id=1ppJ7QM1vKk6nfbghKfz0Rm4-ZuVGPbjA</v>
      </c>
    </row>
    <row r="294" spans="1:10" ht="15.75" thickBot="1" x14ac:dyDescent="0.3">
      <c r="A294" s="5" t="s">
        <v>2008</v>
      </c>
      <c r="B294" s="119" t="s">
        <v>2841</v>
      </c>
      <c r="C294" s="5" t="s">
        <v>2837</v>
      </c>
      <c r="D294" s="5" t="s">
        <v>2</v>
      </c>
      <c r="E294" s="5" t="s">
        <v>28</v>
      </c>
      <c r="F294" s="121">
        <v>41926</v>
      </c>
      <c r="G294" s="5" t="s">
        <v>2838</v>
      </c>
      <c r="H294" s="5" t="s">
        <v>2839</v>
      </c>
      <c r="I294" s="114" t="s">
        <v>3294</v>
      </c>
      <c r="J294" t="str">
        <f>VLOOKUP(C294,FORMGOOGLE,7,FALSE)</f>
        <v>https://drive.google.com/open?id=1au1cQBQKh_a-niAevp2l-HwqFUeVMdZP</v>
      </c>
    </row>
    <row r="295" spans="1:10" ht="15.75" thickBot="1" x14ac:dyDescent="0.3">
      <c r="A295" s="5" t="s">
        <v>2008</v>
      </c>
      <c r="B295" s="118" t="s">
        <v>2835</v>
      </c>
      <c r="C295" s="5" t="s">
        <v>2832</v>
      </c>
      <c r="D295" s="5" t="s">
        <v>66</v>
      </c>
      <c r="E295" s="5" t="s">
        <v>28</v>
      </c>
      <c r="F295" s="121">
        <v>41818</v>
      </c>
      <c r="G295" s="5" t="s">
        <v>2833</v>
      </c>
      <c r="H295" s="5" t="s">
        <v>194</v>
      </c>
      <c r="I295" s="114" t="s">
        <v>3293</v>
      </c>
      <c r="J295" t="str">
        <f>VLOOKUP(C295,FORMGOOGLE,7,FALSE)</f>
        <v>https://drive.google.com/open?id=1eXEfsAklstE_jVUK6fyojjB_qt0hV13_</v>
      </c>
    </row>
    <row r="296" spans="1:10" ht="15.75" thickBot="1" x14ac:dyDescent="0.3">
      <c r="A296" s="5" t="s">
        <v>435</v>
      </c>
      <c r="B296" s="118" t="s">
        <v>430</v>
      </c>
      <c r="C296" s="5" t="s">
        <v>431</v>
      </c>
      <c r="D296" s="5" t="s">
        <v>66</v>
      </c>
      <c r="E296" s="5" t="s">
        <v>10</v>
      </c>
      <c r="F296" s="121">
        <v>41619</v>
      </c>
      <c r="G296" s="5" t="s">
        <v>432</v>
      </c>
      <c r="H296" s="5" t="s">
        <v>433</v>
      </c>
      <c r="I296" s="114" t="s">
        <v>434</v>
      </c>
      <c r="J296" t="str">
        <f>VLOOKUP(C296,FORMGOOGLE,7,FALSE)</f>
        <v>https://drive.google.com/open?id=1oqDaHJlZc3VToA6Q-Y17OqwwUbRmPbCU</v>
      </c>
    </row>
    <row r="297" spans="1:10" ht="15.75" thickBot="1" x14ac:dyDescent="0.3">
      <c r="A297" s="5" t="s">
        <v>435</v>
      </c>
      <c r="B297" s="119" t="s">
        <v>860</v>
      </c>
      <c r="C297" s="5" t="s">
        <v>861</v>
      </c>
      <c r="D297" s="5" t="s">
        <v>66</v>
      </c>
      <c r="E297" s="5" t="s">
        <v>28</v>
      </c>
      <c r="F297" s="121">
        <v>42220</v>
      </c>
      <c r="G297" s="5" t="s">
        <v>862</v>
      </c>
      <c r="H297" s="5" t="s">
        <v>863</v>
      </c>
      <c r="I297" s="114" t="s">
        <v>864</v>
      </c>
      <c r="J297" t="str">
        <f>VLOOKUP(C297,FORMGOOGLE,7,FALSE)</f>
        <v>https://drive.google.com/open?id=19W4T_kQRTVZXsx74EUtPPrl_IdXQUzg4</v>
      </c>
    </row>
    <row r="298" spans="1:10" ht="15.75" thickBot="1" x14ac:dyDescent="0.3">
      <c r="A298" s="5" t="s">
        <v>435</v>
      </c>
      <c r="B298" s="119" t="s">
        <v>819</v>
      </c>
      <c r="C298" s="5" t="s">
        <v>820</v>
      </c>
      <c r="D298" s="5" t="s">
        <v>2</v>
      </c>
      <c r="E298" s="5" t="s">
        <v>10</v>
      </c>
      <c r="F298" s="121">
        <v>42102</v>
      </c>
      <c r="G298" s="5" t="s">
        <v>821</v>
      </c>
      <c r="H298" s="5" t="s">
        <v>822</v>
      </c>
      <c r="I298" s="114" t="s">
        <v>823</v>
      </c>
      <c r="J298" t="str">
        <f>VLOOKUP(C298,FORMGOOGLE,7,FALSE)</f>
        <v>https://drive.google.com/open?id=148l4GZJT0CpuZgYJijkSFp3y-ljoEFzl</v>
      </c>
    </row>
    <row r="299" spans="1:10" ht="15.75" thickBot="1" x14ac:dyDescent="0.3">
      <c r="A299" s="5" t="s">
        <v>435</v>
      </c>
      <c r="B299" s="119" t="s">
        <v>2693</v>
      </c>
      <c r="C299" s="5" t="s">
        <v>2688</v>
      </c>
      <c r="D299" s="5" t="s">
        <v>2</v>
      </c>
      <c r="E299" s="5" t="s">
        <v>10</v>
      </c>
      <c r="F299" s="121">
        <v>41840</v>
      </c>
      <c r="G299" s="5" t="s">
        <v>2689</v>
      </c>
      <c r="H299" s="5" t="s">
        <v>2690</v>
      </c>
      <c r="I299" s="114" t="s">
        <v>3269</v>
      </c>
      <c r="J299" t="str">
        <f>VLOOKUP(C299,FORMGOOGLE,7,FALSE)</f>
        <v>https://drive.google.com/open?id=1WuLxVsmZxqmlO2r8yhCAaEYATodtYX6q</v>
      </c>
    </row>
    <row r="300" spans="1:10" ht="15.75" thickBot="1" x14ac:dyDescent="0.3">
      <c r="A300" s="5" t="s">
        <v>435</v>
      </c>
      <c r="B300" s="118" t="s">
        <v>865</v>
      </c>
      <c r="C300" s="5" t="s">
        <v>866</v>
      </c>
      <c r="D300" s="5" t="s">
        <v>2</v>
      </c>
      <c r="E300" s="5" t="s">
        <v>10</v>
      </c>
      <c r="F300" s="121">
        <v>42267</v>
      </c>
      <c r="G300" s="5" t="s">
        <v>867</v>
      </c>
      <c r="H300" s="5" t="s">
        <v>868</v>
      </c>
      <c r="I300" s="114" t="s">
        <v>869</v>
      </c>
      <c r="J300" t="str">
        <f>VLOOKUP(C300,FORMGOOGLE,7,FALSE)</f>
        <v>https://drive.google.com/open?id=1GE6IWI5lnSqGI4PhbSe1vx9D8syO0T-1</v>
      </c>
    </row>
    <row r="301" spans="1:10" ht="15.75" thickBot="1" x14ac:dyDescent="0.3">
      <c r="A301" s="5" t="s">
        <v>435</v>
      </c>
      <c r="B301" s="119" t="s">
        <v>764</v>
      </c>
      <c r="C301" s="5" t="s">
        <v>765</v>
      </c>
      <c r="D301" s="5" t="s">
        <v>2</v>
      </c>
      <c r="E301" s="5" t="s">
        <v>10</v>
      </c>
      <c r="F301" s="121">
        <v>42049</v>
      </c>
      <c r="G301" s="5" t="s">
        <v>766</v>
      </c>
      <c r="H301" s="5" t="s">
        <v>767</v>
      </c>
      <c r="I301" s="114" t="s">
        <v>768</v>
      </c>
      <c r="J301" t="str">
        <f>VLOOKUP(C301,FORMGOOGLE,7,FALSE)</f>
        <v>https://drive.google.com/open?id=1yogLy78k-NxyjmNdPW3GXYpDDPjBIrRv</v>
      </c>
    </row>
    <row r="302" spans="1:10" ht="15.75" thickBot="1" x14ac:dyDescent="0.3">
      <c r="A302" s="5" t="s">
        <v>435</v>
      </c>
      <c r="B302" s="118" t="s">
        <v>799</v>
      </c>
      <c r="C302" s="5" t="s">
        <v>785</v>
      </c>
      <c r="D302" s="5" t="s">
        <v>66</v>
      </c>
      <c r="E302" s="5" t="s">
        <v>10</v>
      </c>
      <c r="F302" s="121">
        <v>41682</v>
      </c>
      <c r="G302" s="5" t="s">
        <v>786</v>
      </c>
      <c r="H302" s="5" t="s">
        <v>787</v>
      </c>
      <c r="I302" s="114" t="s">
        <v>800</v>
      </c>
      <c r="J302" t="str">
        <f>VLOOKUP(C302,FORMGOOGLE,7,FALSE)</f>
        <v>https://drive.google.com/open?id=1PFmq1RtHXpOEK5VTTSuDNiOOTIPhn5Ug</v>
      </c>
    </row>
    <row r="303" spans="1:10" ht="15.75" thickBot="1" x14ac:dyDescent="0.3">
      <c r="A303" s="5" t="s">
        <v>435</v>
      </c>
      <c r="B303" s="119" t="s">
        <v>2515</v>
      </c>
      <c r="C303" s="5" t="s">
        <v>2510</v>
      </c>
      <c r="D303" s="5" t="s">
        <v>2</v>
      </c>
      <c r="E303" s="5" t="s">
        <v>10</v>
      </c>
      <c r="F303" s="121">
        <v>42481</v>
      </c>
      <c r="G303" s="5" t="s">
        <v>2511</v>
      </c>
      <c r="H303" s="5" t="s">
        <v>2512</v>
      </c>
      <c r="I303" s="114" t="s">
        <v>3239</v>
      </c>
      <c r="J303" t="str">
        <f>VLOOKUP(C303,FORMGOOGLE,7,FALSE)</f>
        <v>https://drive.google.com/open?id=1lBR22H6Kh9foh2TwlomEsKXkxHnNVU09</v>
      </c>
    </row>
    <row r="304" spans="1:10" ht="15.75" thickBot="1" x14ac:dyDescent="0.3">
      <c r="A304" s="5" t="s">
        <v>435</v>
      </c>
      <c r="B304" s="119" t="s">
        <v>754</v>
      </c>
      <c r="C304" s="5" t="s">
        <v>755</v>
      </c>
      <c r="D304" s="5" t="s">
        <v>66</v>
      </c>
      <c r="E304" s="5" t="s">
        <v>10</v>
      </c>
      <c r="F304" s="121">
        <v>41860</v>
      </c>
      <c r="G304" s="5" t="s">
        <v>756</v>
      </c>
      <c r="H304" s="5" t="s">
        <v>757</v>
      </c>
      <c r="I304" s="114" t="s">
        <v>758</v>
      </c>
      <c r="J304" t="str">
        <f>VLOOKUP(C304,FORMGOOGLE,7,FALSE)</f>
        <v>https://drive.google.com/open?id=1fXXAJtZ6xZmPzZvl3SEC1tEKLTyw_Iou</v>
      </c>
    </row>
    <row r="305" spans="1:10" ht="15.75" thickBot="1" x14ac:dyDescent="0.3">
      <c r="A305" s="5" t="s">
        <v>435</v>
      </c>
      <c r="B305" s="118" t="s">
        <v>2910</v>
      </c>
      <c r="C305" s="5" t="s">
        <v>2843</v>
      </c>
      <c r="D305" s="5" t="s">
        <v>2</v>
      </c>
      <c r="E305" s="5" t="s">
        <v>116</v>
      </c>
      <c r="F305" s="121">
        <v>42040</v>
      </c>
      <c r="G305" s="5" t="s">
        <v>2844</v>
      </c>
      <c r="H305" s="5" t="s">
        <v>2845</v>
      </c>
      <c r="I305" s="114" t="s">
        <v>3307</v>
      </c>
      <c r="J305" t="str">
        <f>VLOOKUP(C305,FORMGOOGLE,7,FALSE)</f>
        <v>https://drive.google.com/open?id=1OSwr--wZbaOeJ4mFlei6nEBW6QBxfB4d</v>
      </c>
    </row>
    <row r="306" spans="1:10" ht="15.75" thickBot="1" x14ac:dyDescent="0.3">
      <c r="A306" s="5" t="s">
        <v>435</v>
      </c>
      <c r="B306" s="119" t="s">
        <v>834</v>
      </c>
      <c r="C306" s="5" t="s">
        <v>835</v>
      </c>
      <c r="D306" s="5" t="s">
        <v>2</v>
      </c>
      <c r="E306" s="5" t="s">
        <v>10</v>
      </c>
      <c r="F306" s="121">
        <v>42233</v>
      </c>
      <c r="G306" s="5" t="s">
        <v>836</v>
      </c>
      <c r="H306" s="5" t="s">
        <v>837</v>
      </c>
      <c r="I306" s="114" t="s">
        <v>838</v>
      </c>
      <c r="J306" t="str">
        <f>VLOOKUP(C306,FORMGOOGLE,7,FALSE)</f>
        <v>https://drive.google.com/open?id=1_Xw-9Nhgn8-HEoNMEniuarFOQAsw6Hnp</v>
      </c>
    </row>
    <row r="307" spans="1:10" ht="15.75" thickBot="1" x14ac:dyDescent="0.3">
      <c r="A307" s="5" t="s">
        <v>435</v>
      </c>
      <c r="B307" s="119" t="s">
        <v>2861</v>
      </c>
      <c r="C307" s="5" t="s">
        <v>2856</v>
      </c>
      <c r="D307" s="5" t="s">
        <v>2</v>
      </c>
      <c r="E307" s="5" t="s">
        <v>402</v>
      </c>
      <c r="F307" s="121">
        <v>42344</v>
      </c>
      <c r="G307" s="5" t="s">
        <v>2857</v>
      </c>
      <c r="H307" s="5" t="s">
        <v>2858</v>
      </c>
      <c r="I307" s="114" t="s">
        <v>3297</v>
      </c>
      <c r="J307" t="str">
        <f>VLOOKUP(C307,FORMGOOGLE,7,FALSE)</f>
        <v>https://drive.google.com/open?id=1iURd4lcjNBGmgI-l0WHVizzNBPupjdyW</v>
      </c>
    </row>
    <row r="308" spans="1:10" ht="15.75" thickBot="1" x14ac:dyDescent="0.3">
      <c r="A308" s="5" t="s">
        <v>435</v>
      </c>
      <c r="B308" s="119" t="s">
        <v>2913</v>
      </c>
      <c r="C308" s="5" t="s">
        <v>2890</v>
      </c>
      <c r="D308" s="5" t="s">
        <v>66</v>
      </c>
      <c r="E308" s="5" t="s">
        <v>10</v>
      </c>
      <c r="F308" s="121">
        <v>42313</v>
      </c>
      <c r="G308" s="5" t="s">
        <v>2891</v>
      </c>
      <c r="H308" s="5" t="s">
        <v>2892</v>
      </c>
      <c r="I308" s="114" t="s">
        <v>3308</v>
      </c>
      <c r="J308" t="str">
        <f>VLOOKUP(C308,FORMGOOGLE,7,FALSE)</f>
        <v>https://drive.google.com/open?id=1uJxV1QI5JsXOU4UbeRFVypM309r8n6av</v>
      </c>
    </row>
    <row r="309" spans="1:10" ht="15.75" thickBot="1" x14ac:dyDescent="0.3">
      <c r="A309" s="5" t="s">
        <v>435</v>
      </c>
      <c r="B309" s="119" t="s">
        <v>774</v>
      </c>
      <c r="C309" s="5" t="s">
        <v>775</v>
      </c>
      <c r="D309" s="5" t="s">
        <v>66</v>
      </c>
      <c r="E309" s="5" t="s">
        <v>10</v>
      </c>
      <c r="F309" s="121">
        <v>46000</v>
      </c>
      <c r="G309" s="5" t="s">
        <v>776</v>
      </c>
      <c r="H309" s="5" t="s">
        <v>777</v>
      </c>
      <c r="I309" s="114" t="s">
        <v>778</v>
      </c>
      <c r="J309" t="str">
        <f>VLOOKUP(C309,FORMGOOGLE,7,FALSE)</f>
        <v>https://drive.google.com/open?id=1ktP_6tOSCJf2uvaWleU8Icg0bmVNrfYw</v>
      </c>
    </row>
    <row r="310" spans="1:10" ht="15.75" thickBot="1" x14ac:dyDescent="0.3">
      <c r="A310" s="5" t="s">
        <v>435</v>
      </c>
      <c r="B310" s="118" t="s">
        <v>2003</v>
      </c>
      <c r="C310" s="5" t="s">
        <v>898</v>
      </c>
      <c r="D310" s="5" t="s">
        <v>66</v>
      </c>
      <c r="E310" s="5" t="s">
        <v>28</v>
      </c>
      <c r="F310" s="121">
        <v>42346</v>
      </c>
      <c r="G310" s="5" t="s">
        <v>899</v>
      </c>
      <c r="H310" s="5" t="s">
        <v>900</v>
      </c>
      <c r="I310" s="114" t="s">
        <v>3169</v>
      </c>
      <c r="J310" t="str">
        <f>VLOOKUP(C310,FORMGOOGLE,7,FALSE)</f>
        <v>https://drive.google.com/open?id=1zycrmF0Jws-Qm6NoB1Uq66zTBrC4saRU</v>
      </c>
    </row>
    <row r="311" spans="1:10" ht="15.75" thickBot="1" x14ac:dyDescent="0.3">
      <c r="A311" s="5" t="s">
        <v>435</v>
      </c>
      <c r="B311" s="118" t="s">
        <v>759</v>
      </c>
      <c r="C311" s="5" t="s">
        <v>760</v>
      </c>
      <c r="D311" s="5" t="s">
        <v>2</v>
      </c>
      <c r="E311" s="5" t="s">
        <v>10</v>
      </c>
      <c r="F311" s="121">
        <v>42697</v>
      </c>
      <c r="G311" s="5" t="s">
        <v>761</v>
      </c>
      <c r="H311" s="5" t="s">
        <v>762</v>
      </c>
      <c r="I311" s="114" t="s">
        <v>763</v>
      </c>
      <c r="J311" t="str">
        <f>VLOOKUP(C311,FORMGOOGLE,7,FALSE)</f>
        <v>https://drive.google.com/open?id=1u1PzpWAcf0evR5ZaPxhQDNPtadNNkRKY</v>
      </c>
    </row>
    <row r="312" spans="1:10" ht="15.75" thickBot="1" x14ac:dyDescent="0.3">
      <c r="A312" s="5" t="s">
        <v>435</v>
      </c>
      <c r="B312" s="118" t="s">
        <v>839</v>
      </c>
      <c r="C312" s="5" t="s">
        <v>840</v>
      </c>
      <c r="D312" s="5" t="s">
        <v>2</v>
      </c>
      <c r="E312" s="5" t="s">
        <v>10</v>
      </c>
      <c r="F312" s="121">
        <v>42101</v>
      </c>
      <c r="G312" s="5" t="s">
        <v>841</v>
      </c>
      <c r="H312" s="5" t="s">
        <v>842</v>
      </c>
      <c r="I312" s="114" t="s">
        <v>843</v>
      </c>
      <c r="J312" t="str">
        <f>VLOOKUP(C312,FORMGOOGLE,7,FALSE)</f>
        <v>https://drive.google.com/open?id=1n1bjRQS5DuAlmzN5yOSi2HalNKZ8ykQX</v>
      </c>
    </row>
    <row r="313" spans="1:10" ht="15.75" thickBot="1" x14ac:dyDescent="0.3">
      <c r="A313" s="5" t="s">
        <v>435</v>
      </c>
      <c r="B313" s="118" t="s">
        <v>803</v>
      </c>
      <c r="C313" s="5" t="s">
        <v>804</v>
      </c>
      <c r="D313" s="5" t="s">
        <v>2</v>
      </c>
      <c r="E313" s="5" t="s">
        <v>10</v>
      </c>
      <c r="F313" s="121">
        <v>41602</v>
      </c>
      <c r="G313" s="5" t="s">
        <v>805</v>
      </c>
      <c r="H313" s="5" t="s">
        <v>806</v>
      </c>
      <c r="I313" s="114" t="s">
        <v>807</v>
      </c>
      <c r="J313" t="str">
        <f>VLOOKUP(C313,FORMGOOGLE,7,FALSE)</f>
        <v>https://drive.google.com/open?id=1-v4DYZXmayNezOuDv2parTy_XzIvxd4p</v>
      </c>
    </row>
    <row r="314" spans="1:10" ht="15.75" thickBot="1" x14ac:dyDescent="0.3">
      <c r="A314" s="5" t="s">
        <v>435</v>
      </c>
      <c r="B314" s="118" t="s">
        <v>769</v>
      </c>
      <c r="C314" s="5" t="s">
        <v>770</v>
      </c>
      <c r="D314" s="5" t="s">
        <v>2</v>
      </c>
      <c r="E314" s="5" t="s">
        <v>10</v>
      </c>
      <c r="F314" s="121">
        <v>41953</v>
      </c>
      <c r="G314" s="5" t="s">
        <v>771</v>
      </c>
      <c r="H314" s="5" t="s">
        <v>772</v>
      </c>
      <c r="I314" s="114" t="s">
        <v>773</v>
      </c>
      <c r="J314" t="str">
        <f>VLOOKUP(C314,FORMGOOGLE,7,FALSE)</f>
        <v>https://drive.google.com/open?id=1ssOviEC2rHbzIwmvvb0kdxv6Rj_LckTk</v>
      </c>
    </row>
    <row r="315" spans="1:10" ht="15.75" thickBot="1" x14ac:dyDescent="0.3">
      <c r="A315" s="5" t="s">
        <v>435</v>
      </c>
      <c r="B315" s="118" t="s">
        <v>2578</v>
      </c>
      <c r="C315" s="5" t="s">
        <v>2573</v>
      </c>
      <c r="D315" s="5" t="s">
        <v>2</v>
      </c>
      <c r="E315" s="5" t="s">
        <v>10</v>
      </c>
      <c r="F315" s="121">
        <v>42404</v>
      </c>
      <c r="G315" s="5" t="s">
        <v>2574</v>
      </c>
      <c r="H315" s="5" t="s">
        <v>2575</v>
      </c>
      <c r="I315" s="114" t="s">
        <v>3249</v>
      </c>
      <c r="J315" t="str">
        <f>VLOOKUP(C315,FORMGOOGLE,7,FALSE)</f>
        <v>https://drive.google.com/open?id=1tFoJpj6pK6hU2W-sxDNKY36wp7NxdJqZ</v>
      </c>
    </row>
    <row r="316" spans="1:10" ht="15.75" thickBot="1" x14ac:dyDescent="0.3">
      <c r="A316" s="5" t="s">
        <v>457</v>
      </c>
      <c r="B316" s="118" t="s">
        <v>451</v>
      </c>
      <c r="C316" s="5" t="s">
        <v>452</v>
      </c>
      <c r="D316" s="5" t="s">
        <v>2</v>
      </c>
      <c r="E316" s="5" t="s">
        <v>453</v>
      </c>
      <c r="F316" s="121">
        <v>42703</v>
      </c>
      <c r="G316" s="5" t="s">
        <v>454</v>
      </c>
      <c r="H316" s="5" t="s">
        <v>455</v>
      </c>
      <c r="I316" s="114" t="s">
        <v>456</v>
      </c>
      <c r="J316" t="str">
        <f>VLOOKUP(C316,FORMGOOGLE,7,FALSE)</f>
        <v>https://drive.google.com/open?id=1Om7L15XSVeATyE78Laydz51DpDJKaSRv</v>
      </c>
    </row>
    <row r="317" spans="1:10" ht="15.75" thickBot="1" x14ac:dyDescent="0.3">
      <c r="A317" s="6" t="s">
        <v>4501</v>
      </c>
      <c r="B317" s="118" t="s">
        <v>343</v>
      </c>
      <c r="C317" s="5" t="s">
        <v>344</v>
      </c>
      <c r="D317" s="5" t="s">
        <v>66</v>
      </c>
      <c r="E317" s="5" t="s">
        <v>10</v>
      </c>
      <c r="F317" s="121">
        <v>43448</v>
      </c>
      <c r="G317" s="5" t="s">
        <v>345</v>
      </c>
      <c r="H317" s="5" t="s">
        <v>346</v>
      </c>
      <c r="I317" s="114" t="s">
        <v>347</v>
      </c>
      <c r="J317" t="str">
        <f>VLOOKUP(C317,FORMGOOGLE,7,FALSE)</f>
        <v>https://drive.google.com/open?id=1UTslcn3OyPqC4-G7Ke2WjORM43S3M58-</v>
      </c>
    </row>
    <row r="318" spans="1:10" ht="15.75" thickBot="1" x14ac:dyDescent="0.3">
      <c r="A318" s="5" t="s">
        <v>2781</v>
      </c>
      <c r="B318" s="119" t="s">
        <v>2787</v>
      </c>
      <c r="C318" s="5" t="s">
        <v>2782</v>
      </c>
      <c r="D318" s="5" t="s">
        <v>66</v>
      </c>
      <c r="E318" s="123">
        <v>42287</v>
      </c>
      <c r="F318" s="121">
        <v>42287</v>
      </c>
      <c r="G318" s="5" t="s">
        <v>2783</v>
      </c>
      <c r="H318" s="5" t="s">
        <v>2784</v>
      </c>
      <c r="I318" s="114" t="s">
        <v>3284</v>
      </c>
      <c r="J318" t="str">
        <f>VLOOKUP(C318,FORMGOOGLE,7,FALSE)</f>
        <v>https://drive.google.com/open?id=1R65QIAANHQCxsGdRzrm7tyiIfSY0fuKB</v>
      </c>
    </row>
    <row r="319" spans="1:10" ht="15.75" thickBot="1" x14ac:dyDescent="0.3">
      <c r="A319" s="5" t="s">
        <v>2626</v>
      </c>
      <c r="B319" s="118" t="s">
        <v>2632</v>
      </c>
      <c r="C319" s="5" t="s">
        <v>2627</v>
      </c>
      <c r="D319" s="5" t="s">
        <v>2</v>
      </c>
      <c r="E319" s="5" t="s">
        <v>10</v>
      </c>
      <c r="F319" s="121">
        <v>42272</v>
      </c>
      <c r="G319" s="5" t="s">
        <v>2628</v>
      </c>
      <c r="H319" s="5" t="s">
        <v>2629</v>
      </c>
      <c r="I319" s="114" t="s">
        <v>3257</v>
      </c>
      <c r="J319" t="str">
        <f>VLOOKUP(C319,FORMGOOGLE,7,FALSE)</f>
        <v>https://drive.google.com/open?id=1iFjITDLXK7VFyEP5_NpZJySSTlYKAZl5</v>
      </c>
    </row>
    <row r="320" spans="1:10" ht="15.75" thickBot="1" x14ac:dyDescent="0.3">
      <c r="A320" s="5" t="s">
        <v>2626</v>
      </c>
      <c r="B320" s="119" t="s">
        <v>2699</v>
      </c>
      <c r="C320" s="5" t="s">
        <v>2695</v>
      </c>
      <c r="D320" s="5" t="s">
        <v>2</v>
      </c>
      <c r="E320" s="5" t="s">
        <v>10</v>
      </c>
      <c r="F320" s="121">
        <v>42563</v>
      </c>
      <c r="G320" s="5" t="s">
        <v>2696</v>
      </c>
      <c r="H320" s="5" t="s">
        <v>2697</v>
      </c>
      <c r="I320" s="114" t="s">
        <v>3270</v>
      </c>
      <c r="J320" t="str">
        <f>VLOOKUP(C320,FORMGOOGLE,7,FALSE)</f>
        <v>https://drive.google.com/open?id=1YZ9e9PPnxhhRTdxq8SbsoqfdkKubDF4l</v>
      </c>
    </row>
    <row r="321" spans="1:10" ht="15.75" thickBot="1" x14ac:dyDescent="0.3">
      <c r="A321" s="5" t="s">
        <v>2626</v>
      </c>
      <c r="B321" s="118" t="s">
        <v>2713</v>
      </c>
      <c r="C321" s="5" t="s">
        <v>2708</v>
      </c>
      <c r="D321" s="5" t="s">
        <v>2</v>
      </c>
      <c r="E321" s="5" t="s">
        <v>2709</v>
      </c>
      <c r="F321" s="121">
        <v>42614</v>
      </c>
      <c r="G321" s="5" t="s">
        <v>2710</v>
      </c>
      <c r="H321" s="5" t="s">
        <v>2711</v>
      </c>
      <c r="I321" s="114" t="s">
        <v>3272</v>
      </c>
      <c r="J321" t="str">
        <f>VLOOKUP(C321,FORMGOOGLE,7,FALSE)</f>
        <v>https://drive.google.com/open?id=1zydE7SvMfDEOZmT6HIWXthmyDF5c80Zd</v>
      </c>
    </row>
    <row r="322" spans="1:10" ht="15.75" thickBot="1" x14ac:dyDescent="0.3">
      <c r="A322" s="5" t="s">
        <v>1665</v>
      </c>
      <c r="B322" s="119" t="s">
        <v>3044</v>
      </c>
      <c r="C322" s="5" t="s">
        <v>1714</v>
      </c>
      <c r="D322" s="5" t="s">
        <v>2</v>
      </c>
      <c r="E322" s="5" t="s">
        <v>10</v>
      </c>
      <c r="F322" s="121">
        <v>42239</v>
      </c>
      <c r="G322" s="5" t="s">
        <v>1715</v>
      </c>
      <c r="H322" s="5" t="s">
        <v>1716</v>
      </c>
      <c r="I322" s="114" t="s">
        <v>4505</v>
      </c>
      <c r="J322" t="str">
        <f>VLOOKUP(C322,FORMGOOGLE,7,FALSE)</f>
        <v>https://drive.google.com/open?id=1D0xtIGib75JpcOeL7shhVxICaRjPgXTk</v>
      </c>
    </row>
    <row r="323" spans="1:10" ht="15.75" thickBot="1" x14ac:dyDescent="0.3">
      <c r="A323" s="5" t="s">
        <v>1665</v>
      </c>
      <c r="B323" s="118" t="s">
        <v>3043</v>
      </c>
      <c r="C323" s="5" t="s">
        <v>1701</v>
      </c>
      <c r="D323" s="5" t="s">
        <v>2</v>
      </c>
      <c r="E323" s="5" t="s">
        <v>28</v>
      </c>
      <c r="F323" s="121">
        <v>42748</v>
      </c>
      <c r="G323" s="5" t="s">
        <v>1702</v>
      </c>
      <c r="H323" s="5" t="s">
        <v>1703</v>
      </c>
      <c r="I323" s="114" t="s">
        <v>4504</v>
      </c>
      <c r="J323" t="str">
        <f>VLOOKUP(C323,FORMGOOGLE,7,FALSE)</f>
        <v>https://drive.google.com/open?id=1LobfRd9C-d4R6m55FLZ2DiaRknSg_JLN</v>
      </c>
    </row>
    <row r="324" spans="1:10" ht="15.75" thickBot="1" x14ac:dyDescent="0.3">
      <c r="A324" s="5" t="s">
        <v>1665</v>
      </c>
      <c r="B324" s="119" t="s">
        <v>3042</v>
      </c>
      <c r="C324" s="5" t="s">
        <v>1676</v>
      </c>
      <c r="D324" s="5" t="s">
        <v>66</v>
      </c>
      <c r="E324" s="5" t="s">
        <v>28</v>
      </c>
      <c r="F324" s="121">
        <v>42087</v>
      </c>
      <c r="G324" s="5" t="s">
        <v>1677</v>
      </c>
      <c r="H324" s="5" t="s">
        <v>1678</v>
      </c>
      <c r="I324" s="114" t="s">
        <v>4503</v>
      </c>
      <c r="J324" t="str">
        <f>VLOOKUP(C324,FORMGOOGLE,7,FALSE)</f>
        <v>https://drive.google.com/open?id=1rsZs2C51Q-gaY6LItyqBK7AzKezP-9Hl</v>
      </c>
    </row>
    <row r="325" spans="1:10" ht="15.75" thickBot="1" x14ac:dyDescent="0.3">
      <c r="A325" s="5" t="s">
        <v>1665</v>
      </c>
      <c r="B325" s="118" t="s">
        <v>3040</v>
      </c>
      <c r="C325" s="5" t="s">
        <v>1666</v>
      </c>
      <c r="D325" s="5" t="s">
        <v>2</v>
      </c>
      <c r="E325" s="5" t="s">
        <v>28</v>
      </c>
      <c r="F325" s="121">
        <v>41545</v>
      </c>
      <c r="G325" s="5" t="s">
        <v>1667</v>
      </c>
      <c r="H325" s="5" t="s">
        <v>1668</v>
      </c>
      <c r="I325" s="114" t="s">
        <v>4502</v>
      </c>
      <c r="J325" t="str">
        <f>VLOOKUP(C325,FORMGOOGLE,7,FALSE)</f>
        <v>https://drive.google.com/open?id=1Ot7nzUstYzC486mZVkShIqToDW-UWy6u</v>
      </c>
    </row>
    <row r="326" spans="1:10" ht="15.75" thickBot="1" x14ac:dyDescent="0.3">
      <c r="A326" s="5" t="s">
        <v>4856</v>
      </c>
      <c r="B326" s="118" t="s">
        <v>4872</v>
      </c>
      <c r="C326" s="5" t="s">
        <v>4873</v>
      </c>
      <c r="D326" s="5" t="s">
        <v>2</v>
      </c>
      <c r="E326" s="5" t="s">
        <v>10</v>
      </c>
      <c r="F326" s="121">
        <v>42138</v>
      </c>
      <c r="G326" s="5" t="s">
        <v>4874</v>
      </c>
      <c r="H326" s="5" t="s">
        <v>4875</v>
      </c>
      <c r="I326" s="114" t="s">
        <v>4876</v>
      </c>
      <c r="J326" t="str">
        <f>VLOOKUP(C326,FORMGOOGLE,7,FALSE)</f>
        <v>https://drive.google.com/open?id=1LzXhyAyvSeWqcJfrTQGqMHQekdKMZ3PF</v>
      </c>
    </row>
    <row r="327" spans="1:10" ht="15.75" thickBot="1" x14ac:dyDescent="0.3">
      <c r="A327" s="5" t="s">
        <v>4856</v>
      </c>
      <c r="B327" s="119" t="s">
        <v>4867</v>
      </c>
      <c r="C327" s="5" t="s">
        <v>4868</v>
      </c>
      <c r="D327" s="5" t="s">
        <v>2</v>
      </c>
      <c r="E327" s="5" t="s">
        <v>10</v>
      </c>
      <c r="F327" s="121">
        <v>42821</v>
      </c>
      <c r="G327" s="5" t="s">
        <v>4869</v>
      </c>
      <c r="H327" s="5" t="s">
        <v>4870</v>
      </c>
      <c r="I327" s="114" t="s">
        <v>4871</v>
      </c>
      <c r="J327" t="str">
        <f>VLOOKUP(C327,FORMGOOGLE,7,FALSE)</f>
        <v>https://drive.google.com/open?id=1Gjjfy9IKk9ZYBnxBghw-8ekzayts5zAa</v>
      </c>
    </row>
    <row r="328" spans="1:10" ht="15.75" thickBot="1" x14ac:dyDescent="0.3">
      <c r="A328" s="5" t="s">
        <v>4856</v>
      </c>
      <c r="B328" s="119" t="s">
        <v>4877</v>
      </c>
      <c r="C328" s="5" t="s">
        <v>4878</v>
      </c>
      <c r="D328" s="5" t="s">
        <v>2</v>
      </c>
      <c r="E328" s="5" t="s">
        <v>10</v>
      </c>
      <c r="F328" s="121">
        <v>42558</v>
      </c>
      <c r="G328" s="5" t="s">
        <v>4879</v>
      </c>
      <c r="H328" s="5" t="s">
        <v>4880</v>
      </c>
      <c r="I328" s="114" t="s">
        <v>4881</v>
      </c>
      <c r="J328" t="str">
        <f>VLOOKUP(C328,FORMGOOGLE,7,FALSE)</f>
        <v>https://drive.google.com/open?id=1iKHQrLbf6cSREyxW8CLecTg2jawcUwjO</v>
      </c>
    </row>
    <row r="329" spans="1:10" ht="15.75" thickBot="1" x14ac:dyDescent="0.3">
      <c r="A329" s="5" t="s">
        <v>4856</v>
      </c>
      <c r="B329" s="119" t="s">
        <v>4857</v>
      </c>
      <c r="C329" s="5" t="s">
        <v>4858</v>
      </c>
      <c r="D329" s="5" t="s">
        <v>66</v>
      </c>
      <c r="E329" s="5" t="s">
        <v>4859</v>
      </c>
      <c r="F329" s="121">
        <v>42222</v>
      </c>
      <c r="G329" s="5" t="s">
        <v>4860</v>
      </c>
      <c r="H329" s="5" t="s">
        <v>4861</v>
      </c>
      <c r="I329" s="114" t="s">
        <v>4862</v>
      </c>
      <c r="J329" t="str">
        <f>VLOOKUP(C329,FORMGOOGLE,7,FALSE)</f>
        <v>https://drive.google.com/open?id=1rZO_IojWByuDfKb-PeU59ml9rlSG-BW9</v>
      </c>
    </row>
    <row r="330" spans="1:10" ht="15.75" thickBot="1" x14ac:dyDescent="0.3">
      <c r="A330" s="5" t="s">
        <v>4856</v>
      </c>
      <c r="B330" s="118" t="s">
        <v>4863</v>
      </c>
      <c r="C330" s="5" t="s">
        <v>4864</v>
      </c>
      <c r="D330" s="5" t="s">
        <v>66</v>
      </c>
      <c r="E330" s="5" t="s">
        <v>10</v>
      </c>
      <c r="F330" s="121">
        <v>42831</v>
      </c>
      <c r="G330" s="5" t="s">
        <v>3880</v>
      </c>
      <c r="H330" s="5" t="s">
        <v>4865</v>
      </c>
      <c r="I330" s="114" t="s">
        <v>4866</v>
      </c>
      <c r="J330" t="str">
        <f>VLOOKUP(C330,FORMGOOGLE,7,FALSE)</f>
        <v>https://drive.google.com/open?id=1uAJfL0axkQuqJc29IZ_3lfoJx6NjtE1P</v>
      </c>
    </row>
    <row r="331" spans="1:10" ht="15.75" thickBot="1" x14ac:dyDescent="0.3">
      <c r="A331" s="5" t="s">
        <v>4856</v>
      </c>
      <c r="B331" s="118" t="s">
        <v>4882</v>
      </c>
      <c r="C331" s="5" t="s">
        <v>4883</v>
      </c>
      <c r="D331" s="5" t="s">
        <v>66</v>
      </c>
      <c r="E331" s="5" t="s">
        <v>10</v>
      </c>
      <c r="F331" s="121">
        <v>41564</v>
      </c>
      <c r="G331" s="5" t="s">
        <v>4884</v>
      </c>
      <c r="H331" s="5" t="s">
        <v>4885</v>
      </c>
      <c r="I331" s="114" t="s">
        <v>4886</v>
      </c>
      <c r="J331" t="str">
        <f>VLOOKUP(C331,FORMGOOGLE,7,FALSE)</f>
        <v>https://drive.google.com/open?id=1k9g9d2URGRTjkS0iNyr3toNTwDy9wShb</v>
      </c>
    </row>
    <row r="332" spans="1:10" ht="15.75" thickBot="1" x14ac:dyDescent="0.3">
      <c r="A332" s="5" t="s">
        <v>4856</v>
      </c>
      <c r="B332" s="118" t="s">
        <v>4851</v>
      </c>
      <c r="C332" s="5" t="s">
        <v>4852</v>
      </c>
      <c r="D332" s="5" t="s">
        <v>66</v>
      </c>
      <c r="E332" s="5" t="s">
        <v>10</v>
      </c>
      <c r="F332" s="121">
        <v>42497</v>
      </c>
      <c r="G332" s="5" t="s">
        <v>4853</v>
      </c>
      <c r="H332" s="5" t="s">
        <v>4854</v>
      </c>
      <c r="I332" s="114" t="s">
        <v>4855</v>
      </c>
      <c r="J332" t="str">
        <f>VLOOKUP(C332,FORMGOOGLE,7,FALSE)</f>
        <v>https://drive.google.com/open?id=1aeGdOrjAJSttjW5sm6GHgnEHIfEVK4pt</v>
      </c>
    </row>
    <row r="333" spans="1:10" ht="15.75" thickBot="1" x14ac:dyDescent="0.3">
      <c r="A333" s="5" t="s">
        <v>4689</v>
      </c>
      <c r="B333" s="118" t="s">
        <v>4700</v>
      </c>
      <c r="C333" s="5" t="s">
        <v>4701</v>
      </c>
      <c r="D333" s="5" t="s">
        <v>66</v>
      </c>
      <c r="E333" s="5" t="s">
        <v>28</v>
      </c>
      <c r="F333" s="121">
        <v>41743</v>
      </c>
      <c r="G333" s="5" t="s">
        <v>4702</v>
      </c>
      <c r="H333" s="5" t="s">
        <v>4703</v>
      </c>
      <c r="I333" s="114" t="s">
        <v>4704</v>
      </c>
      <c r="J333" t="str">
        <f>VLOOKUP(C333,FORMGOOGLE,7,FALSE)</f>
        <v>https://drive.google.com/open?id=1ILxxsUEwtJCUli0QlYVcpUCr_-AthHff</v>
      </c>
    </row>
    <row r="334" spans="1:10" ht="15.75" thickBot="1" x14ac:dyDescent="0.3">
      <c r="A334" s="5" t="s">
        <v>4689</v>
      </c>
      <c r="B334" s="118" t="s">
        <v>4690</v>
      </c>
      <c r="C334" s="5" t="s">
        <v>4691</v>
      </c>
      <c r="D334" s="5" t="s">
        <v>66</v>
      </c>
      <c r="E334" s="5" t="s">
        <v>28</v>
      </c>
      <c r="F334" s="121">
        <v>41626</v>
      </c>
      <c r="G334" s="5" t="s">
        <v>4692</v>
      </c>
      <c r="H334" s="5" t="s">
        <v>4693</v>
      </c>
      <c r="I334" s="114" t="s">
        <v>4694</v>
      </c>
      <c r="J334" t="str">
        <f>VLOOKUP(C334,FORMGOOGLE,7,FALSE)</f>
        <v>https://drive.google.com/open?id=1gPIn2HmV3eQPJJYIUmaPtldv5CslvuWn</v>
      </c>
    </row>
    <row r="335" spans="1:10" ht="15.75" thickBot="1" x14ac:dyDescent="0.3">
      <c r="A335" s="5" t="s">
        <v>4689</v>
      </c>
      <c r="B335" s="119" t="s">
        <v>4685</v>
      </c>
      <c r="C335" s="5" t="s">
        <v>4686</v>
      </c>
      <c r="D335" s="5" t="s">
        <v>66</v>
      </c>
      <c r="E335" s="5" t="s">
        <v>28</v>
      </c>
      <c r="F335" s="121">
        <v>41795</v>
      </c>
      <c r="G335" s="5" t="s">
        <v>381</v>
      </c>
      <c r="H335" s="5" t="s">
        <v>4687</v>
      </c>
      <c r="I335" s="114" t="s">
        <v>4688</v>
      </c>
      <c r="J335" t="str">
        <f>VLOOKUP(C335,FORMGOOGLE,7,FALSE)</f>
        <v>https://drive.google.com/open?id=123Gm7eee2IyRpcNhuP0nQOGbYmqjx3ia</v>
      </c>
    </row>
    <row r="336" spans="1:10" ht="15.75" thickBot="1" x14ac:dyDescent="0.3">
      <c r="A336" s="5" t="s">
        <v>1534</v>
      </c>
      <c r="B336" s="119" t="s">
        <v>3046</v>
      </c>
      <c r="C336" s="5" t="s">
        <v>1822</v>
      </c>
      <c r="D336" s="5" t="s">
        <v>2</v>
      </c>
      <c r="E336" s="5" t="s">
        <v>10</v>
      </c>
      <c r="F336" s="121">
        <v>42055</v>
      </c>
      <c r="G336" s="5" t="s">
        <v>1823</v>
      </c>
      <c r="H336" s="5" t="s">
        <v>1824</v>
      </c>
      <c r="I336" s="116" t="s">
        <v>1825</v>
      </c>
      <c r="J336" t="str">
        <f>VLOOKUP(C336,FORMGOOGLE,7,FALSE)</f>
        <v>https://drive.google.com/open?id=1B3-6WtPzNYojRDyXxUferphqoMfWDvWJ</v>
      </c>
    </row>
    <row r="337" spans="1:10" ht="15.75" thickBot="1" x14ac:dyDescent="0.3">
      <c r="A337" s="5" t="s">
        <v>1534</v>
      </c>
      <c r="B337" s="119" t="s">
        <v>4481</v>
      </c>
      <c r="C337" s="5" t="s">
        <v>1347</v>
      </c>
      <c r="D337" s="5" t="s">
        <v>2</v>
      </c>
      <c r="E337" s="5" t="s">
        <v>10</v>
      </c>
      <c r="F337" s="121">
        <v>42540</v>
      </c>
      <c r="G337" s="5" t="s">
        <v>1348</v>
      </c>
      <c r="H337" s="5" t="s">
        <v>1349</v>
      </c>
      <c r="I337" s="115" t="s">
        <v>1350</v>
      </c>
      <c r="J337" t="str">
        <f>VLOOKUP(C337,FORMGOOGLE,7,FALSE)</f>
        <v>https://drive.google.com/open?id=1DKyLqwwUWKlOOpL8LSxkwSwAEqYiX60F</v>
      </c>
    </row>
    <row r="338" spans="1:10" ht="15.75" thickBot="1" x14ac:dyDescent="0.3">
      <c r="A338" s="5" t="s">
        <v>1534</v>
      </c>
      <c r="B338" s="118" t="s">
        <v>3039</v>
      </c>
      <c r="C338" s="5" t="s">
        <v>1545</v>
      </c>
      <c r="D338" s="5" t="s">
        <v>2</v>
      </c>
      <c r="E338" s="5" t="s">
        <v>10</v>
      </c>
      <c r="F338" s="121">
        <v>42137</v>
      </c>
      <c r="G338" s="5" t="s">
        <v>1546</v>
      </c>
      <c r="H338" s="5" t="s">
        <v>1547</v>
      </c>
      <c r="I338" s="116" t="s">
        <v>1548</v>
      </c>
      <c r="J338" t="str">
        <f>VLOOKUP(C338,FORMGOOGLE,7,FALSE)</f>
        <v>https://drive.google.com/open?id=1ThZpkxvFQZMg3DuQjg4Rxi2fB92wgSJa</v>
      </c>
    </row>
    <row r="339" spans="1:10" ht="15.75" thickBot="1" x14ac:dyDescent="0.3">
      <c r="A339" s="5" t="s">
        <v>1534</v>
      </c>
      <c r="B339" s="118" t="s">
        <v>3037</v>
      </c>
      <c r="C339" s="5" t="s">
        <v>1535</v>
      </c>
      <c r="D339" s="5" t="s">
        <v>2</v>
      </c>
      <c r="E339" s="5" t="s">
        <v>10</v>
      </c>
      <c r="F339" s="121">
        <v>42118</v>
      </c>
      <c r="G339" s="5" t="s">
        <v>1536</v>
      </c>
      <c r="H339" s="5" t="s">
        <v>1537</v>
      </c>
      <c r="I339" s="116" t="s">
        <v>1538</v>
      </c>
      <c r="J339" t="str">
        <f>VLOOKUP(C339,FORMGOOGLE,7,FALSE)</f>
        <v>https://drive.google.com/open?id=15KPKdG4wq3Wh6E19DLdwydqER8W_jniE</v>
      </c>
    </row>
    <row r="340" spans="1:10" ht="15.75" thickBot="1" x14ac:dyDescent="0.3">
      <c r="A340" s="5" t="s">
        <v>1534</v>
      </c>
      <c r="B340" s="118" t="s">
        <v>3047</v>
      </c>
      <c r="C340" s="5" t="s">
        <v>1840</v>
      </c>
      <c r="D340" s="5" t="s">
        <v>66</v>
      </c>
      <c r="E340" s="5" t="s">
        <v>10</v>
      </c>
      <c r="F340" s="121">
        <v>42420</v>
      </c>
      <c r="G340" s="5" t="s">
        <v>1541</v>
      </c>
      <c r="H340" s="5" t="s">
        <v>1542</v>
      </c>
      <c r="I340" s="116" t="s">
        <v>1841</v>
      </c>
      <c r="J340" t="str">
        <f>VLOOKUP(C340,FORMGOOGLE,7,FALSE)</f>
        <v>https://drive.google.com/open?id=13fUAYJdt--jm7lkanOAbLCMv9FhK4D08</v>
      </c>
    </row>
    <row r="341" spans="1:10" ht="15.75" thickBot="1" x14ac:dyDescent="0.3">
      <c r="A341" s="5" t="s">
        <v>1534</v>
      </c>
      <c r="B341" s="119" t="s">
        <v>3041</v>
      </c>
      <c r="C341" s="5" t="s">
        <v>1671</v>
      </c>
      <c r="D341" s="5" t="s">
        <v>2</v>
      </c>
      <c r="E341" s="5" t="s">
        <v>10</v>
      </c>
      <c r="F341" s="121">
        <v>41436</v>
      </c>
      <c r="G341" s="5" t="s">
        <v>1672</v>
      </c>
      <c r="H341" s="5" t="s">
        <v>1673</v>
      </c>
      <c r="I341" s="116" t="s">
        <v>1674</v>
      </c>
      <c r="J341" t="str">
        <f>VLOOKUP(C341,FORMGOOGLE,7,FALSE)</f>
        <v>https://drive.google.com/open?id=1aVbrSwm3boJBKSU3ogAX4aVnnvwZoCu3</v>
      </c>
    </row>
    <row r="342" spans="1:10" ht="15.75" thickBot="1" x14ac:dyDescent="0.3">
      <c r="A342" s="5" t="s">
        <v>1534</v>
      </c>
      <c r="B342" s="118" t="s">
        <v>3045</v>
      </c>
      <c r="C342" s="5" t="s">
        <v>1816</v>
      </c>
      <c r="D342" s="5" t="s">
        <v>2</v>
      </c>
      <c r="E342" s="5" t="s">
        <v>10</v>
      </c>
      <c r="F342" s="121">
        <v>43085</v>
      </c>
      <c r="G342" s="5" t="s">
        <v>1536</v>
      </c>
      <c r="H342" s="5" t="s">
        <v>1537</v>
      </c>
      <c r="I342" s="116" t="s">
        <v>1817</v>
      </c>
      <c r="J342" t="str">
        <f>VLOOKUP(C342,FORMGOOGLE,7,FALSE)</f>
        <v>https://drive.google.com/open?id=1xIdbG1yfEil4OXmwZTabvXLrEvFx1hh-</v>
      </c>
    </row>
    <row r="343" spans="1:10" ht="15.75" thickBot="1" x14ac:dyDescent="0.3">
      <c r="A343" s="5" t="s">
        <v>1534</v>
      </c>
      <c r="B343" s="119" t="s">
        <v>3038</v>
      </c>
      <c r="C343" s="5" t="s">
        <v>1540</v>
      </c>
      <c r="D343" s="5" t="s">
        <v>66</v>
      </c>
      <c r="E343" s="5" t="s">
        <v>10</v>
      </c>
      <c r="F343" s="121">
        <v>41609</v>
      </c>
      <c r="G343" s="5" t="s">
        <v>1541</v>
      </c>
      <c r="H343" s="5" t="s">
        <v>1542</v>
      </c>
      <c r="I343" s="116" t="s">
        <v>1543</v>
      </c>
      <c r="J343" t="str">
        <f>VLOOKUP(C343,FORMGOOGLE,7,FALSE)</f>
        <v>https://drive.google.com/open?id=1beiP7KMup0bFo_MyAzV3-Cw9wgF_ykMm</v>
      </c>
    </row>
    <row r="344" spans="1:10" ht="15.75" thickBot="1" x14ac:dyDescent="0.3">
      <c r="A344" s="5" t="s">
        <v>1534</v>
      </c>
      <c r="B344" s="119" t="s">
        <v>3048</v>
      </c>
      <c r="C344" s="5" t="s">
        <v>1861</v>
      </c>
      <c r="D344" s="5" t="s">
        <v>2</v>
      </c>
      <c r="E344" s="5" t="s">
        <v>116</v>
      </c>
      <c r="F344" s="121">
        <v>42864</v>
      </c>
      <c r="G344" s="5" t="s">
        <v>1862</v>
      </c>
      <c r="H344" s="5" t="s">
        <v>1863</v>
      </c>
      <c r="I344" s="116" t="s">
        <v>1864</v>
      </c>
      <c r="J344" t="str">
        <f>VLOOKUP(C344,FORMGOOGLE,7,FALSE)</f>
        <v>https://drive.google.com/open?id=10sI4Qo06dxQQtAtCQUyzSp52whnhIFz5</v>
      </c>
    </row>
    <row r="345" spans="1:10" ht="15.75" thickBot="1" x14ac:dyDescent="0.3">
      <c r="A345" s="5" t="s">
        <v>1190</v>
      </c>
      <c r="B345" s="119" t="s">
        <v>4485</v>
      </c>
      <c r="C345" s="5" t="s">
        <v>1212</v>
      </c>
      <c r="D345" s="5" t="s">
        <v>2</v>
      </c>
      <c r="E345" s="5" t="s">
        <v>28</v>
      </c>
      <c r="F345" s="121">
        <v>41674</v>
      </c>
      <c r="G345" s="5" t="s">
        <v>1213</v>
      </c>
      <c r="H345" s="5" t="s">
        <v>1214</v>
      </c>
      <c r="I345" s="116" t="s">
        <v>1215</v>
      </c>
      <c r="J345" t="str">
        <f>VLOOKUP(C345,FORMGOOGLE,7,FALSE)</f>
        <v>https://drive.google.com/open?id=1J29laIM0JiLBc8SqJgIInKanMKUsWC-U</v>
      </c>
    </row>
    <row r="346" spans="1:10" ht="15.75" thickBot="1" x14ac:dyDescent="0.3">
      <c r="A346" s="5" t="s">
        <v>1190</v>
      </c>
      <c r="B346" s="119" t="s">
        <v>4483</v>
      </c>
      <c r="C346" s="5" t="s">
        <v>1196</v>
      </c>
      <c r="D346" s="5" t="s">
        <v>2</v>
      </c>
      <c r="E346" s="5" t="s">
        <v>28</v>
      </c>
      <c r="F346" s="121">
        <v>40962</v>
      </c>
      <c r="G346" s="5" t="s">
        <v>1197</v>
      </c>
      <c r="H346" s="5" t="s">
        <v>1198</v>
      </c>
      <c r="I346" s="116" t="s">
        <v>1199</v>
      </c>
      <c r="J346" t="str">
        <f>VLOOKUP(C346,FORMGOOGLE,7,FALSE)</f>
        <v>https://drive.google.com/open?id=14pqDV13WIuvBrYa7A0CbccGzFQL2Mp1R</v>
      </c>
    </row>
    <row r="347" spans="1:10" ht="15.75" thickBot="1" x14ac:dyDescent="0.3">
      <c r="A347" s="5" t="s">
        <v>1190</v>
      </c>
      <c r="B347" s="119" t="s">
        <v>4487</v>
      </c>
      <c r="C347" s="5" t="s">
        <v>1222</v>
      </c>
      <c r="D347" s="5" t="s">
        <v>2</v>
      </c>
      <c r="E347" s="5" t="s">
        <v>28</v>
      </c>
      <c r="F347" s="121">
        <v>41783</v>
      </c>
      <c r="G347" s="5" t="s">
        <v>1223</v>
      </c>
      <c r="H347" s="5" t="s">
        <v>1224</v>
      </c>
      <c r="I347" s="116" t="s">
        <v>1225</v>
      </c>
      <c r="J347" t="str">
        <f>VLOOKUP(C347,FORMGOOGLE,7,FALSE)</f>
        <v>https://drive.google.com/open?id=1AV8wU-YNe_yGftD8P5wsiJAyykQ5iRLO</v>
      </c>
    </row>
    <row r="348" spans="1:10" ht="15.75" thickBot="1" x14ac:dyDescent="0.3">
      <c r="A348" s="5" t="s">
        <v>1190</v>
      </c>
      <c r="B348" s="118" t="s">
        <v>4484</v>
      </c>
      <c r="C348" s="5" t="s">
        <v>1207</v>
      </c>
      <c r="D348" s="5" t="s">
        <v>2</v>
      </c>
      <c r="E348" s="5" t="s">
        <v>28</v>
      </c>
      <c r="F348" s="121">
        <v>41907</v>
      </c>
      <c r="G348" s="5" t="s">
        <v>1208</v>
      </c>
      <c r="H348" s="5" t="s">
        <v>1209</v>
      </c>
      <c r="I348" s="116" t="s">
        <v>1210</v>
      </c>
      <c r="J348" t="str">
        <f>VLOOKUP(C348,FORMGOOGLE,7,FALSE)</f>
        <v>https://drive.google.com/open?id=1WzteGUUDy3K7Kh7fBgAO8Am3_wKosKnz</v>
      </c>
    </row>
    <row r="349" spans="1:10" ht="15.75" thickBot="1" x14ac:dyDescent="0.3">
      <c r="A349" s="5" t="s">
        <v>1190</v>
      </c>
      <c r="B349" s="118" t="s">
        <v>4482</v>
      </c>
      <c r="C349" s="5" t="s">
        <v>1191</v>
      </c>
      <c r="D349" s="5" t="s">
        <v>66</v>
      </c>
      <c r="E349" s="5" t="s">
        <v>28</v>
      </c>
      <c r="F349" s="121">
        <v>41633</v>
      </c>
      <c r="G349" s="5" t="s">
        <v>1192</v>
      </c>
      <c r="H349" s="5" t="s">
        <v>1193</v>
      </c>
      <c r="I349" s="116" t="s">
        <v>1194</v>
      </c>
      <c r="J349" t="str">
        <f>VLOOKUP(C349,FORMGOOGLE,7,FALSE)</f>
        <v>https://drive.google.com/open?id=1DuN6bIsbuOiOuR1ATblM_dNgkdF3_jLy</v>
      </c>
    </row>
    <row r="350" spans="1:10" ht="15.75" thickBot="1" x14ac:dyDescent="0.3">
      <c r="A350" s="5" t="s">
        <v>1190</v>
      </c>
      <c r="B350" s="118" t="s">
        <v>4486</v>
      </c>
      <c r="C350" s="5" t="s">
        <v>1217</v>
      </c>
      <c r="D350" s="5" t="s">
        <v>2</v>
      </c>
      <c r="E350" s="5" t="s">
        <v>28</v>
      </c>
      <c r="F350" s="121">
        <v>41481</v>
      </c>
      <c r="G350" s="5" t="s">
        <v>1218</v>
      </c>
      <c r="H350" s="5" t="s">
        <v>1219</v>
      </c>
      <c r="I350" s="116" t="s">
        <v>1220</v>
      </c>
      <c r="J350" t="str">
        <f>VLOOKUP(C350,FORMGOOGLE,7,FALSE)</f>
        <v>https://drive.google.com/open?id=1WsQuosg1RaN-iN512pZRH5a7A3cRrauc</v>
      </c>
    </row>
    <row r="351" spans="1:10" ht="15.75" thickBot="1" x14ac:dyDescent="0.3">
      <c r="A351" s="5" t="s">
        <v>1238</v>
      </c>
      <c r="B351" s="118" t="s">
        <v>4488</v>
      </c>
      <c r="C351" s="5" t="s">
        <v>1239</v>
      </c>
      <c r="D351" s="5" t="s">
        <v>66</v>
      </c>
      <c r="E351" s="5" t="s">
        <v>10</v>
      </c>
      <c r="F351" s="121">
        <v>42043</v>
      </c>
      <c r="G351" s="5" t="s">
        <v>1240</v>
      </c>
      <c r="H351" s="5" t="s">
        <v>1241</v>
      </c>
      <c r="I351" s="114" t="s">
        <v>4506</v>
      </c>
      <c r="J351" t="str">
        <f>VLOOKUP(C351,FORMGOOGLE,7,FALSE)</f>
        <v>https://drive.google.com/open?id=1FiF3M-8WVtIfL6AGStRP7BZ-LKca63R1</v>
      </c>
    </row>
    <row r="352" spans="1:10" ht="15.75" thickBot="1" x14ac:dyDescent="0.3">
      <c r="A352" s="5" t="s">
        <v>1238</v>
      </c>
      <c r="B352" s="118" t="s">
        <v>4631</v>
      </c>
      <c r="C352" s="5" t="s">
        <v>4632</v>
      </c>
      <c r="D352" s="5" t="s">
        <v>2</v>
      </c>
      <c r="E352" s="5" t="s">
        <v>10</v>
      </c>
      <c r="F352" s="121">
        <v>42504</v>
      </c>
      <c r="G352" s="5" t="s">
        <v>4633</v>
      </c>
      <c r="H352" s="5" t="s">
        <v>4634</v>
      </c>
      <c r="I352" s="114" t="s">
        <v>4635</v>
      </c>
      <c r="J352" t="str">
        <f>VLOOKUP(C352,FORMGOOGLE,7,FALSE)</f>
        <v>https://drive.google.com/open?id=1nqCJzR0ey2Jc1VW02TkhyxihCSJlaysU</v>
      </c>
    </row>
    <row r="353" spans="1:10" ht="15.75" thickBot="1" x14ac:dyDescent="0.3">
      <c r="A353" s="5" t="s">
        <v>1238</v>
      </c>
      <c r="B353" s="118" t="s">
        <v>4636</v>
      </c>
      <c r="C353" s="5" t="s">
        <v>4637</v>
      </c>
      <c r="D353" s="5" t="s">
        <v>2</v>
      </c>
      <c r="E353" s="5" t="s">
        <v>10</v>
      </c>
      <c r="F353" s="121">
        <v>42689</v>
      </c>
      <c r="G353" s="5" t="s">
        <v>4638</v>
      </c>
      <c r="H353" s="5" t="s">
        <v>4639</v>
      </c>
      <c r="I353" s="114" t="s">
        <v>4640</v>
      </c>
      <c r="J353" t="str">
        <f>VLOOKUP(C353,FORMGOOGLE,7,FALSE)</f>
        <v>https://drive.google.com/open?id=17kqmwot_fRTDImo7N815eGZI63e-Uz9Y</v>
      </c>
    </row>
    <row r="354" spans="1:10" ht="15.75" thickBot="1" x14ac:dyDescent="0.3">
      <c r="A354" s="5" t="s">
        <v>1238</v>
      </c>
      <c r="B354" s="119" t="s">
        <v>4641</v>
      </c>
      <c r="C354" s="5" t="s">
        <v>4642</v>
      </c>
      <c r="D354" s="5" t="s">
        <v>2</v>
      </c>
      <c r="E354" s="5" t="s">
        <v>10</v>
      </c>
      <c r="F354" s="121">
        <v>42025</v>
      </c>
      <c r="G354" s="5" t="s">
        <v>4643</v>
      </c>
      <c r="H354" s="5" t="s">
        <v>4644</v>
      </c>
      <c r="I354" s="114" t="s">
        <v>4645</v>
      </c>
      <c r="J354" t="str">
        <f>VLOOKUP(C354,FORMGOOGLE,7,FALSE)</f>
        <v>https://drive.google.com/open?id=1hVBEjmVDwK479bZamWNw81u-yKfxww6E</v>
      </c>
    </row>
    <row r="355" spans="1:10" ht="15.75" thickBot="1" x14ac:dyDescent="0.3">
      <c r="A355" s="5" t="s">
        <v>1238</v>
      </c>
      <c r="B355" s="118" t="s">
        <v>4646</v>
      </c>
      <c r="C355" s="5" t="s">
        <v>4647</v>
      </c>
      <c r="D355" s="5" t="s">
        <v>2</v>
      </c>
      <c r="E355" s="5" t="s">
        <v>10</v>
      </c>
      <c r="F355" s="121">
        <v>42185</v>
      </c>
      <c r="G355" s="5" t="s">
        <v>4648</v>
      </c>
      <c r="H355" s="5" t="s">
        <v>4649</v>
      </c>
      <c r="I355" s="114" t="s">
        <v>4650</v>
      </c>
      <c r="J355" t="str">
        <f>VLOOKUP(C355,FORMGOOGLE,7,FALSE)</f>
        <v>https://drive.google.com/open?id=1RmHNofZavNbmmtTJvq3zpQDbSVpFT7Nk</v>
      </c>
    </row>
    <row r="356" spans="1:10" ht="15.75" thickBot="1" x14ac:dyDescent="0.3">
      <c r="A356" s="5" t="s">
        <v>1238</v>
      </c>
      <c r="B356" s="118" t="s">
        <v>4656</v>
      </c>
      <c r="C356" s="5" t="s">
        <v>4657</v>
      </c>
      <c r="D356" s="5" t="s">
        <v>66</v>
      </c>
      <c r="E356" s="5" t="s">
        <v>10</v>
      </c>
      <c r="F356" s="121">
        <v>41541</v>
      </c>
      <c r="G356" s="5" t="s">
        <v>4658</v>
      </c>
      <c r="H356" s="5" t="s">
        <v>3685</v>
      </c>
      <c r="I356" s="114" t="s">
        <v>4659</v>
      </c>
      <c r="J356" t="str">
        <f>VLOOKUP(C356,FORMGOOGLE,7,FALSE)</f>
        <v>https://drive.google.com/open?id=1xUUAspFJhZzUgELIvNFxbNVELsqqsu4J</v>
      </c>
    </row>
    <row r="357" spans="1:10" ht="15.75" thickBot="1" x14ac:dyDescent="0.3">
      <c r="A357" s="5" t="s">
        <v>1238</v>
      </c>
      <c r="B357" s="118" t="s">
        <v>4660</v>
      </c>
      <c r="C357" s="5" t="s">
        <v>4661</v>
      </c>
      <c r="D357" s="5" t="s">
        <v>2</v>
      </c>
      <c r="E357" s="5" t="s">
        <v>10</v>
      </c>
      <c r="F357" s="121">
        <v>42500</v>
      </c>
      <c r="G357" s="5" t="s">
        <v>4662</v>
      </c>
      <c r="H357" s="5" t="s">
        <v>4663</v>
      </c>
      <c r="I357" s="114" t="s">
        <v>4664</v>
      </c>
      <c r="J357" t="str">
        <f>VLOOKUP(C357,FORMGOOGLE,7,FALSE)</f>
        <v>https://drive.google.com/open?id=17ST5QLB4qOtNOZFof_rwHSEED1zc6ylA</v>
      </c>
    </row>
    <row r="358" spans="1:10" ht="15.75" thickBot="1" x14ac:dyDescent="0.3">
      <c r="A358" s="5" t="s">
        <v>1238</v>
      </c>
      <c r="B358" s="119" t="s">
        <v>4665</v>
      </c>
      <c r="C358" s="5" t="s">
        <v>4666</v>
      </c>
      <c r="D358" s="5" t="s">
        <v>2</v>
      </c>
      <c r="E358" s="5" t="s">
        <v>4060</v>
      </c>
      <c r="F358" s="121">
        <v>41407</v>
      </c>
      <c r="G358" s="5" t="s">
        <v>4667</v>
      </c>
      <c r="H358" s="5" t="s">
        <v>4668</v>
      </c>
      <c r="I358" s="114" t="s">
        <v>4669</v>
      </c>
      <c r="J358" t="str">
        <f>VLOOKUP(C358,FORMGOOGLE,7,FALSE)</f>
        <v>https://drive.google.com/open?id=1EW1ayBQ6ynGuCUeVGB3y6UktaYISgkel</v>
      </c>
    </row>
    <row r="359" spans="1:10" ht="15.75" thickBot="1" x14ac:dyDescent="0.3">
      <c r="A359" s="5" t="s">
        <v>1238</v>
      </c>
      <c r="B359" s="118" t="s">
        <v>4670</v>
      </c>
      <c r="C359" s="5" t="s">
        <v>4671</v>
      </c>
      <c r="D359" s="5" t="s">
        <v>66</v>
      </c>
      <c r="E359" s="5" t="s">
        <v>59</v>
      </c>
      <c r="F359" s="121">
        <v>43382</v>
      </c>
      <c r="G359" s="5" t="s">
        <v>4672</v>
      </c>
      <c r="H359" s="5" t="s">
        <v>4673</v>
      </c>
      <c r="I359" s="114" t="s">
        <v>4674</v>
      </c>
      <c r="J359" t="str">
        <f>VLOOKUP(C359,FORMGOOGLE,7,FALSE)</f>
        <v>https://drive.google.com/open?id=1LI2Df53usttRcFxUxcbBOlvEgrLzPMBN</v>
      </c>
    </row>
    <row r="360" spans="1:10" ht="15.75" thickBot="1" x14ac:dyDescent="0.3">
      <c r="A360" s="5" t="s">
        <v>1238</v>
      </c>
      <c r="B360" s="119" t="s">
        <v>4675</v>
      </c>
      <c r="C360" s="5" t="s">
        <v>4676</v>
      </c>
      <c r="D360" s="5" t="s">
        <v>66</v>
      </c>
      <c r="E360" s="5" t="s">
        <v>10</v>
      </c>
      <c r="F360" s="121">
        <v>41896</v>
      </c>
      <c r="G360" s="5" t="s">
        <v>4677</v>
      </c>
      <c r="H360" s="5" t="s">
        <v>4678</v>
      </c>
      <c r="I360" s="114" t="s">
        <v>4679</v>
      </c>
      <c r="J360" t="str">
        <f>VLOOKUP(C360,FORMGOOGLE,7,FALSE)</f>
        <v>https://drive.google.com/open?id=1jBnxh3Zg8OkFOSaXMN2w2t1eDTqav6KQ</v>
      </c>
    </row>
    <row r="361" spans="1:10" ht="15.75" thickBot="1" x14ac:dyDescent="0.3">
      <c r="A361" s="5" t="s">
        <v>1238</v>
      </c>
      <c r="B361" s="118" t="s">
        <v>4680</v>
      </c>
      <c r="C361" s="5" t="s">
        <v>4681</v>
      </c>
      <c r="D361" s="5" t="s">
        <v>66</v>
      </c>
      <c r="E361" s="5" t="s">
        <v>10</v>
      </c>
      <c r="F361" s="121">
        <v>41857</v>
      </c>
      <c r="G361" s="5" t="s">
        <v>4682</v>
      </c>
      <c r="H361" s="5" t="s">
        <v>4683</v>
      </c>
      <c r="I361" s="114" t="s">
        <v>4684</v>
      </c>
      <c r="J361" t="str">
        <f>VLOOKUP(C361,FORMGOOGLE,7,FALSE)</f>
        <v>https://drive.google.com/open?id=12e6rGbJ2sKsW5FeGM-TqjpoYoB-pDoMB</v>
      </c>
    </row>
    <row r="362" spans="1:10" ht="15.75" thickBot="1" x14ac:dyDescent="0.3">
      <c r="A362" s="5" t="s">
        <v>1238</v>
      </c>
      <c r="B362" s="119" t="s">
        <v>4695</v>
      </c>
      <c r="C362" s="5" t="s">
        <v>4696</v>
      </c>
      <c r="D362" s="5" t="s">
        <v>2</v>
      </c>
      <c r="E362" s="5" t="s">
        <v>10</v>
      </c>
      <c r="F362" s="121">
        <v>42584</v>
      </c>
      <c r="G362" s="5" t="s">
        <v>4697</v>
      </c>
      <c r="H362" s="5" t="s">
        <v>4698</v>
      </c>
      <c r="I362" s="114" t="s">
        <v>4699</v>
      </c>
      <c r="J362" t="str">
        <f>VLOOKUP(C362,FORMGOOGLE,7,FALSE)</f>
        <v>https://drive.google.com/open?id=15Ox3-OEh0xeyCwILdV7qBK-DSQgoAxNA</v>
      </c>
    </row>
    <row r="363" spans="1:10" ht="15.75" thickBot="1" x14ac:dyDescent="0.3">
      <c r="A363" s="5" t="s">
        <v>1238</v>
      </c>
      <c r="B363" s="119" t="s">
        <v>4705</v>
      </c>
      <c r="C363" s="5" t="s">
        <v>4706</v>
      </c>
      <c r="D363" s="5" t="s">
        <v>66</v>
      </c>
      <c r="E363" s="5" t="s">
        <v>10</v>
      </c>
      <c r="F363" s="121">
        <v>42203</v>
      </c>
      <c r="G363" s="5" t="s">
        <v>4707</v>
      </c>
      <c r="H363" s="5" t="s">
        <v>4708</v>
      </c>
      <c r="I363" s="114" t="s">
        <v>4709</v>
      </c>
      <c r="J363" t="str">
        <f>VLOOKUP(C363,FORMGOOGLE,7,FALSE)</f>
        <v>https://drive.google.com/open?id=1EgGzvqbDbnP8dnkw9c97l8Cn1U86cNLS</v>
      </c>
    </row>
    <row r="364" spans="1:10" ht="15.75" thickBot="1" x14ac:dyDescent="0.3">
      <c r="A364" s="5" t="s">
        <v>1238</v>
      </c>
      <c r="B364" s="118" t="s">
        <v>4710</v>
      </c>
      <c r="C364" s="5" t="s">
        <v>4711</v>
      </c>
      <c r="D364" s="5" t="s">
        <v>2</v>
      </c>
      <c r="E364" s="5" t="s">
        <v>4712</v>
      </c>
      <c r="F364" s="121">
        <v>43374</v>
      </c>
      <c r="G364" s="5" t="s">
        <v>4713</v>
      </c>
      <c r="H364" s="5" t="s">
        <v>4714</v>
      </c>
      <c r="I364" s="114" t="s">
        <v>4715</v>
      </c>
      <c r="J364" t="str">
        <f>VLOOKUP(C364,FORMGOOGLE,7,FALSE)</f>
        <v>https://drive.google.com/open?id=1myWbsRhU_ktNj0TDvZrEuUS3sikHLfAL</v>
      </c>
    </row>
    <row r="365" spans="1:10" ht="15.75" thickBot="1" x14ac:dyDescent="0.3">
      <c r="A365" s="5" t="s">
        <v>1238</v>
      </c>
      <c r="B365" s="119" t="s">
        <v>4716</v>
      </c>
      <c r="C365" s="5" t="s">
        <v>4717</v>
      </c>
      <c r="D365" s="5" t="s">
        <v>2</v>
      </c>
      <c r="E365" s="5" t="s">
        <v>10</v>
      </c>
      <c r="F365" s="121">
        <v>43238</v>
      </c>
      <c r="G365" s="5" t="s">
        <v>4718</v>
      </c>
      <c r="H365" s="5" t="s">
        <v>4719</v>
      </c>
      <c r="I365" s="114" t="s">
        <v>4720</v>
      </c>
      <c r="J365" t="str">
        <f>VLOOKUP(C365,FORMGOOGLE,7,FALSE)</f>
        <v>https://drive.google.com/open?id=1zZo8cbduptL6MC7rYIEyT7ggJqAGqnIY</v>
      </c>
    </row>
    <row r="366" spans="1:10" ht="15.75" thickBot="1" x14ac:dyDescent="0.3">
      <c r="A366" s="5" t="s">
        <v>1238</v>
      </c>
      <c r="B366" s="118" t="s">
        <v>4721</v>
      </c>
      <c r="C366" s="5" t="s">
        <v>4722</v>
      </c>
      <c r="D366" s="5" t="s">
        <v>2</v>
      </c>
      <c r="E366" s="5" t="s">
        <v>10</v>
      </c>
      <c r="F366" s="121">
        <v>41546</v>
      </c>
      <c r="G366" s="5" t="s">
        <v>4723</v>
      </c>
      <c r="H366" s="5" t="s">
        <v>4724</v>
      </c>
      <c r="I366" s="114" t="s">
        <v>4725</v>
      </c>
      <c r="J366" t="str">
        <f>VLOOKUP(C366,FORMGOOGLE,7,FALSE)</f>
        <v>https://drive.google.com/open?id=1gm_j2ILzNzCwr3Wj2Hw9GCyDgSKmJ06I</v>
      </c>
    </row>
    <row r="367" spans="1:10" ht="15.75" thickBot="1" x14ac:dyDescent="0.3">
      <c r="A367" s="5" t="s">
        <v>1238</v>
      </c>
      <c r="B367" s="119" t="s">
        <v>4726</v>
      </c>
      <c r="C367" s="5" t="s">
        <v>4727</v>
      </c>
      <c r="D367" s="5" t="s">
        <v>2</v>
      </c>
      <c r="E367" s="5" t="s">
        <v>10</v>
      </c>
      <c r="F367" s="121">
        <v>42692</v>
      </c>
      <c r="G367" s="5" t="s">
        <v>1028</v>
      </c>
      <c r="H367" s="5" t="s">
        <v>4728</v>
      </c>
      <c r="I367" s="114" t="s">
        <v>4729</v>
      </c>
      <c r="J367" t="str">
        <f>VLOOKUP(C367,FORMGOOGLE,7,FALSE)</f>
        <v>https://drive.google.com/open?id=16MtuJ1yRHmRzaES-NTfw9AXetxE2E8qP</v>
      </c>
    </row>
    <row r="368" spans="1:10" ht="15.75" thickBot="1" x14ac:dyDescent="0.3">
      <c r="A368" s="5" t="s">
        <v>1238</v>
      </c>
      <c r="B368" s="118" t="s">
        <v>4730</v>
      </c>
      <c r="C368" s="5" t="s">
        <v>4731</v>
      </c>
      <c r="D368" s="5" t="s">
        <v>2</v>
      </c>
      <c r="E368" s="5" t="s">
        <v>116</v>
      </c>
      <c r="F368" s="121">
        <v>42848</v>
      </c>
      <c r="G368" s="5" t="s">
        <v>4732</v>
      </c>
      <c r="H368" s="5" t="s">
        <v>4733</v>
      </c>
      <c r="I368" s="114" t="s">
        <v>4734</v>
      </c>
      <c r="J368" t="str">
        <f>VLOOKUP(C368,FORMGOOGLE,7,FALSE)</f>
        <v>https://drive.google.com/open?id=1DCNU3NFKabGS7d1q9szqZq6uF8oRDpbu</v>
      </c>
    </row>
    <row r="369" spans="1:10" ht="15.75" thickBot="1" x14ac:dyDescent="0.3">
      <c r="A369" s="5" t="s">
        <v>256</v>
      </c>
      <c r="B369" s="119" t="s">
        <v>4492</v>
      </c>
      <c r="C369" s="5" t="s">
        <v>1390</v>
      </c>
      <c r="D369" s="5" t="s">
        <v>66</v>
      </c>
      <c r="E369" s="5" t="s">
        <v>10</v>
      </c>
      <c r="F369" s="121">
        <v>41884</v>
      </c>
      <c r="G369" s="5" t="s">
        <v>1391</v>
      </c>
      <c r="H369" s="5" t="s">
        <v>1392</v>
      </c>
      <c r="I369" s="116" t="s">
        <v>1393</v>
      </c>
      <c r="J369" t="str">
        <f>VLOOKUP(C369,FORMGOOGLE,7,FALSE)</f>
        <v>https://drive.google.com/open?id=1B0pqri8k2E8kFPMNGbPuens5AiLd-zRk</v>
      </c>
    </row>
    <row r="370" spans="1:10" ht="15.75" thickBot="1" x14ac:dyDescent="0.3">
      <c r="A370" s="5" t="s">
        <v>256</v>
      </c>
      <c r="B370" s="118" t="s">
        <v>5050</v>
      </c>
      <c r="C370" s="5" t="s">
        <v>5051</v>
      </c>
      <c r="D370" s="5" t="s">
        <v>2</v>
      </c>
      <c r="E370" s="5" t="s">
        <v>116</v>
      </c>
      <c r="F370" s="121">
        <v>42205</v>
      </c>
      <c r="G370" s="5" t="s">
        <v>5052</v>
      </c>
      <c r="H370" s="5" t="s">
        <v>5053</v>
      </c>
      <c r="I370" s="114" t="s">
        <v>5054</v>
      </c>
      <c r="J370" t="str">
        <f>VLOOKUP(C370,FORMGOOGLE,7,FALSE)</f>
        <v>https://drive.google.com/open?id=1NWHMLJxX7tysKk4nRYHf7MA1GslSE7qN</v>
      </c>
    </row>
    <row r="371" spans="1:10" ht="15.75" thickBot="1" x14ac:dyDescent="0.3">
      <c r="A371" s="5" t="s">
        <v>256</v>
      </c>
      <c r="B371" s="119" t="s">
        <v>4490</v>
      </c>
      <c r="C371" s="5" t="s">
        <v>1352</v>
      </c>
      <c r="D371" s="5" t="s">
        <v>2</v>
      </c>
      <c r="E371" s="11" t="s">
        <v>1353</v>
      </c>
      <c r="F371" s="121">
        <v>41984</v>
      </c>
      <c r="G371" s="5" t="s">
        <v>1354</v>
      </c>
      <c r="H371" s="5" t="s">
        <v>1355</v>
      </c>
      <c r="I371" s="116" t="s">
        <v>1356</v>
      </c>
      <c r="J371" t="str">
        <f>VLOOKUP(C371,FORMGOOGLE,7,FALSE)</f>
        <v>https://drive.google.com/open?id=1NmOKzD-K_aekyGzoIbckTSlsGQ8_1xt4</v>
      </c>
    </row>
    <row r="372" spans="1:10" ht="15.75" thickBot="1" x14ac:dyDescent="0.3">
      <c r="A372" s="5" t="s">
        <v>256</v>
      </c>
      <c r="B372" s="118" t="s">
        <v>4489</v>
      </c>
      <c r="C372" s="5" t="s">
        <v>1341</v>
      </c>
      <c r="D372" s="5" t="s">
        <v>66</v>
      </c>
      <c r="E372" s="5" t="s">
        <v>1342</v>
      </c>
      <c r="F372" s="121">
        <v>40962</v>
      </c>
      <c r="G372" s="5" t="s">
        <v>1343</v>
      </c>
      <c r="H372" s="5" t="s">
        <v>1344</v>
      </c>
      <c r="I372" s="116" t="s">
        <v>1345</v>
      </c>
      <c r="J372" t="str">
        <f>VLOOKUP(C372,FORMGOOGLE,7,FALSE)</f>
        <v>https://drive.google.com/open?id=1MlnSIhIqnoxxdlSDZ-VDqpTu8S2Kjliw</v>
      </c>
    </row>
    <row r="373" spans="1:10" ht="15.75" thickBot="1" x14ac:dyDescent="0.3">
      <c r="A373" s="5" t="s">
        <v>256</v>
      </c>
      <c r="B373" s="118" t="s">
        <v>4493</v>
      </c>
      <c r="C373" s="5" t="s">
        <v>1395</v>
      </c>
      <c r="D373" s="5" t="s">
        <v>2</v>
      </c>
      <c r="E373" s="5" t="s">
        <v>10</v>
      </c>
      <c r="F373" s="121">
        <v>41789</v>
      </c>
      <c r="G373" s="5" t="s">
        <v>1396</v>
      </c>
      <c r="H373" s="5" t="s">
        <v>1397</v>
      </c>
      <c r="I373" s="116" t="s">
        <v>1398</v>
      </c>
      <c r="J373" t="str">
        <f>VLOOKUP(C373,FORMGOOGLE,7,FALSE)</f>
        <v>https://drive.google.com/open?id=1C6CP4pGdOgpC5NVs35jsftwgFDePmnAD</v>
      </c>
    </row>
    <row r="374" spans="1:10" ht="15.75" thickBot="1" x14ac:dyDescent="0.3">
      <c r="A374" s="5" t="s">
        <v>256</v>
      </c>
      <c r="B374" s="118" t="s">
        <v>4491</v>
      </c>
      <c r="C374" s="5" t="s">
        <v>1385</v>
      </c>
      <c r="D374" s="5" t="s">
        <v>66</v>
      </c>
      <c r="E374" s="5" t="s">
        <v>10</v>
      </c>
      <c r="F374" s="121">
        <v>43194</v>
      </c>
      <c r="G374" s="5" t="s">
        <v>1386</v>
      </c>
      <c r="H374" s="5" t="s">
        <v>1387</v>
      </c>
      <c r="I374" s="116" t="s">
        <v>1388</v>
      </c>
      <c r="J374" t="str">
        <f>VLOOKUP(C374,FORMGOOGLE,7,FALSE)</f>
        <v>https://drive.google.com/open?id=1kyerna70AHwNmG87Z_bisjfrWNMZVzeu</v>
      </c>
    </row>
    <row r="375" spans="1:10" ht="15.75" thickBot="1" x14ac:dyDescent="0.3">
      <c r="A375" s="5" t="s">
        <v>256</v>
      </c>
      <c r="B375" s="119" t="s">
        <v>3049</v>
      </c>
      <c r="C375" s="5" t="s">
        <v>1892</v>
      </c>
      <c r="D375" s="5" t="s">
        <v>2</v>
      </c>
      <c r="E375" s="5" t="s">
        <v>1893</v>
      </c>
      <c r="F375" s="121">
        <v>42609</v>
      </c>
      <c r="G375" s="5" t="s">
        <v>1894</v>
      </c>
      <c r="H375" s="5" t="s">
        <v>1895</v>
      </c>
      <c r="I375" s="116" t="s">
        <v>1896</v>
      </c>
      <c r="J375" t="str">
        <f>VLOOKUP(C375,FORMGOOGLE,7,FALSE)</f>
        <v>https://drive.google.com/open?id=14GCOM5Aw53Svsvr2vnbt4_dbBgEdbQus</v>
      </c>
    </row>
    <row r="376" spans="1:10" ht="15.75" thickBot="1" x14ac:dyDescent="0.3">
      <c r="A376" s="5" t="s">
        <v>256</v>
      </c>
      <c r="B376" s="118" t="s">
        <v>3036</v>
      </c>
      <c r="C376" s="5" t="s">
        <v>1518</v>
      </c>
      <c r="D376" s="5" t="s">
        <v>2</v>
      </c>
      <c r="E376" s="5" t="s">
        <v>10</v>
      </c>
      <c r="F376" s="121">
        <v>42323</v>
      </c>
      <c r="G376" s="5" t="s">
        <v>1519</v>
      </c>
      <c r="H376" s="5" t="s">
        <v>1520</v>
      </c>
      <c r="I376" s="116" t="s">
        <v>1521</v>
      </c>
      <c r="J376" t="str">
        <f>VLOOKUP(C376,FORMGOOGLE,7,FALSE)</f>
        <v>https://drive.google.com/open?id=1DFWKlq5FAH56c_FhB8BVJRa8FTWttKNz</v>
      </c>
    </row>
    <row r="377" spans="1:10" ht="15.75" thickBot="1" x14ac:dyDescent="0.3">
      <c r="A377" s="5" t="s">
        <v>256</v>
      </c>
      <c r="B377" s="119" t="s">
        <v>3152</v>
      </c>
      <c r="C377" s="5" t="s">
        <v>1154</v>
      </c>
      <c r="D377" s="5" t="s">
        <v>2</v>
      </c>
      <c r="E377" s="5" t="s">
        <v>1155</v>
      </c>
      <c r="F377" s="121">
        <v>42269</v>
      </c>
      <c r="G377" s="5" t="s">
        <v>1156</v>
      </c>
      <c r="H377" s="5" t="s">
        <v>1157</v>
      </c>
      <c r="I377" s="116" t="s">
        <v>1158</v>
      </c>
      <c r="J377" t="str">
        <f>VLOOKUP(C377,FORMGOOGLE,7,FALSE)</f>
        <v>https://drive.google.com/open?id=1fjNxsrf9W7fYUvRpAigsHGf_U1kBjS3X</v>
      </c>
    </row>
    <row r="378" spans="1:10" ht="15.75" thickBot="1" x14ac:dyDescent="0.3">
      <c r="A378" s="5" t="s">
        <v>256</v>
      </c>
      <c r="B378" s="119" t="s">
        <v>251</v>
      </c>
      <c r="C378" s="5" t="s">
        <v>252</v>
      </c>
      <c r="D378" s="5" t="s">
        <v>2</v>
      </c>
      <c r="E378" s="5" t="s">
        <v>10</v>
      </c>
      <c r="F378" s="121">
        <v>41692</v>
      </c>
      <c r="G378" s="5" t="s">
        <v>253</v>
      </c>
      <c r="H378" s="5" t="s">
        <v>254</v>
      </c>
      <c r="I378" s="114" t="s">
        <v>255</v>
      </c>
      <c r="J378" t="str">
        <f>VLOOKUP(C378,FORMGOOGLE,7,FALSE)</f>
        <v>https://drive.google.com/open?id=1sK6HeLqWPPg_hDzXX8TStXEgzC_J0OtB</v>
      </c>
    </row>
    <row r="379" spans="1:10" ht="15.75" thickBot="1" x14ac:dyDescent="0.3">
      <c r="A379" s="5" t="s">
        <v>1260</v>
      </c>
      <c r="B379" s="119" t="s">
        <v>4497</v>
      </c>
      <c r="C379" s="5" t="s">
        <v>1284</v>
      </c>
      <c r="D379" s="5" t="s">
        <v>2</v>
      </c>
      <c r="E379" s="5" t="s">
        <v>28</v>
      </c>
      <c r="F379" s="121">
        <v>43663</v>
      </c>
      <c r="G379" s="5" t="s">
        <v>1285</v>
      </c>
      <c r="H379" s="5" t="s">
        <v>1286</v>
      </c>
      <c r="I379" s="116" t="s">
        <v>1287</v>
      </c>
      <c r="J379" t="str">
        <f>VLOOKUP(C379,FORMGOOGLE,7,FALSE)</f>
        <v>https://drive.google.com/open?id=15rkxskjSSz2NXTeNdUa9TKNTwVqBehWa</v>
      </c>
    </row>
    <row r="380" spans="1:10" ht="15.75" thickBot="1" x14ac:dyDescent="0.3">
      <c r="A380" s="5" t="s">
        <v>1260</v>
      </c>
      <c r="B380" s="118" t="s">
        <v>4496</v>
      </c>
      <c r="C380" s="5" t="s">
        <v>1279</v>
      </c>
      <c r="D380" s="5" t="s">
        <v>2</v>
      </c>
      <c r="E380" s="5" t="s">
        <v>10</v>
      </c>
      <c r="F380" s="121">
        <v>43543</v>
      </c>
      <c r="G380" s="5" t="s">
        <v>1280</v>
      </c>
      <c r="H380" s="5" t="s">
        <v>1281</v>
      </c>
      <c r="I380" s="116" t="s">
        <v>1282</v>
      </c>
      <c r="J380" t="str">
        <f>VLOOKUP(C380,FORMGOOGLE,7,FALSE)</f>
        <v>https://drive.google.com/open?id=1sgYIqcVhXv5Gx01W1o8jxjsMHveG6_Cm</v>
      </c>
    </row>
    <row r="381" spans="1:10" ht="15.75" thickBot="1" x14ac:dyDescent="0.3">
      <c r="A381" s="6" t="s">
        <v>1260</v>
      </c>
      <c r="B381" s="118" t="s">
        <v>4737</v>
      </c>
      <c r="C381" s="5" t="s">
        <v>344</v>
      </c>
      <c r="D381" s="5" t="s">
        <v>66</v>
      </c>
      <c r="E381" s="5" t="s">
        <v>10</v>
      </c>
      <c r="F381" s="121">
        <v>43448</v>
      </c>
      <c r="G381" s="5" t="s">
        <v>345</v>
      </c>
      <c r="H381" s="5" t="s">
        <v>4738</v>
      </c>
      <c r="I381" s="114" t="s">
        <v>4739</v>
      </c>
      <c r="J381" t="str">
        <f>VLOOKUP(C381,FORMGOOGLE,7,FALSE)</f>
        <v>https://drive.google.com/open?id=1UTslcn3OyPqC4-G7Ke2WjORM43S3M58-</v>
      </c>
    </row>
    <row r="382" spans="1:10" ht="15.75" thickBot="1" x14ac:dyDescent="0.3">
      <c r="A382" s="5" t="s">
        <v>1260</v>
      </c>
      <c r="B382" s="118" t="s">
        <v>4494</v>
      </c>
      <c r="C382" s="5" t="s">
        <v>1261</v>
      </c>
      <c r="D382" s="5" t="s">
        <v>66</v>
      </c>
      <c r="E382" s="5" t="s">
        <v>10</v>
      </c>
      <c r="F382" s="121">
        <v>43233</v>
      </c>
      <c r="G382" s="5" t="s">
        <v>1262</v>
      </c>
      <c r="H382" s="5" t="s">
        <v>1263</v>
      </c>
      <c r="I382" s="116" t="s">
        <v>1264</v>
      </c>
      <c r="J382" t="str">
        <f>VLOOKUP(C382,FORMGOOGLE,7,FALSE)</f>
        <v>https://drive.google.com/open?id=1Mv4i0UoSZcVnknwgkMTt1DAvSDZaKQTi</v>
      </c>
    </row>
    <row r="383" spans="1:10" ht="15.75" thickBot="1" x14ac:dyDescent="0.3">
      <c r="A383" s="5" t="s">
        <v>1260</v>
      </c>
      <c r="B383" s="118" t="s">
        <v>4498</v>
      </c>
      <c r="C383" s="5" t="s">
        <v>1418</v>
      </c>
      <c r="D383" s="5" t="s">
        <v>2</v>
      </c>
      <c r="E383" s="5" t="s">
        <v>328</v>
      </c>
      <c r="F383" s="121">
        <v>43922</v>
      </c>
      <c r="G383" s="5" t="s">
        <v>1419</v>
      </c>
      <c r="H383" s="5" t="s">
        <v>1420</v>
      </c>
      <c r="I383" s="116" t="s">
        <v>1421</v>
      </c>
      <c r="J383" t="str">
        <f>VLOOKUP(C383,FORMGOOGLE,7,FALSE)</f>
        <v>https://drive.google.com/open?id=1J4oLPFyDpTSEcOGncacZfpBlUfcTO5Dg</v>
      </c>
    </row>
    <row r="384" spans="1:10" ht="15.75" thickBot="1" x14ac:dyDescent="0.3">
      <c r="A384" s="5" t="s">
        <v>1260</v>
      </c>
      <c r="B384" s="119" t="s">
        <v>4495</v>
      </c>
      <c r="C384" s="5" t="s">
        <v>1271</v>
      </c>
      <c r="D384" s="5" t="s">
        <v>2</v>
      </c>
      <c r="E384" s="5" t="s">
        <v>10</v>
      </c>
      <c r="F384" s="121">
        <v>43587</v>
      </c>
      <c r="G384" s="5" t="s">
        <v>1272</v>
      </c>
      <c r="H384" s="5" t="s">
        <v>1273</v>
      </c>
      <c r="I384" s="116" t="s">
        <v>1274</v>
      </c>
      <c r="J384" t="str">
        <f>VLOOKUP(C384,FORMGOOGLE,7,FALSE)</f>
        <v>https://drive.google.com/open?id=1-GtHLQMJpr-K1oJW_SXclPMmbXXYi-jK</v>
      </c>
    </row>
    <row r="385" spans="1:10" ht="15.75" thickBot="1" x14ac:dyDescent="0.3">
      <c r="A385" s="5" t="s">
        <v>4761</v>
      </c>
      <c r="B385" s="119" t="s">
        <v>4762</v>
      </c>
      <c r="C385" s="5" t="s">
        <v>4763</v>
      </c>
      <c r="D385" s="5" t="s">
        <v>66</v>
      </c>
      <c r="E385" s="5" t="s">
        <v>10</v>
      </c>
      <c r="F385" s="121">
        <v>42002</v>
      </c>
      <c r="G385" s="5" t="s">
        <v>4764</v>
      </c>
      <c r="H385" s="5" t="s">
        <v>4765</v>
      </c>
      <c r="I385" s="114" t="s">
        <v>4766</v>
      </c>
      <c r="J385" t="str">
        <f>VLOOKUP(C385,FORMGOOGLE,7,FALSE)</f>
        <v>https://drive.google.com/open?id=1pumwoyVPlgmmdUXT7w6DiALsQxlsBaC2</v>
      </c>
    </row>
    <row r="386" spans="1:10" ht="15.75" thickBot="1" x14ac:dyDescent="0.3">
      <c r="A386" s="5" t="s">
        <v>4761</v>
      </c>
      <c r="B386" s="118" t="s">
        <v>4756</v>
      </c>
      <c r="C386" s="5" t="s">
        <v>4757</v>
      </c>
      <c r="D386" s="5" t="s">
        <v>2</v>
      </c>
      <c r="E386" s="5" t="s">
        <v>10</v>
      </c>
      <c r="F386" s="121">
        <v>42601</v>
      </c>
      <c r="G386" s="5" t="s">
        <v>4758</v>
      </c>
      <c r="H386" s="5" t="s">
        <v>4759</v>
      </c>
      <c r="I386" s="114" t="s">
        <v>4760</v>
      </c>
      <c r="J386" t="str">
        <f>VLOOKUP(C386,FORMGOOGLE,7,FALSE)</f>
        <v>https://drive.google.com/open?id=13TvOIzsfwI5IBErH6p3BE-dZ34pgTNUs</v>
      </c>
    </row>
    <row r="387" spans="1:10" ht="15.75" thickBot="1" x14ac:dyDescent="0.3">
      <c r="A387" s="5" t="s">
        <v>854</v>
      </c>
      <c r="B387" s="119" t="s">
        <v>3113</v>
      </c>
      <c r="C387" s="5" t="s">
        <v>2904</v>
      </c>
      <c r="D387" s="5" t="s">
        <v>2</v>
      </c>
      <c r="E387" s="5" t="s">
        <v>116</v>
      </c>
      <c r="F387" s="121">
        <v>42171</v>
      </c>
      <c r="G387" s="5" t="s">
        <v>2905</v>
      </c>
      <c r="H387" s="5" t="s">
        <v>2906</v>
      </c>
      <c r="I387" s="114" t="s">
        <v>4507</v>
      </c>
      <c r="J387" t="str">
        <f>VLOOKUP(C387,FORMGOOGLE,7,FALSE)</f>
        <v>https://drive.google.com/open?id=1pZwQocX9IoH3o6w2MyuDxY9YAms8XtTJ</v>
      </c>
    </row>
    <row r="388" spans="1:10" ht="15.75" thickBot="1" x14ac:dyDescent="0.3">
      <c r="A388" s="6" t="s">
        <v>854</v>
      </c>
      <c r="B388" s="118" t="s">
        <v>5173</v>
      </c>
      <c r="C388" s="5" t="s">
        <v>814</v>
      </c>
      <c r="D388" s="5" t="s">
        <v>2</v>
      </c>
      <c r="E388" s="11" t="s">
        <v>5174</v>
      </c>
      <c r="F388" s="121">
        <v>42005</v>
      </c>
      <c r="G388" s="5" t="s">
        <v>816</v>
      </c>
      <c r="H388" s="5" t="s">
        <v>817</v>
      </c>
      <c r="I388" s="114" t="s">
        <v>5175</v>
      </c>
      <c r="J388" t="str">
        <f>VLOOKUP(C388,FORMGOOGLE,7,FALSE)</f>
        <v>https://drive.google.com/open?id=10dIxDPoiBWrpY6v7ZSlDxQNVKNg2SJNh</v>
      </c>
    </row>
    <row r="389" spans="1:10" ht="15.75" thickBot="1" x14ac:dyDescent="0.3">
      <c r="A389" s="5" t="s">
        <v>854</v>
      </c>
      <c r="B389" s="118" t="s">
        <v>849</v>
      </c>
      <c r="C389" s="5" t="s">
        <v>850</v>
      </c>
      <c r="D389" s="5" t="s">
        <v>2</v>
      </c>
      <c r="E389" s="5" t="s">
        <v>10</v>
      </c>
      <c r="F389" s="121">
        <v>41531</v>
      </c>
      <c r="G389" s="5" t="s">
        <v>851</v>
      </c>
      <c r="H389" s="5" t="s">
        <v>852</v>
      </c>
      <c r="I389" s="114" t="s">
        <v>853</v>
      </c>
      <c r="J389" t="str">
        <f>VLOOKUP(C389,FORMGOOGLE,7,FALSE)</f>
        <v>https://drive.google.com/open?id=18Hnz_M50p9mFjB8Ka7MFGAWKKC_X2Q16</v>
      </c>
    </row>
    <row r="390" spans="1:10" ht="15.75" thickBot="1" x14ac:dyDescent="0.3">
      <c r="A390" s="5" t="s">
        <v>854</v>
      </c>
      <c r="B390" s="118" t="s">
        <v>3115</v>
      </c>
      <c r="C390" s="5" t="s">
        <v>2918</v>
      </c>
      <c r="D390" s="5" t="s">
        <v>66</v>
      </c>
      <c r="E390" s="5" t="s">
        <v>10</v>
      </c>
      <c r="F390" s="121">
        <v>42187</v>
      </c>
      <c r="G390" s="5" t="s">
        <v>2919</v>
      </c>
      <c r="H390" s="5" t="s">
        <v>2920</v>
      </c>
      <c r="I390" s="114" t="s">
        <v>4508</v>
      </c>
      <c r="J390" t="str">
        <f>VLOOKUP(C390,FORMGOOGLE,7,FALSE)</f>
        <v>https://drive.google.com/open?id=1Ro9nvaVnMZNxKLxEtNagz46U5yQeUeWa</v>
      </c>
    </row>
    <row r="391" spans="1:10" ht="15.75" thickBot="1" x14ac:dyDescent="0.3">
      <c r="A391" s="5" t="s">
        <v>484</v>
      </c>
      <c r="B391" s="119" t="s">
        <v>3052</v>
      </c>
      <c r="C391" s="5" t="s">
        <v>1423</v>
      </c>
      <c r="D391" s="5" t="s">
        <v>66</v>
      </c>
      <c r="E391" s="5" t="s">
        <v>28</v>
      </c>
      <c r="F391" s="121">
        <v>41621</v>
      </c>
      <c r="G391" s="5" t="s">
        <v>1424</v>
      </c>
      <c r="H391" s="5" t="s">
        <v>1425</v>
      </c>
      <c r="I391" s="114" t="s">
        <v>4509</v>
      </c>
      <c r="J391" t="str">
        <f>VLOOKUP(C391,FORMGOOGLE,7,FALSE)</f>
        <v>https://drive.google.com/open?id=1lXl8mcbKrrf6D8qCxW53exOrMsD3-msY</v>
      </c>
    </row>
    <row r="392" spans="1:10" ht="15.75" thickBot="1" x14ac:dyDescent="0.3">
      <c r="A392" s="5" t="s">
        <v>484</v>
      </c>
      <c r="B392" s="119" t="s">
        <v>3106</v>
      </c>
      <c r="C392" s="11" t="s">
        <v>1501</v>
      </c>
      <c r="D392" s="5" t="s">
        <v>66</v>
      </c>
      <c r="E392" s="5" t="s">
        <v>28</v>
      </c>
      <c r="F392" s="121">
        <v>41704</v>
      </c>
      <c r="G392" s="5" t="s">
        <v>1503</v>
      </c>
      <c r="H392" s="5" t="s">
        <v>1504</v>
      </c>
      <c r="I392" s="117" t="e">
        <v>#N/A</v>
      </c>
      <c r="J392" t="str">
        <f>VLOOKUP(C392,FORMGOOGLE,7,FALSE)</f>
        <v>https://drive.google.com/open?id=1lgLhF1xR0UF8WCyY91C4lmIvYwz_QRP4</v>
      </c>
    </row>
    <row r="393" spans="1:10" ht="15.75" thickBot="1" x14ac:dyDescent="0.3">
      <c r="A393" s="5" t="s">
        <v>484</v>
      </c>
      <c r="B393" s="118" t="s">
        <v>3096</v>
      </c>
      <c r="C393" s="11" t="s">
        <v>1974</v>
      </c>
      <c r="D393" s="5" t="s">
        <v>66</v>
      </c>
      <c r="E393" s="5" t="s">
        <v>28</v>
      </c>
      <c r="F393" s="121">
        <v>41704</v>
      </c>
      <c r="G393" s="5" t="s">
        <v>1503</v>
      </c>
      <c r="H393" s="5" t="s">
        <v>1504</v>
      </c>
      <c r="I393" s="117" t="e">
        <v>#N/A</v>
      </c>
      <c r="J393" t="str">
        <f>VLOOKUP(C393,FORMGOOGLE,7,FALSE)</f>
        <v>https://drive.google.com/open?id=1gj9zs7do8UXzut3Ok8t7iB5u3qKntN9Z</v>
      </c>
    </row>
    <row r="394" spans="1:10" ht="15.75" thickBot="1" x14ac:dyDescent="0.3">
      <c r="A394" s="5" t="s">
        <v>484</v>
      </c>
      <c r="B394" s="119" t="s">
        <v>3100</v>
      </c>
      <c r="C394" s="5" t="s">
        <v>2062</v>
      </c>
      <c r="D394" s="5" t="s">
        <v>2</v>
      </c>
      <c r="E394" s="5" t="s">
        <v>10</v>
      </c>
      <c r="F394" s="121">
        <v>41792</v>
      </c>
      <c r="G394" s="5" t="s">
        <v>2063</v>
      </c>
      <c r="H394" s="5" t="s">
        <v>2064</v>
      </c>
      <c r="I394" s="114" t="s">
        <v>4512</v>
      </c>
      <c r="J394" t="str">
        <f>VLOOKUP(C394,FORMGOOGLE,7,FALSE)</f>
        <v>https://drive.google.com/open?id=1kKmYTDDn61MhOUXcIXuWC4-WqxFbzU3r</v>
      </c>
    </row>
    <row r="395" spans="1:10" ht="15.75" thickBot="1" x14ac:dyDescent="0.3">
      <c r="A395" s="5" t="s">
        <v>484</v>
      </c>
      <c r="B395" s="118" t="s">
        <v>844</v>
      </c>
      <c r="C395" s="5" t="s">
        <v>845</v>
      </c>
      <c r="D395" s="5" t="s">
        <v>2</v>
      </c>
      <c r="E395" s="5" t="s">
        <v>10</v>
      </c>
      <c r="F395" s="121">
        <v>41548</v>
      </c>
      <c r="G395" s="5" t="s">
        <v>846</v>
      </c>
      <c r="H395" s="5" t="s">
        <v>847</v>
      </c>
      <c r="I395" s="114" t="s">
        <v>848</v>
      </c>
      <c r="J395" t="str">
        <f>VLOOKUP(C395,FORMGOOGLE,7,FALSE)</f>
        <v>https://drive.google.com/open?id=1DJVq2Jmyu0aHFInLuL8zqCoyTr62JAUu</v>
      </c>
    </row>
    <row r="396" spans="1:10" ht="15.75" thickBot="1" x14ac:dyDescent="0.3">
      <c r="A396" s="5" t="s">
        <v>484</v>
      </c>
      <c r="B396" s="119" t="s">
        <v>5010</v>
      </c>
      <c r="C396" s="5" t="s">
        <v>5011</v>
      </c>
      <c r="D396" s="5" t="s">
        <v>66</v>
      </c>
      <c r="E396" s="5" t="s">
        <v>10</v>
      </c>
      <c r="F396" s="121">
        <v>41607</v>
      </c>
      <c r="G396" s="5" t="s">
        <v>590</v>
      </c>
      <c r="H396" s="5" t="s">
        <v>591</v>
      </c>
      <c r="I396" s="114" t="s">
        <v>5012</v>
      </c>
      <c r="J396" t="str">
        <f>VLOOKUP(C396,FORMGOOGLE,7,FALSE)</f>
        <v>https://drive.google.com/open?id=1bsc5QBcXOnqIvA8BYJTwnergkD6ctpg4</v>
      </c>
    </row>
    <row r="397" spans="1:10" ht="15.75" thickBot="1" x14ac:dyDescent="0.3">
      <c r="A397" s="5" t="s">
        <v>484</v>
      </c>
      <c r="B397" s="118" t="s">
        <v>894</v>
      </c>
      <c r="C397" s="5" t="s">
        <v>890</v>
      </c>
      <c r="D397" s="5" t="s">
        <v>66</v>
      </c>
      <c r="E397" s="5" t="s">
        <v>10</v>
      </c>
      <c r="F397" s="121">
        <v>41752</v>
      </c>
      <c r="G397" s="5" t="s">
        <v>891</v>
      </c>
      <c r="H397" s="5" t="s">
        <v>895</v>
      </c>
      <c r="I397" s="114" t="s">
        <v>896</v>
      </c>
      <c r="J397" t="str">
        <f>VLOOKUP(C397,FORMGOOGLE,7,FALSE)</f>
        <v>https://drive.google.com/open?id=1kOIpkXL2ulXMgtwZo_paD2jgLViTSESS</v>
      </c>
    </row>
    <row r="398" spans="1:10" ht="15.75" thickBot="1" x14ac:dyDescent="0.3">
      <c r="A398" s="5" t="s">
        <v>484</v>
      </c>
      <c r="B398" s="119" t="s">
        <v>3081</v>
      </c>
      <c r="C398" s="5" t="s">
        <v>1835</v>
      </c>
      <c r="D398" s="5" t="s">
        <v>66</v>
      </c>
      <c r="E398" s="5" t="s">
        <v>10</v>
      </c>
      <c r="F398" s="121">
        <v>41629</v>
      </c>
      <c r="G398" s="5" t="s">
        <v>1836</v>
      </c>
      <c r="H398" s="5" t="s">
        <v>1837</v>
      </c>
      <c r="I398" s="114" t="s">
        <v>4510</v>
      </c>
      <c r="J398" t="str">
        <f>VLOOKUP(C398,FORMGOOGLE,7,FALSE)</f>
        <v>https://drive.google.com/open?id=1lgdTeLYu4GKAZTieHMdp98vhLTCwn72t</v>
      </c>
    </row>
    <row r="399" spans="1:10" ht="15.75" thickBot="1" x14ac:dyDescent="0.3">
      <c r="A399" s="5" t="s">
        <v>484</v>
      </c>
      <c r="B399" s="119" t="s">
        <v>479</v>
      </c>
      <c r="C399" s="5" t="s">
        <v>480</v>
      </c>
      <c r="D399" s="5" t="s">
        <v>66</v>
      </c>
      <c r="E399" s="5" t="s">
        <v>10</v>
      </c>
      <c r="F399" s="121">
        <v>41779</v>
      </c>
      <c r="G399" s="5" t="s">
        <v>481</v>
      </c>
      <c r="H399" s="5" t="s">
        <v>482</v>
      </c>
      <c r="I399" s="114" t="s">
        <v>483</v>
      </c>
      <c r="J399" t="str">
        <f>VLOOKUP(C399,FORMGOOGLE,7,FALSE)</f>
        <v>https://drive.google.com/open?id=1L3WshmBGPE7_6Ska8EkXv7Dk6yofWrNZ</v>
      </c>
    </row>
    <row r="400" spans="1:10" ht="15.75" thickBot="1" x14ac:dyDescent="0.3">
      <c r="A400" s="5" t="s">
        <v>484</v>
      </c>
      <c r="B400" s="118" t="s">
        <v>3093</v>
      </c>
      <c r="C400" s="5" t="s">
        <v>1941</v>
      </c>
      <c r="D400" s="5" t="s">
        <v>2</v>
      </c>
      <c r="E400" s="5" t="s">
        <v>10</v>
      </c>
      <c r="F400" s="121">
        <v>41515</v>
      </c>
      <c r="G400" s="5" t="s">
        <v>1942</v>
      </c>
      <c r="H400" s="5" t="s">
        <v>1943</v>
      </c>
      <c r="I400" s="114" t="s">
        <v>4511</v>
      </c>
      <c r="J400" t="str">
        <f>VLOOKUP(C400,FORMGOOGLE,7,FALSE)</f>
        <v>https://drive.google.com/open?id=1COIy77-1FsJw2v86mK3Xwvqd6bJ7XbKA</v>
      </c>
    </row>
    <row r="401" spans="1:10" ht="15.75" thickBot="1" x14ac:dyDescent="0.3">
      <c r="A401" s="5" t="s">
        <v>484</v>
      </c>
      <c r="B401" s="119" t="s">
        <v>3104</v>
      </c>
      <c r="C401" s="5" t="s">
        <v>2091</v>
      </c>
      <c r="D401" s="5" t="s">
        <v>2</v>
      </c>
      <c r="E401" s="5" t="s">
        <v>28</v>
      </c>
      <c r="F401" s="121">
        <v>41604</v>
      </c>
      <c r="G401" s="5" t="s">
        <v>2093</v>
      </c>
      <c r="H401" s="5" t="s">
        <v>2094</v>
      </c>
      <c r="I401" s="114" t="s">
        <v>4513</v>
      </c>
      <c r="J401" t="str">
        <f>VLOOKUP(C401,FORMGOOGLE,7,FALSE)</f>
        <v>https://drive.google.com/open?id=1I9npCVa3mjeNHt88jRaWRzpy9JFIAGGh</v>
      </c>
    </row>
    <row r="402" spans="1:10" ht="15.75" thickBot="1" x14ac:dyDescent="0.3">
      <c r="A402" s="5" t="s">
        <v>484</v>
      </c>
      <c r="B402" s="119" t="s">
        <v>875</v>
      </c>
      <c r="C402" s="5" t="s">
        <v>876</v>
      </c>
      <c r="D402" s="5" t="s">
        <v>2</v>
      </c>
      <c r="E402" s="5" t="s">
        <v>10</v>
      </c>
      <c r="F402" s="121">
        <v>45935</v>
      </c>
      <c r="G402" s="5" t="s">
        <v>877</v>
      </c>
      <c r="H402" s="5" t="s">
        <v>878</v>
      </c>
      <c r="I402" s="114" t="s">
        <v>879</v>
      </c>
      <c r="J402" t="str">
        <f>VLOOKUP(C402,FORMGOOGLE,7,FALSE)</f>
        <v>https://drive.google.com/open?id=18Vk3aDpt3h0-9itKl1-HO2GA7Ni7f4nO</v>
      </c>
    </row>
    <row r="403" spans="1:10" ht="15.75" thickBot="1" x14ac:dyDescent="0.3">
      <c r="A403" s="5" t="s">
        <v>484</v>
      </c>
      <c r="B403" s="118" t="s">
        <v>885</v>
      </c>
      <c r="C403" s="5" t="s">
        <v>886</v>
      </c>
      <c r="D403" s="5" t="s">
        <v>2</v>
      </c>
      <c r="E403" s="5" t="s">
        <v>10</v>
      </c>
      <c r="F403" s="121">
        <v>41552</v>
      </c>
      <c r="G403" s="5" t="s">
        <v>887</v>
      </c>
      <c r="H403" s="5" t="s">
        <v>878</v>
      </c>
      <c r="I403" s="114" t="s">
        <v>888</v>
      </c>
      <c r="J403" t="str">
        <f>VLOOKUP(C403,FORMGOOGLE,7,FALSE)</f>
        <v>https://drive.google.com/open?id=1UilDIsyFUoCzRhrVBqJEJzR8NQc7yiNn</v>
      </c>
    </row>
    <row r="404" spans="1:10" ht="15.75" thickBot="1" x14ac:dyDescent="0.3">
      <c r="A404" s="5" t="s">
        <v>742</v>
      </c>
      <c r="B404" s="119" t="s">
        <v>3064</v>
      </c>
      <c r="C404" s="5" t="s">
        <v>1660</v>
      </c>
      <c r="D404" s="5" t="s">
        <v>2</v>
      </c>
      <c r="E404" s="5" t="s">
        <v>10</v>
      </c>
      <c r="F404" s="121">
        <v>41537</v>
      </c>
      <c r="G404" s="5" t="s">
        <v>1661</v>
      </c>
      <c r="H404" s="5" t="s">
        <v>1662</v>
      </c>
      <c r="I404" s="114" t="s">
        <v>4515</v>
      </c>
      <c r="J404" t="str">
        <f>VLOOKUP(C404,FORMGOOGLE,7,FALSE)</f>
        <v>https://drive.google.com/open?id=1KbrS9FqYKOEY24gdTSys6hJZvL0lHer0</v>
      </c>
    </row>
    <row r="405" spans="1:10" ht="15.75" thickBot="1" x14ac:dyDescent="0.3">
      <c r="A405" s="5" t="s">
        <v>742</v>
      </c>
      <c r="B405" s="118" t="s">
        <v>737</v>
      </c>
      <c r="C405" s="5" t="s">
        <v>738</v>
      </c>
      <c r="D405" s="5" t="s">
        <v>66</v>
      </c>
      <c r="E405" s="5" t="s">
        <v>10</v>
      </c>
      <c r="F405" s="121">
        <v>43228</v>
      </c>
      <c r="G405" s="5" t="s">
        <v>739</v>
      </c>
      <c r="H405" s="5" t="s">
        <v>740</v>
      </c>
      <c r="I405" s="114" t="s">
        <v>741</v>
      </c>
      <c r="J405" t="str">
        <f>VLOOKUP(C405,FORMGOOGLE,7,FALSE)</f>
        <v>https://drive.google.com/open?id=1xvKEaV02CpJrgInKmAa00qjPdob5aDkF</v>
      </c>
    </row>
    <row r="406" spans="1:10" ht="15.75" thickBot="1" x14ac:dyDescent="0.3">
      <c r="A406" s="5" t="s">
        <v>742</v>
      </c>
      <c r="B406" s="119" t="s">
        <v>3078</v>
      </c>
      <c r="C406" s="5" t="s">
        <v>667</v>
      </c>
      <c r="D406" s="5" t="s">
        <v>2</v>
      </c>
      <c r="E406" s="5" t="s">
        <v>28</v>
      </c>
      <c r="F406" s="121">
        <v>42464</v>
      </c>
      <c r="G406" s="5" t="s">
        <v>668</v>
      </c>
      <c r="H406" s="5" t="s">
        <v>669</v>
      </c>
      <c r="I406" s="114" t="s">
        <v>4524</v>
      </c>
      <c r="J406" t="str">
        <f>VLOOKUP(C406,FORMGOOGLE,7,FALSE)</f>
        <v>https://drive.google.com/open?id=1SqEdAp4mLI3TGWzxn_881Sn1EKvIRWdE</v>
      </c>
    </row>
    <row r="407" spans="1:10" ht="15.75" thickBot="1" x14ac:dyDescent="0.3">
      <c r="A407" s="5" t="s">
        <v>742</v>
      </c>
      <c r="B407" s="118" t="s">
        <v>3069</v>
      </c>
      <c r="C407" s="5" t="s">
        <v>1729</v>
      </c>
      <c r="D407" s="5" t="s">
        <v>2</v>
      </c>
      <c r="E407" s="5" t="s">
        <v>116</v>
      </c>
      <c r="F407" s="121">
        <v>42437</v>
      </c>
      <c r="G407" s="5" t="s">
        <v>1730</v>
      </c>
      <c r="H407" s="5" t="s">
        <v>1731</v>
      </c>
      <c r="I407" s="114" t="s">
        <v>4520</v>
      </c>
      <c r="J407" t="str">
        <f>VLOOKUP(C407,FORMGOOGLE,7,FALSE)</f>
        <v>https://drive.google.com/open?id=1YfqVn0HLFJaAdt4o2Q0VLB43xJ_cwTRJ</v>
      </c>
    </row>
    <row r="408" spans="1:10" ht="15.75" thickBot="1" x14ac:dyDescent="0.3">
      <c r="A408" s="5" t="s">
        <v>742</v>
      </c>
      <c r="B408" s="118" t="s">
        <v>3071</v>
      </c>
      <c r="C408" s="5" t="s">
        <v>1742</v>
      </c>
      <c r="D408" s="5" t="s">
        <v>2</v>
      </c>
      <c r="E408" s="5" t="s">
        <v>10</v>
      </c>
      <c r="F408" s="121">
        <v>42613</v>
      </c>
      <c r="G408" s="5" t="s">
        <v>1743</v>
      </c>
      <c r="H408" s="5" t="s">
        <v>1744</v>
      </c>
      <c r="I408" s="117" t="e">
        <v>#N/A</v>
      </c>
      <c r="J408" t="str">
        <f>VLOOKUP(C408,FORMGOOGLE,7,FALSE)</f>
        <v>https://drive.google.com/open?id=1yy1-xSodyKoG1L2mee-gtFCVC9QGwDB-</v>
      </c>
    </row>
    <row r="409" spans="1:10" ht="15.75" thickBot="1" x14ac:dyDescent="0.3">
      <c r="A409" s="5" t="s">
        <v>742</v>
      </c>
      <c r="B409" s="118" t="s">
        <v>3065</v>
      </c>
      <c r="C409" s="5" t="s">
        <v>1684</v>
      </c>
      <c r="D409" s="5" t="s">
        <v>2</v>
      </c>
      <c r="E409" s="5" t="s">
        <v>10</v>
      </c>
      <c r="F409" s="121">
        <v>41739</v>
      </c>
      <c r="G409" s="5" t="s">
        <v>1685</v>
      </c>
      <c r="H409" s="5" t="s">
        <v>1686</v>
      </c>
      <c r="I409" s="114" t="s">
        <v>4516</v>
      </c>
      <c r="J409" t="str">
        <f>VLOOKUP(C409,FORMGOOGLE,7,FALSE)</f>
        <v>https://drive.google.com/open?id=1H6OzlTiqKhlBdrqvkBMDjPEy6-MD9AiM</v>
      </c>
    </row>
    <row r="410" spans="1:10" ht="15.75" thickBot="1" x14ac:dyDescent="0.3">
      <c r="A410" s="5" t="s">
        <v>742</v>
      </c>
      <c r="B410" s="119" t="s">
        <v>3068</v>
      </c>
      <c r="C410" s="5" t="s">
        <v>1724</v>
      </c>
      <c r="D410" s="5" t="s">
        <v>2</v>
      </c>
      <c r="E410" s="5" t="s">
        <v>10</v>
      </c>
      <c r="F410" s="121">
        <v>42152</v>
      </c>
      <c r="G410" s="5" t="s">
        <v>1725</v>
      </c>
      <c r="H410" s="5" t="s">
        <v>1726</v>
      </c>
      <c r="I410" s="114" t="s">
        <v>4519</v>
      </c>
      <c r="J410" t="str">
        <f>VLOOKUP(C410,FORMGOOGLE,7,FALSE)</f>
        <v>https://drive.google.com/open?id=1W11jGX14LZWtZo8oFwITXzqliRT8g1bU</v>
      </c>
    </row>
    <row r="411" spans="1:10" ht="15.75" thickBot="1" x14ac:dyDescent="0.3">
      <c r="A411" s="5" t="s">
        <v>742</v>
      </c>
      <c r="B411" s="119" t="s">
        <v>3102</v>
      </c>
      <c r="C411" s="5" t="s">
        <v>2085</v>
      </c>
      <c r="D411" s="5" t="s">
        <v>66</v>
      </c>
      <c r="E411" s="5" t="s">
        <v>2086</v>
      </c>
      <c r="F411" s="121">
        <v>42148</v>
      </c>
      <c r="G411" s="5" t="s">
        <v>2087</v>
      </c>
      <c r="H411" s="5" t="s">
        <v>2088</v>
      </c>
      <c r="I411" s="114" t="s">
        <v>4526</v>
      </c>
      <c r="J411" t="str">
        <f>VLOOKUP(C411,FORMGOOGLE,7,FALSE)</f>
        <v>https://drive.google.com/open?id=178RWWghzlb0FnZDGKxNz9Tap6MIp9HdJ</v>
      </c>
    </row>
    <row r="412" spans="1:10" ht="15.75" thickBot="1" x14ac:dyDescent="0.3">
      <c r="A412" s="5" t="s">
        <v>742</v>
      </c>
      <c r="B412" s="119" t="s">
        <v>3066</v>
      </c>
      <c r="C412" s="5" t="s">
        <v>1709</v>
      </c>
      <c r="D412" s="5" t="s">
        <v>2</v>
      </c>
      <c r="E412" s="5" t="s">
        <v>10</v>
      </c>
      <c r="F412" s="121">
        <v>42708</v>
      </c>
      <c r="G412" s="5" t="s">
        <v>1710</v>
      </c>
      <c r="H412" s="5" t="s">
        <v>1711</v>
      </c>
      <c r="I412" s="114" t="s">
        <v>4517</v>
      </c>
      <c r="J412" t="str">
        <f>VLOOKUP(C412,FORMGOOGLE,7,FALSE)</f>
        <v>https://drive.google.com/open?id=1b6U5P3xkP9RJEtKRfOPxqeUDNchC2oTK</v>
      </c>
    </row>
    <row r="413" spans="1:10" ht="15.75" thickBot="1" x14ac:dyDescent="0.3">
      <c r="A413" s="5" t="s">
        <v>742</v>
      </c>
      <c r="B413" s="118" t="s">
        <v>3067</v>
      </c>
      <c r="C413" s="5" t="s">
        <v>1719</v>
      </c>
      <c r="D413" s="5" t="s">
        <v>2</v>
      </c>
      <c r="E413" s="5" t="s">
        <v>116</v>
      </c>
      <c r="F413" s="121">
        <v>42374</v>
      </c>
      <c r="G413" s="5" t="s">
        <v>1720</v>
      </c>
      <c r="H413" s="5" t="s">
        <v>1721</v>
      </c>
      <c r="I413" s="114" t="s">
        <v>4518</v>
      </c>
      <c r="J413" t="str">
        <f>VLOOKUP(C413,FORMGOOGLE,7,FALSE)</f>
        <v>https://drive.google.com/open?id=15GxfuE8yt78v2Ku6o4KmSJGqXjzYrO6c</v>
      </c>
    </row>
    <row r="414" spans="1:10" ht="15.75" thickBot="1" x14ac:dyDescent="0.3">
      <c r="A414" s="5" t="s">
        <v>742</v>
      </c>
      <c r="B414" s="118" t="s">
        <v>3062</v>
      </c>
      <c r="C414" s="5" t="s">
        <v>1622</v>
      </c>
      <c r="D414" s="5" t="s">
        <v>2</v>
      </c>
      <c r="E414" s="5" t="s">
        <v>10</v>
      </c>
      <c r="F414" s="121">
        <v>41982</v>
      </c>
      <c r="G414" s="5" t="s">
        <v>1623</v>
      </c>
      <c r="H414" s="5" t="s">
        <v>1624</v>
      </c>
      <c r="I414" s="114" t="s">
        <v>4514</v>
      </c>
      <c r="J414" t="str">
        <f>VLOOKUP(C414,FORMGOOGLE,7,FALSE)</f>
        <v>https://drive.google.com/open?id=1f3vhZa5xejSUfprv7TjQ4ioll8ynlKiB</v>
      </c>
    </row>
    <row r="415" spans="1:10" ht="15.75" thickBot="1" x14ac:dyDescent="0.3">
      <c r="A415" s="5" t="s">
        <v>742</v>
      </c>
      <c r="B415" s="119" t="s">
        <v>3072</v>
      </c>
      <c r="C415" s="5" t="s">
        <v>1747</v>
      </c>
      <c r="D415" s="5" t="s">
        <v>66</v>
      </c>
      <c r="E415" s="5" t="s">
        <v>10</v>
      </c>
      <c r="F415" s="121">
        <v>42007</v>
      </c>
      <c r="G415" s="5" t="s">
        <v>1735</v>
      </c>
      <c r="H415" s="5" t="s">
        <v>1736</v>
      </c>
      <c r="I415" s="114" t="s">
        <v>4522</v>
      </c>
      <c r="J415" t="str">
        <f>VLOOKUP(C415,FORMGOOGLE,7,FALSE)</f>
        <v>https://drive.google.com/open?id=1hSmvXMsLfh92U9xMwaXm002KnN854ZSi</v>
      </c>
    </row>
    <row r="416" spans="1:10" ht="15.75" thickBot="1" x14ac:dyDescent="0.3">
      <c r="A416" s="5" t="s">
        <v>742</v>
      </c>
      <c r="B416" s="119" t="s">
        <v>3070</v>
      </c>
      <c r="C416" s="5" t="s">
        <v>1734</v>
      </c>
      <c r="D416" s="5" t="s">
        <v>66</v>
      </c>
      <c r="E416" s="5" t="s">
        <v>10</v>
      </c>
      <c r="F416" s="121">
        <v>42007</v>
      </c>
      <c r="G416" s="5" t="s">
        <v>1735</v>
      </c>
      <c r="H416" s="5" t="s">
        <v>1736</v>
      </c>
      <c r="I416" s="114" t="s">
        <v>4521</v>
      </c>
      <c r="J416" t="str">
        <f>VLOOKUP(C416,FORMGOOGLE,7,FALSE)</f>
        <v>https://drive.google.com/open?id=18digA0SBWsJ0Fd1WI7gpCwMpp4ZFkXBm</v>
      </c>
    </row>
    <row r="417" spans="1:10" ht="15.75" thickBot="1" x14ac:dyDescent="0.3">
      <c r="A417" s="5" t="s">
        <v>742</v>
      </c>
      <c r="B417" s="118" t="s">
        <v>3090</v>
      </c>
      <c r="C417" s="5" t="s">
        <v>1926</v>
      </c>
      <c r="D417" s="5" t="s">
        <v>2</v>
      </c>
      <c r="E417" s="5" t="s">
        <v>10</v>
      </c>
      <c r="F417" s="121">
        <v>42839</v>
      </c>
      <c r="G417" s="5" t="s">
        <v>1927</v>
      </c>
      <c r="H417" s="5" t="s">
        <v>1928</v>
      </c>
      <c r="I417" s="114" t="s">
        <v>4525</v>
      </c>
      <c r="J417" t="str">
        <f>VLOOKUP(C417,FORMGOOGLE,7,FALSE)</f>
        <v>https://drive.google.com/open?id=1zsmkmA1GltvtKLHGK-zfi-hyTpjX8WYB</v>
      </c>
    </row>
    <row r="418" spans="1:10" ht="15.75" thickBot="1" x14ac:dyDescent="0.3">
      <c r="A418" s="5" t="s">
        <v>742</v>
      </c>
      <c r="B418" s="118" t="s">
        <v>3073</v>
      </c>
      <c r="C418" s="5" t="s">
        <v>1753</v>
      </c>
      <c r="D418" s="5" t="s">
        <v>66</v>
      </c>
      <c r="E418" s="5" t="s">
        <v>10</v>
      </c>
      <c r="F418" s="121">
        <v>41774</v>
      </c>
      <c r="G418" s="5" t="s">
        <v>1754</v>
      </c>
      <c r="H418" s="5" t="s">
        <v>1755</v>
      </c>
      <c r="I418" s="114" t="s">
        <v>4523</v>
      </c>
      <c r="J418" t="str">
        <f>VLOOKUP(C418,FORMGOOGLE,7,FALSE)</f>
        <v>https://drive.google.com/open?id=1K2fnXVTXvZFKykQ57a1RBsivMqywfVJF</v>
      </c>
    </row>
    <row r="419" spans="1:10" ht="15.75" thickBot="1" x14ac:dyDescent="0.3">
      <c r="A419" s="5" t="s">
        <v>5200</v>
      </c>
      <c r="B419" s="119" t="s">
        <v>5201</v>
      </c>
      <c r="C419" s="5" t="s">
        <v>5202</v>
      </c>
      <c r="D419" s="5" t="s">
        <v>66</v>
      </c>
      <c r="E419" s="5" t="s">
        <v>28</v>
      </c>
      <c r="F419" s="121">
        <v>42703</v>
      </c>
      <c r="G419" s="5" t="s">
        <v>5203</v>
      </c>
      <c r="H419" s="5" t="s">
        <v>5204</v>
      </c>
      <c r="I419" s="114" t="s">
        <v>5205</v>
      </c>
      <c r="J419" t="str">
        <f>VLOOKUP(C419,FORMGOOGLE,7,FALSE)</f>
        <v>https://drive.google.com/open?id=14HlGjZszb0tUF9W7hGovpWnWy7e9R0FA</v>
      </c>
    </row>
    <row r="420" spans="1:10" ht="15.75" thickBot="1" x14ac:dyDescent="0.3">
      <c r="A420" s="5" t="s">
        <v>5200</v>
      </c>
      <c r="B420" s="118" t="s">
        <v>5195</v>
      </c>
      <c r="C420" s="5" t="s">
        <v>5196</v>
      </c>
      <c r="D420" s="5" t="s">
        <v>2</v>
      </c>
      <c r="E420" s="5" t="s">
        <v>28</v>
      </c>
      <c r="F420" s="121">
        <v>42538</v>
      </c>
      <c r="G420" s="5" t="s">
        <v>5197</v>
      </c>
      <c r="H420" s="5" t="s">
        <v>5198</v>
      </c>
      <c r="I420" s="114" t="s">
        <v>5199</v>
      </c>
      <c r="J420" t="str">
        <f>VLOOKUP(C420,FORMGOOGLE,7,FALSE)</f>
        <v>https://drive.google.com/open?id=1GRRkqUB6KxrQL9XP1EVAJyIVF4q5XB2T</v>
      </c>
    </row>
    <row r="421" spans="1:10" ht="15.75" thickBot="1" x14ac:dyDescent="0.3">
      <c r="A421" s="5" t="s">
        <v>2438</v>
      </c>
      <c r="B421" s="119" t="s">
        <v>2444</v>
      </c>
      <c r="C421" s="5" t="s">
        <v>2439</v>
      </c>
      <c r="D421" s="5" t="s">
        <v>2</v>
      </c>
      <c r="E421" s="5" t="s">
        <v>28</v>
      </c>
      <c r="F421" s="121">
        <v>42388</v>
      </c>
      <c r="G421" s="5" t="s">
        <v>2440</v>
      </c>
      <c r="H421" s="5" t="s">
        <v>2441</v>
      </c>
      <c r="I421" s="114" t="s">
        <v>3227</v>
      </c>
      <c r="J421" t="str">
        <f>VLOOKUP(C421,FORMGOOGLE,7,FALSE)</f>
        <v>https://drive.google.com/open?id=1eKQb--k7XUYz34bRM6aSan9SC7CiJnhu</v>
      </c>
    </row>
    <row r="422" spans="1:10" ht="15.75" thickBot="1" x14ac:dyDescent="0.3">
      <c r="A422" s="5" t="s">
        <v>593</v>
      </c>
      <c r="B422" s="118" t="s">
        <v>3050</v>
      </c>
      <c r="C422" s="5" t="s">
        <v>1318</v>
      </c>
      <c r="D422" s="5" t="s">
        <v>66</v>
      </c>
      <c r="E422" s="5" t="s">
        <v>10</v>
      </c>
      <c r="F422" s="121">
        <v>42281</v>
      </c>
      <c r="G422" s="5" t="s">
        <v>1319</v>
      </c>
      <c r="H422" s="5" t="s">
        <v>1320</v>
      </c>
      <c r="I422" s="114" t="s">
        <v>4527</v>
      </c>
      <c r="J422" t="str">
        <f>VLOOKUP(C422,FORMGOOGLE,7,FALSE)</f>
        <v>https://drive.google.com/open?id=1WS21q1XEXuQ4H7Oqa4KS_Dk5fyaskRON</v>
      </c>
    </row>
    <row r="423" spans="1:10" ht="15.75" thickBot="1" x14ac:dyDescent="0.3">
      <c r="A423" s="5" t="s">
        <v>593</v>
      </c>
      <c r="B423" s="119" t="s">
        <v>3051</v>
      </c>
      <c r="C423" s="5" t="s">
        <v>1329</v>
      </c>
      <c r="D423" s="5" t="s">
        <v>66</v>
      </c>
      <c r="E423" s="5" t="s">
        <v>1330</v>
      </c>
      <c r="F423" s="121">
        <v>42837</v>
      </c>
      <c r="G423" s="5" t="s">
        <v>1331</v>
      </c>
      <c r="H423" s="5" t="s">
        <v>1332</v>
      </c>
      <c r="I423" s="114" t="s">
        <v>4528</v>
      </c>
      <c r="J423" t="str">
        <f>VLOOKUP(C423,FORMGOOGLE,7,FALSE)</f>
        <v>https://drive.google.com/open?id=1342vwLcyzMpIzUrphViCK0gn_cHiZeu6</v>
      </c>
    </row>
    <row r="424" spans="1:10" ht="15.75" thickBot="1" x14ac:dyDescent="0.3">
      <c r="A424" s="5" t="s">
        <v>593</v>
      </c>
      <c r="B424" s="118" t="s">
        <v>3085</v>
      </c>
      <c r="C424" s="5" t="s">
        <v>1872</v>
      </c>
      <c r="D424" s="5" t="s">
        <v>66</v>
      </c>
      <c r="E424" s="5" t="s">
        <v>1873</v>
      </c>
      <c r="F424" s="121">
        <v>42198</v>
      </c>
      <c r="G424" s="5" t="s">
        <v>1874</v>
      </c>
      <c r="H424" s="5" t="s">
        <v>1875</v>
      </c>
      <c r="I424" s="114" t="s">
        <v>4529</v>
      </c>
      <c r="J424" t="str">
        <f>VLOOKUP(C424,FORMGOOGLE,7,FALSE)</f>
        <v>https://drive.google.com/open?id=1FiI0pxDMo7HkdQiBOhrfGK9ZLA2f-d_-</v>
      </c>
    </row>
    <row r="425" spans="1:10" ht="15.75" thickBot="1" x14ac:dyDescent="0.3">
      <c r="A425" s="5" t="s">
        <v>593</v>
      </c>
      <c r="B425" s="118" t="s">
        <v>587</v>
      </c>
      <c r="C425" s="5" t="s">
        <v>588</v>
      </c>
      <c r="D425" s="5" t="s">
        <v>66</v>
      </c>
      <c r="E425" s="5" t="s">
        <v>589</v>
      </c>
      <c r="F425" s="121">
        <v>41607</v>
      </c>
      <c r="G425" s="5" t="s">
        <v>590</v>
      </c>
      <c r="H425" s="5" t="s">
        <v>591</v>
      </c>
      <c r="I425" s="114" t="s">
        <v>592</v>
      </c>
      <c r="J425" t="str">
        <f>VLOOKUP(C425,FORMGOOGLE,7,FALSE)</f>
        <v>https://drive.google.com/open?id=1F5xhdxkZ1OYz04cwXEkq0VT_tjdy7IPB</v>
      </c>
    </row>
    <row r="426" spans="1:10" ht="15.75" thickBot="1" x14ac:dyDescent="0.3">
      <c r="A426" s="5" t="s">
        <v>511</v>
      </c>
      <c r="B426" s="118" t="s">
        <v>3077</v>
      </c>
      <c r="C426" s="5" t="s">
        <v>1779</v>
      </c>
      <c r="D426" s="5" t="s">
        <v>66</v>
      </c>
      <c r="E426" s="5" t="s">
        <v>10</v>
      </c>
      <c r="F426" s="121">
        <v>41947</v>
      </c>
      <c r="G426" s="5" t="s">
        <v>1780</v>
      </c>
      <c r="H426" s="5" t="s">
        <v>1781</v>
      </c>
      <c r="I426" s="114" t="s">
        <v>4533</v>
      </c>
      <c r="J426" t="str">
        <f>VLOOKUP(C426,FORMGOOGLE,7,FALSE)</f>
        <v>https://drive.google.com/open?id=1hMZVAv_c1Z7CIDsbM9WJ9xLLxUlwGGMP</v>
      </c>
    </row>
    <row r="427" spans="1:10" ht="15.75" thickBot="1" x14ac:dyDescent="0.3">
      <c r="A427" s="5" t="s">
        <v>511</v>
      </c>
      <c r="B427" s="119" t="s">
        <v>3088</v>
      </c>
      <c r="C427" s="5" t="s">
        <v>1916</v>
      </c>
      <c r="D427" s="5" t="s">
        <v>2</v>
      </c>
      <c r="E427" s="5" t="s">
        <v>116</v>
      </c>
      <c r="F427" s="121">
        <v>42208</v>
      </c>
      <c r="G427" s="5" t="s">
        <v>1917</v>
      </c>
      <c r="H427" s="5" t="s">
        <v>1918</v>
      </c>
      <c r="I427" s="114" t="s">
        <v>4535</v>
      </c>
      <c r="J427" t="str">
        <f>VLOOKUP(C427,FORMGOOGLE,7,FALSE)</f>
        <v>https://drive.google.com/open?id=1ztR_lC3vsPK0_7QgtvlbYis6cEjN7R0K</v>
      </c>
    </row>
    <row r="428" spans="1:10" ht="15.75" thickBot="1" x14ac:dyDescent="0.3">
      <c r="A428" s="5" t="s">
        <v>511</v>
      </c>
      <c r="B428" s="119" t="s">
        <v>4567</v>
      </c>
      <c r="C428" s="5" t="s">
        <v>1808</v>
      </c>
      <c r="D428" s="5" t="s">
        <v>2</v>
      </c>
      <c r="E428" s="5" t="s">
        <v>116</v>
      </c>
      <c r="F428" s="121">
        <v>42439</v>
      </c>
      <c r="G428" s="5" t="s">
        <v>1809</v>
      </c>
      <c r="H428" s="5" t="s">
        <v>1810</v>
      </c>
      <c r="I428" s="114" t="s">
        <v>4568</v>
      </c>
      <c r="J428" t="str">
        <f>VLOOKUP(C428,FORMGOOGLE,7,FALSE)</f>
        <v>https://drive.google.com/open?id=1eGgqh2DHwwpKmf7RJkf4ynfd8uWwfkjm</v>
      </c>
    </row>
    <row r="429" spans="1:10" ht="15.75" thickBot="1" x14ac:dyDescent="0.3">
      <c r="A429" s="5" t="s">
        <v>511</v>
      </c>
      <c r="B429" s="119" t="s">
        <v>4746</v>
      </c>
      <c r="C429" s="5" t="s">
        <v>1843</v>
      </c>
      <c r="D429" s="5" t="s">
        <v>2</v>
      </c>
      <c r="E429" s="5" t="s">
        <v>116</v>
      </c>
      <c r="F429" s="121">
        <v>41770</v>
      </c>
      <c r="G429" s="5" t="s">
        <v>1844</v>
      </c>
      <c r="H429" s="5" t="s">
        <v>2915</v>
      </c>
      <c r="I429" s="114" t="s">
        <v>4747</v>
      </c>
      <c r="J429" t="str">
        <f>VLOOKUP(C429,FORMGOOGLE,7,FALSE)</f>
        <v>https://drive.google.com/open?id=1-L82p4-UYxzh-A4JdR5orE_lCxWq859u</v>
      </c>
    </row>
    <row r="430" spans="1:10" ht="15.75" thickBot="1" x14ac:dyDescent="0.3">
      <c r="A430" s="5" t="s">
        <v>511</v>
      </c>
      <c r="B430" s="119" t="s">
        <v>3076</v>
      </c>
      <c r="C430" s="5" t="s">
        <v>1768</v>
      </c>
      <c r="D430" s="5" t="s">
        <v>66</v>
      </c>
      <c r="E430" s="5" t="s">
        <v>116</v>
      </c>
      <c r="F430" s="121">
        <v>41792</v>
      </c>
      <c r="G430" s="5" t="s">
        <v>1769</v>
      </c>
      <c r="H430" s="5" t="s">
        <v>1770</v>
      </c>
      <c r="I430" s="114" t="s">
        <v>4532</v>
      </c>
      <c r="J430" t="str">
        <f>VLOOKUP(C430,FORMGOOGLE,7,FALSE)</f>
        <v>https://drive.google.com/open?id=1monk98yGQ8NHdndRq-SUO4auuemI7OP9</v>
      </c>
    </row>
    <row r="431" spans="1:10" ht="15.75" thickBot="1" x14ac:dyDescent="0.3">
      <c r="A431" s="5" t="s">
        <v>511</v>
      </c>
      <c r="B431" s="119" t="s">
        <v>3053</v>
      </c>
      <c r="C431" s="5" t="s">
        <v>1447</v>
      </c>
      <c r="D431" s="5" t="s">
        <v>2</v>
      </c>
      <c r="E431" s="5" t="s">
        <v>10</v>
      </c>
      <c r="F431" s="121">
        <v>41653</v>
      </c>
      <c r="G431" s="5" t="s">
        <v>1448</v>
      </c>
      <c r="H431" s="5" t="s">
        <v>1449</v>
      </c>
      <c r="I431" s="114" t="s">
        <v>4530</v>
      </c>
      <c r="J431" t="str">
        <f>VLOOKUP(C431,FORMGOOGLE,7,FALSE)</f>
        <v>https://drive.google.com/open?id=1HfC19LdDd8dOFq6VALCq6kjBPVzshWwJ</v>
      </c>
    </row>
    <row r="432" spans="1:10" ht="15.75" thickBot="1" x14ac:dyDescent="0.3">
      <c r="A432" s="5" t="s">
        <v>511</v>
      </c>
      <c r="B432" s="118" t="s">
        <v>3110</v>
      </c>
      <c r="C432" s="5" t="s">
        <v>1459</v>
      </c>
      <c r="D432" s="5" t="s">
        <v>66</v>
      </c>
      <c r="E432" s="5" t="s">
        <v>1255</v>
      </c>
      <c r="F432" s="121">
        <v>41734</v>
      </c>
      <c r="G432" s="5" t="s">
        <v>2366</v>
      </c>
      <c r="H432" s="5" t="s">
        <v>2367</v>
      </c>
      <c r="I432" s="117" t="e">
        <v>#N/A</v>
      </c>
      <c r="J432" t="str">
        <f>VLOOKUP(C432,FORMGOOGLE,7,FALSE)</f>
        <v>https://drive.google.com/open?id=1HEJjEvUb5co52PwsVGxVETT4gaPn9W9Q</v>
      </c>
    </row>
    <row r="433" spans="1:10" ht="15.75" thickBot="1" x14ac:dyDescent="0.3">
      <c r="A433" s="5" t="s">
        <v>511</v>
      </c>
      <c r="B433" s="119" t="s">
        <v>506</v>
      </c>
      <c r="C433" s="5" t="s">
        <v>507</v>
      </c>
      <c r="D433" s="5" t="s">
        <v>2</v>
      </c>
      <c r="E433" s="5" t="s">
        <v>116</v>
      </c>
      <c r="F433" s="121">
        <v>42541</v>
      </c>
      <c r="G433" s="5" t="s">
        <v>508</v>
      </c>
      <c r="H433" s="5" t="s">
        <v>509</v>
      </c>
      <c r="I433" s="114" t="s">
        <v>510</v>
      </c>
      <c r="J433" t="str">
        <f>VLOOKUP(C433,FORMGOOGLE,7,FALSE)</f>
        <v>https://drive.google.com/open?id=1u8XFJ_tgVD9qwbNyNI5em7YtaKUhjQh7</v>
      </c>
    </row>
    <row r="434" spans="1:10" ht="15.75" thickBot="1" x14ac:dyDescent="0.3">
      <c r="A434" s="5" t="s">
        <v>511</v>
      </c>
      <c r="B434" s="118" t="s">
        <v>3059</v>
      </c>
      <c r="C434" s="5" t="s">
        <v>1598</v>
      </c>
      <c r="D434" s="5" t="s">
        <v>2</v>
      </c>
      <c r="E434" s="5" t="s">
        <v>365</v>
      </c>
      <c r="F434" s="121">
        <v>42323</v>
      </c>
      <c r="G434" s="5" t="s">
        <v>1599</v>
      </c>
      <c r="H434" s="5" t="s">
        <v>1600</v>
      </c>
      <c r="I434" s="114" t="s">
        <v>4531</v>
      </c>
      <c r="J434" t="str">
        <f>VLOOKUP(C434,FORMGOOGLE,7,FALSE)</f>
        <v>https://drive.google.com/open?id=1uROM2cIXkrhQhRvHy_s44W61l1K-kJbB</v>
      </c>
    </row>
    <row r="435" spans="1:10" ht="15.75" thickBot="1" x14ac:dyDescent="0.3">
      <c r="A435" s="5" t="s">
        <v>511</v>
      </c>
      <c r="B435" s="119" t="s">
        <v>3112</v>
      </c>
      <c r="C435" s="5" t="s">
        <v>2569</v>
      </c>
      <c r="D435" s="5" t="s">
        <v>66</v>
      </c>
      <c r="E435" s="5" t="s">
        <v>116</v>
      </c>
      <c r="F435" s="121">
        <v>41792</v>
      </c>
      <c r="G435" s="5" t="s">
        <v>2570</v>
      </c>
      <c r="H435" s="5" t="s">
        <v>1770</v>
      </c>
      <c r="I435" s="114" t="s">
        <v>4534</v>
      </c>
      <c r="J435" t="str">
        <f>VLOOKUP(C435,FORMGOOGLE,7,FALSE)</f>
        <v>https://drive.google.com/open?id=1txQzlUvpdkOCWZC9jKSKZ_GltLFJZoW4</v>
      </c>
    </row>
    <row r="436" spans="1:10" ht="15.75" thickBot="1" x14ac:dyDescent="0.3">
      <c r="A436" s="5" t="s">
        <v>473</v>
      </c>
      <c r="B436" s="118" t="s">
        <v>468</v>
      </c>
      <c r="C436" s="5" t="s">
        <v>469</v>
      </c>
      <c r="D436" s="5" t="s">
        <v>2</v>
      </c>
      <c r="E436" s="5" t="s">
        <v>28</v>
      </c>
      <c r="F436" s="121">
        <v>41513</v>
      </c>
      <c r="G436" s="5" t="s">
        <v>470</v>
      </c>
      <c r="H436" s="5" t="s">
        <v>471</v>
      </c>
      <c r="I436" s="114" t="s">
        <v>472</v>
      </c>
      <c r="J436" t="str">
        <f>VLOOKUP(C436,FORMGOOGLE,7,FALSE)</f>
        <v>https://drive.google.com/open?id=1TEK3hrYk_wIEGw34OFhGY_Y2hzllf80q</v>
      </c>
    </row>
    <row r="437" spans="1:10" ht="15.75" thickBot="1" x14ac:dyDescent="0.3">
      <c r="A437" s="5" t="s">
        <v>473</v>
      </c>
      <c r="B437" s="119" t="s">
        <v>3057</v>
      </c>
      <c r="C437" s="5" t="s">
        <v>1559</v>
      </c>
      <c r="D437" s="5" t="s">
        <v>66</v>
      </c>
      <c r="E437" s="5" t="s">
        <v>28</v>
      </c>
      <c r="F437" s="121">
        <v>42083</v>
      </c>
      <c r="G437" s="5" t="s">
        <v>1560</v>
      </c>
      <c r="H437" s="5" t="s">
        <v>1561</v>
      </c>
      <c r="I437" s="114" t="s">
        <v>4537</v>
      </c>
      <c r="J437" t="str">
        <f>VLOOKUP(C437,FORMGOOGLE,7,FALSE)</f>
        <v>https://drive.google.com/open?id=1Cmbz5_COEacOd6-Wypa2pRLHw6o52ipm</v>
      </c>
    </row>
    <row r="438" spans="1:10" ht="15.75" thickBot="1" x14ac:dyDescent="0.3">
      <c r="A438" s="5" t="s">
        <v>473</v>
      </c>
      <c r="B438" s="119" t="s">
        <v>3060</v>
      </c>
      <c r="C438" s="5" t="s">
        <v>1606</v>
      </c>
      <c r="D438" s="5" t="s">
        <v>66</v>
      </c>
      <c r="E438" s="5" t="s">
        <v>10</v>
      </c>
      <c r="F438" s="121">
        <v>42407</v>
      </c>
      <c r="G438" s="5" t="s">
        <v>1607</v>
      </c>
      <c r="H438" s="5" t="s">
        <v>1608</v>
      </c>
      <c r="I438" s="114" t="s">
        <v>4539</v>
      </c>
      <c r="J438" t="str">
        <f>VLOOKUP(C438,FORMGOOGLE,7,FALSE)</f>
        <v>https://drive.google.com/open?id=1W7_6GMiU0BgfIp9jZXWDFB6P5RZkfhWl</v>
      </c>
    </row>
    <row r="439" spans="1:10" ht="15.75" thickBot="1" x14ac:dyDescent="0.3">
      <c r="A439" s="5" t="s">
        <v>473</v>
      </c>
      <c r="B439" s="119" t="s">
        <v>3063</v>
      </c>
      <c r="C439" s="5" t="s">
        <v>1627</v>
      </c>
      <c r="D439" s="5" t="s">
        <v>2</v>
      </c>
      <c r="E439" s="5" t="s">
        <v>10</v>
      </c>
      <c r="F439" s="121">
        <v>42193</v>
      </c>
      <c r="G439" s="5" t="s">
        <v>1628</v>
      </c>
      <c r="H439" s="5" t="s">
        <v>1629</v>
      </c>
      <c r="I439" s="114" t="s">
        <v>4541</v>
      </c>
      <c r="J439" t="str">
        <f>VLOOKUP(C439,FORMGOOGLE,7,FALSE)</f>
        <v>https://drive.google.com/open?id=16_KH0B4EQV_TPeJCS0WU1D5CcljtfXlO</v>
      </c>
    </row>
    <row r="440" spans="1:10" ht="15.75" thickBot="1" x14ac:dyDescent="0.3">
      <c r="A440" s="5" t="s">
        <v>473</v>
      </c>
      <c r="B440" s="119" t="s">
        <v>3086</v>
      </c>
      <c r="C440" s="5" t="s">
        <v>1878</v>
      </c>
      <c r="D440" s="5" t="s">
        <v>2</v>
      </c>
      <c r="E440" s="5" t="s">
        <v>10</v>
      </c>
      <c r="F440" s="121">
        <v>41631</v>
      </c>
      <c r="G440" s="5" t="s">
        <v>1879</v>
      </c>
      <c r="H440" s="5" t="s">
        <v>1880</v>
      </c>
      <c r="I440" s="114" t="s">
        <v>4547</v>
      </c>
      <c r="J440" t="str">
        <f>VLOOKUP(C440,FORMGOOGLE,7,FALSE)</f>
        <v>https://drive.google.com/open?id=1lBouXgxz4hkpyZBxwIqdm5LG7DshNSv0</v>
      </c>
    </row>
    <row r="441" spans="1:10" ht="15.75" thickBot="1" x14ac:dyDescent="0.3">
      <c r="A441" s="5" t="s">
        <v>473</v>
      </c>
      <c r="B441" s="118" t="s">
        <v>3056</v>
      </c>
      <c r="C441" s="5" t="s">
        <v>1523</v>
      </c>
      <c r="D441" s="5" t="s">
        <v>2</v>
      </c>
      <c r="E441" s="5" t="s">
        <v>10</v>
      </c>
      <c r="F441" s="121">
        <v>42364</v>
      </c>
      <c r="G441" s="5" t="s">
        <v>1524</v>
      </c>
      <c r="H441" s="5" t="s">
        <v>1525</v>
      </c>
      <c r="I441" s="114" t="s">
        <v>4536</v>
      </c>
      <c r="J441" t="str">
        <f>VLOOKUP(C441,FORMGOOGLE,7,FALSE)</f>
        <v>https://drive.google.com/open?id=16Jn1kZooIo5kByuYX73esDGZsK1V0sq5</v>
      </c>
    </row>
    <row r="442" spans="1:10" ht="15.75" thickBot="1" x14ac:dyDescent="0.3">
      <c r="A442" s="5" t="s">
        <v>473</v>
      </c>
      <c r="B442" s="118" t="s">
        <v>3061</v>
      </c>
      <c r="C442" s="5" t="s">
        <v>1614</v>
      </c>
      <c r="D442" s="5" t="s">
        <v>2</v>
      </c>
      <c r="E442" s="5" t="s">
        <v>10</v>
      </c>
      <c r="F442" s="121">
        <v>41804</v>
      </c>
      <c r="G442" s="5" t="s">
        <v>1615</v>
      </c>
      <c r="H442" s="5" t="s">
        <v>1616</v>
      </c>
      <c r="I442" s="114" t="s">
        <v>4540</v>
      </c>
      <c r="J442" t="str">
        <f>VLOOKUP(C442,FORMGOOGLE,7,FALSE)</f>
        <v>https://drive.google.com/open?id=1b0DqOxuKwEtzMrEENH483VhJK-B7jxb3</v>
      </c>
    </row>
    <row r="443" spans="1:10" ht="15.75" thickBot="1" x14ac:dyDescent="0.3">
      <c r="A443" s="5" t="s">
        <v>473</v>
      </c>
      <c r="B443" s="118" t="s">
        <v>3098</v>
      </c>
      <c r="C443" s="5" t="s">
        <v>2041</v>
      </c>
      <c r="D443" s="5" t="s">
        <v>2</v>
      </c>
      <c r="E443" s="5" t="s">
        <v>10</v>
      </c>
      <c r="F443" s="121">
        <v>42278</v>
      </c>
      <c r="G443" s="5" t="s">
        <v>2042</v>
      </c>
      <c r="H443" s="5" t="s">
        <v>2043</v>
      </c>
      <c r="I443" s="114" t="s">
        <v>4548</v>
      </c>
      <c r="J443" t="str">
        <f>VLOOKUP(C443,FORMGOOGLE,7,FALSE)</f>
        <v>https://drive.google.com/open?id=1Csv2I1THOik7fTjMdDb5gAkw5Znrapqs</v>
      </c>
    </row>
    <row r="444" spans="1:10" ht="15.75" thickBot="1" x14ac:dyDescent="0.3">
      <c r="A444" s="5" t="s">
        <v>473</v>
      </c>
      <c r="B444" s="119" t="s">
        <v>3109</v>
      </c>
      <c r="C444" s="5" t="s">
        <v>2195</v>
      </c>
      <c r="D444" s="5" t="s">
        <v>66</v>
      </c>
      <c r="E444" s="5" t="s">
        <v>10</v>
      </c>
      <c r="F444" s="121">
        <v>41985</v>
      </c>
      <c r="G444" s="5" t="s">
        <v>2196</v>
      </c>
      <c r="H444" s="5" t="s">
        <v>2197</v>
      </c>
      <c r="I444" s="114" t="s">
        <v>4551</v>
      </c>
      <c r="J444" t="str">
        <f>VLOOKUP(C444,FORMGOOGLE,7,FALSE)</f>
        <v>https://drive.google.com/open?id=1gw7KsSsUdWtryaIcqlg2R-PuYHK_G9Mk</v>
      </c>
    </row>
    <row r="445" spans="1:10" ht="15.75" thickBot="1" x14ac:dyDescent="0.3">
      <c r="A445" s="5" t="s">
        <v>473</v>
      </c>
      <c r="B445" s="119" t="s">
        <v>3075</v>
      </c>
      <c r="C445" s="5" t="s">
        <v>1763</v>
      </c>
      <c r="D445" s="5" t="s">
        <v>66</v>
      </c>
      <c r="E445" s="5" t="s">
        <v>28</v>
      </c>
      <c r="F445" s="121">
        <v>41651</v>
      </c>
      <c r="G445" s="5" t="s">
        <v>1764</v>
      </c>
      <c r="H445" s="5" t="s">
        <v>1765</v>
      </c>
      <c r="I445" s="114" t="s">
        <v>4543</v>
      </c>
      <c r="J445" t="str">
        <f>VLOOKUP(C445,FORMGOOGLE,7,FALSE)</f>
        <v>https://drive.google.com/open?id=12n3ov0CAYFSq04FJB28OYl7qV4cUhr-m</v>
      </c>
    </row>
    <row r="446" spans="1:10" ht="15.75" thickBot="1" x14ac:dyDescent="0.3">
      <c r="A446" s="5" t="s">
        <v>473</v>
      </c>
      <c r="B446" s="119" t="s">
        <v>3107</v>
      </c>
      <c r="C446" s="5" t="s">
        <v>2179</v>
      </c>
      <c r="D446" s="5" t="s">
        <v>66</v>
      </c>
      <c r="E446" s="5" t="s">
        <v>10</v>
      </c>
      <c r="F446" s="121">
        <v>42145</v>
      </c>
      <c r="G446" s="5" t="s">
        <v>2180</v>
      </c>
      <c r="H446" s="5" t="s">
        <v>2181</v>
      </c>
      <c r="I446" s="114" t="s">
        <v>4549</v>
      </c>
      <c r="J446" t="str">
        <f>VLOOKUP(C446,FORMGOOGLE,7,FALSE)</f>
        <v>https://drive.google.com/open?id=1Ko5uA2XbtMfaW70zPyxTaKJCtgMATF-P</v>
      </c>
    </row>
    <row r="447" spans="1:10" ht="15.75" thickBot="1" x14ac:dyDescent="0.3">
      <c r="A447" s="5" t="s">
        <v>473</v>
      </c>
      <c r="B447" s="118" t="s">
        <v>3111</v>
      </c>
      <c r="C447" s="5" t="s">
        <v>2385</v>
      </c>
      <c r="D447" s="5" t="s">
        <v>2</v>
      </c>
      <c r="E447" s="5" t="s">
        <v>10</v>
      </c>
      <c r="F447" s="121">
        <v>41555</v>
      </c>
      <c r="G447" s="5" t="s">
        <v>2386</v>
      </c>
      <c r="H447" s="5" t="s">
        <v>1349</v>
      </c>
      <c r="I447" s="114" t="s">
        <v>4552</v>
      </c>
      <c r="J447" t="str">
        <f>VLOOKUP(C447,FORMGOOGLE,7,FALSE)</f>
        <v>https://drive.google.com/open?id=1mw3KWhB1O7rqyRfmPs2K06b33KhqrgMd</v>
      </c>
    </row>
    <row r="448" spans="1:10" ht="15.75" thickBot="1" x14ac:dyDescent="0.3">
      <c r="A448" s="5" t="s">
        <v>473</v>
      </c>
      <c r="B448" s="118" t="s">
        <v>3074</v>
      </c>
      <c r="C448" s="5" t="s">
        <v>1758</v>
      </c>
      <c r="D448" s="5" t="s">
        <v>66</v>
      </c>
      <c r="E448" s="5" t="s">
        <v>10</v>
      </c>
      <c r="F448" s="121">
        <v>41780</v>
      </c>
      <c r="G448" s="5" t="s">
        <v>1759</v>
      </c>
      <c r="H448" s="5" t="s">
        <v>1760</v>
      </c>
      <c r="I448" s="114" t="s">
        <v>4542</v>
      </c>
      <c r="J448" t="str">
        <f>VLOOKUP(C448,FORMGOOGLE,7,FALSE)</f>
        <v>https://drive.google.com/open?id=1kpER2N3kGTEa9xyRy4TZIvbahJyCUCaP</v>
      </c>
    </row>
    <row r="449" spans="1:10" ht="15.75" thickBot="1" x14ac:dyDescent="0.3">
      <c r="A449" s="5" t="s">
        <v>473</v>
      </c>
      <c r="B449" s="118" t="s">
        <v>3108</v>
      </c>
      <c r="C449" s="5" t="s">
        <v>2190</v>
      </c>
      <c r="D449" s="5" t="s">
        <v>2</v>
      </c>
      <c r="E449" s="5" t="s">
        <v>10</v>
      </c>
      <c r="F449" s="121">
        <v>41608</v>
      </c>
      <c r="G449" s="5" t="s">
        <v>2191</v>
      </c>
      <c r="H449" s="5" t="s">
        <v>2192</v>
      </c>
      <c r="I449" s="114" t="s">
        <v>4550</v>
      </c>
      <c r="J449" t="str">
        <f>VLOOKUP(C449,FORMGOOGLE,7,FALSE)</f>
        <v>https://drive.google.com/open?id=1cThHgmLdUdrT6OUXXloM8n7WicPhq8om</v>
      </c>
    </row>
    <row r="450" spans="1:10" ht="15.75" thickBot="1" x14ac:dyDescent="0.3">
      <c r="A450" s="5" t="s">
        <v>473</v>
      </c>
      <c r="B450" s="118" t="s">
        <v>3084</v>
      </c>
      <c r="C450" s="5" t="s">
        <v>1856</v>
      </c>
      <c r="D450" s="5" t="s">
        <v>2</v>
      </c>
      <c r="E450" s="5" t="s">
        <v>10</v>
      </c>
      <c r="F450" s="121">
        <v>41819</v>
      </c>
      <c r="G450" s="5" t="s">
        <v>1857</v>
      </c>
      <c r="H450" s="5" t="s">
        <v>1858</v>
      </c>
      <c r="I450" s="114" t="s">
        <v>4546</v>
      </c>
      <c r="J450" t="str">
        <f>VLOOKUP(C450,FORMGOOGLE,7,FALSE)</f>
        <v>https://drive.google.com/open?id=1IOY6ekAGFWJdI8WquJy2UGIkaHvsP0st</v>
      </c>
    </row>
    <row r="451" spans="1:10" ht="15.75" thickBot="1" x14ac:dyDescent="0.3">
      <c r="A451" s="5" t="s">
        <v>473</v>
      </c>
      <c r="B451" s="118" t="s">
        <v>3058</v>
      </c>
      <c r="C451" s="5" t="s">
        <v>1585</v>
      </c>
      <c r="D451" s="5" t="s">
        <v>66</v>
      </c>
      <c r="E451" s="5" t="s">
        <v>10</v>
      </c>
      <c r="F451" s="121">
        <v>41863</v>
      </c>
      <c r="G451" s="5" t="s">
        <v>1586</v>
      </c>
      <c r="H451" s="5" t="s">
        <v>1587</v>
      </c>
      <c r="I451" s="114" t="s">
        <v>4538</v>
      </c>
      <c r="J451" t="str">
        <f>VLOOKUP(C451,FORMGOOGLE,7,FALSE)</f>
        <v>https://drive.google.com/open?id=1Fwgzi6LKkyd9H4WYZ2hkmw0sOqr60lB-</v>
      </c>
    </row>
    <row r="452" spans="1:10" ht="15.75" thickBot="1" x14ac:dyDescent="0.3">
      <c r="A452" s="5" t="s">
        <v>473</v>
      </c>
      <c r="B452" s="118" t="s">
        <v>3080</v>
      </c>
      <c r="C452" s="5" t="s">
        <v>1827</v>
      </c>
      <c r="D452" s="5" t="s">
        <v>2</v>
      </c>
      <c r="E452" s="5" t="s">
        <v>10</v>
      </c>
      <c r="F452" s="121">
        <v>42195</v>
      </c>
      <c r="G452" s="5" t="s">
        <v>1828</v>
      </c>
      <c r="H452" s="5" t="s">
        <v>1829</v>
      </c>
      <c r="I452" s="114" t="s">
        <v>4544</v>
      </c>
      <c r="J452" t="str">
        <f>VLOOKUP(C452,FORMGOOGLE,7,FALSE)</f>
        <v>https://drive.google.com/open?id=1Uk9egxQzYCVGEgMoJs_WV71GvLt_NNcj</v>
      </c>
    </row>
    <row r="453" spans="1:10" ht="15.75" thickBot="1" x14ac:dyDescent="0.3">
      <c r="A453" s="5" t="s">
        <v>473</v>
      </c>
      <c r="B453" s="119" t="s">
        <v>3083</v>
      </c>
      <c r="C453" s="5" t="s">
        <v>1848</v>
      </c>
      <c r="D453" s="5" t="s">
        <v>2</v>
      </c>
      <c r="E453" s="5" t="s">
        <v>28</v>
      </c>
      <c r="F453" s="121">
        <v>42326</v>
      </c>
      <c r="G453" s="5" t="s">
        <v>1849</v>
      </c>
      <c r="H453" s="5" t="s">
        <v>1850</v>
      </c>
      <c r="I453" s="114" t="s">
        <v>4545</v>
      </c>
      <c r="J453" t="str">
        <f>VLOOKUP(C453,FORMGOOGLE,7,FALSE)</f>
        <v>https://drive.google.com/open?id=1GtmLL5Vbz0LL935tvTIdIL3TgTLt0xKh</v>
      </c>
    </row>
    <row r="454" spans="1:10" ht="15.75" thickBot="1" x14ac:dyDescent="0.3">
      <c r="A454" s="5" t="s">
        <v>1907</v>
      </c>
      <c r="B454" s="118" t="s">
        <v>3101</v>
      </c>
      <c r="C454" s="5" t="s">
        <v>2080</v>
      </c>
      <c r="D454" s="5" t="s">
        <v>2</v>
      </c>
      <c r="E454" s="5" t="s">
        <v>28</v>
      </c>
      <c r="F454" s="121">
        <v>41646</v>
      </c>
      <c r="G454" s="5" t="s">
        <v>2081</v>
      </c>
      <c r="H454" s="5" t="s">
        <v>2082</v>
      </c>
      <c r="I454" s="114" t="s">
        <v>4558</v>
      </c>
      <c r="J454" t="str">
        <f>VLOOKUP(C454,FORMGOOGLE,7,FALSE)</f>
        <v>https://drive.google.com/open?id=1BYSsLWcDgxLqm7upDuOqiOKO9a_X27lp</v>
      </c>
    </row>
    <row r="455" spans="1:10" ht="15.75" thickBot="1" x14ac:dyDescent="0.3">
      <c r="A455" s="5" t="s">
        <v>1907</v>
      </c>
      <c r="B455" s="118" t="s">
        <v>3089</v>
      </c>
      <c r="C455" s="5" t="s">
        <v>1921</v>
      </c>
      <c r="D455" s="5" t="s">
        <v>2</v>
      </c>
      <c r="E455" s="5" t="s">
        <v>116</v>
      </c>
      <c r="F455" s="121">
        <v>42852</v>
      </c>
      <c r="G455" s="5" t="s">
        <v>1922</v>
      </c>
      <c r="H455" s="5" t="s">
        <v>1923</v>
      </c>
      <c r="I455" s="114" t="s">
        <v>4554</v>
      </c>
      <c r="J455" t="str">
        <f>VLOOKUP(C455,FORMGOOGLE,7,FALSE)</f>
        <v>https://drive.google.com/open?id=1dqwBQ0AtNXq-PV8kdPMpNsoGdGrbtiS1</v>
      </c>
    </row>
    <row r="456" spans="1:10" ht="15.75" thickBot="1" x14ac:dyDescent="0.3">
      <c r="A456" s="5" t="s">
        <v>1907</v>
      </c>
      <c r="B456" s="118" t="s">
        <v>3092</v>
      </c>
      <c r="C456" s="5" t="s">
        <v>1936</v>
      </c>
      <c r="D456" s="5" t="s">
        <v>2</v>
      </c>
      <c r="E456" s="5" t="s">
        <v>365</v>
      </c>
      <c r="F456" s="121">
        <v>42922</v>
      </c>
      <c r="G456" s="5" t="s">
        <v>1937</v>
      </c>
      <c r="H456" s="5" t="s">
        <v>1938</v>
      </c>
      <c r="I456" s="114" t="s">
        <v>4556</v>
      </c>
      <c r="J456" t="str">
        <f>VLOOKUP(C456,FORMGOOGLE,7,FALSE)</f>
        <v>https://drive.google.com/open?id=1CY52K6lvFHQUSDPmNzg6D4HhkdZwUidu</v>
      </c>
    </row>
    <row r="457" spans="1:10" ht="15.75" thickBot="1" x14ac:dyDescent="0.3">
      <c r="A457" s="5" t="s">
        <v>1907</v>
      </c>
      <c r="B457" s="119" t="s">
        <v>3094</v>
      </c>
      <c r="C457" s="5" t="s">
        <v>1946</v>
      </c>
      <c r="D457" s="5" t="s">
        <v>2</v>
      </c>
      <c r="E457" s="5" t="s">
        <v>1155</v>
      </c>
      <c r="F457" s="121">
        <v>43152</v>
      </c>
      <c r="G457" s="5" t="s">
        <v>1947</v>
      </c>
      <c r="H457" s="5" t="s">
        <v>1948</v>
      </c>
      <c r="I457" s="114" t="s">
        <v>4557</v>
      </c>
      <c r="J457" t="str">
        <f>VLOOKUP(C457,FORMGOOGLE,7,FALSE)</f>
        <v>https://drive.google.com/open?id=1Ca2tWg9px9RFnQVUw7AhFWnmHPvir520</v>
      </c>
    </row>
    <row r="458" spans="1:10" ht="15.75" thickBot="1" x14ac:dyDescent="0.3">
      <c r="A458" s="5" t="s">
        <v>1907</v>
      </c>
      <c r="B458" s="119" t="s">
        <v>3091</v>
      </c>
      <c r="C458" s="5" t="s">
        <v>1931</v>
      </c>
      <c r="D458" s="5" t="s">
        <v>2</v>
      </c>
      <c r="E458" s="5" t="s">
        <v>10</v>
      </c>
      <c r="F458" s="121">
        <v>42556</v>
      </c>
      <c r="G458" s="5" t="s">
        <v>1932</v>
      </c>
      <c r="H458" s="5" t="s">
        <v>1933</v>
      </c>
      <c r="I458" s="114" t="s">
        <v>4555</v>
      </c>
      <c r="J458" t="str">
        <f>VLOOKUP(C458,FORMGOOGLE,7,FALSE)</f>
        <v>https://drive.google.com/open?id=10CeIYkOFfe-f5l-mwimPAcv9yLMMjw3I</v>
      </c>
    </row>
    <row r="459" spans="1:10" ht="15.75" thickBot="1" x14ac:dyDescent="0.3">
      <c r="A459" s="5" t="s">
        <v>1907</v>
      </c>
      <c r="B459" s="119" t="s">
        <v>3087</v>
      </c>
      <c r="C459" s="5" t="s">
        <v>1908</v>
      </c>
      <c r="D459" s="5" t="s">
        <v>2</v>
      </c>
      <c r="E459" s="5" t="s">
        <v>10</v>
      </c>
      <c r="F459" s="121">
        <v>42783</v>
      </c>
      <c r="G459" s="5" t="s">
        <v>1909</v>
      </c>
      <c r="H459" s="5" t="s">
        <v>1910</v>
      </c>
      <c r="I459" s="114" t="s">
        <v>4553</v>
      </c>
      <c r="J459" t="str">
        <f>VLOOKUP(C459,FORMGOOGLE,7,FALSE)</f>
        <v>https://drive.google.com/open?id=1X1aT8TXvkoCxliWzU20eIqfuKa4g4V1x</v>
      </c>
    </row>
    <row r="460" spans="1:10" ht="15.75" thickBot="1" x14ac:dyDescent="0.3">
      <c r="A460" s="5" t="s">
        <v>319</v>
      </c>
      <c r="B460" s="119" t="s">
        <v>4846</v>
      </c>
      <c r="C460" s="5" t="s">
        <v>4847</v>
      </c>
      <c r="D460" s="5" t="s">
        <v>66</v>
      </c>
      <c r="E460" s="5" t="s">
        <v>28</v>
      </c>
      <c r="F460" s="121">
        <v>40690</v>
      </c>
      <c r="G460" s="5" t="s">
        <v>4848</v>
      </c>
      <c r="H460" s="5" t="s">
        <v>4849</v>
      </c>
      <c r="I460" s="114" t="s">
        <v>4850</v>
      </c>
      <c r="J460" t="str">
        <f>VLOOKUP(C460,FORMGOOGLE,7,FALSE)</f>
        <v>https://drive.google.com/open?id=1J8ewCzSnzhfp9uAGthfF-NJj3lJL1Ngm</v>
      </c>
    </row>
    <row r="461" spans="1:10" ht="15.75" thickBot="1" x14ac:dyDescent="0.3">
      <c r="A461" s="5" t="s">
        <v>319</v>
      </c>
      <c r="B461" s="118" t="s">
        <v>3148</v>
      </c>
      <c r="C461" s="5" t="s">
        <v>2170</v>
      </c>
      <c r="D461" s="5" t="s">
        <v>66</v>
      </c>
      <c r="E461" s="5" t="s">
        <v>28</v>
      </c>
      <c r="F461" s="121">
        <v>40902</v>
      </c>
      <c r="G461" s="5" t="s">
        <v>2171</v>
      </c>
      <c r="H461" s="5" t="s">
        <v>2172</v>
      </c>
      <c r="I461" s="114" t="s">
        <v>4562</v>
      </c>
      <c r="J461" t="str">
        <f>VLOOKUP(C461,FORMGOOGLE,7,FALSE)</f>
        <v>https://drive.google.com/open?id=1_iPepfyD7ZPwRWcC1gG03p6rkafooVlw</v>
      </c>
    </row>
    <row r="462" spans="1:10" ht="15.75" thickBot="1" x14ac:dyDescent="0.3">
      <c r="A462" s="5" t="s">
        <v>319</v>
      </c>
      <c r="B462" s="119" t="s">
        <v>3129</v>
      </c>
      <c r="C462" s="5" t="s">
        <v>1128</v>
      </c>
      <c r="D462" s="5" t="s">
        <v>66</v>
      </c>
      <c r="E462" s="5" t="s">
        <v>10</v>
      </c>
      <c r="F462" s="121">
        <v>40836</v>
      </c>
      <c r="G462" s="5" t="s">
        <v>1129</v>
      </c>
      <c r="H462" s="5" t="s">
        <v>1130</v>
      </c>
      <c r="I462" s="114" t="s">
        <v>4559</v>
      </c>
      <c r="J462" t="str">
        <f>VLOOKUP(C462,FORMGOOGLE,7,FALSE)</f>
        <v>https://drive.google.com/open?id=1E0fThNgGcTVzGkiYXgSDjtsMTaiijxAO</v>
      </c>
    </row>
    <row r="463" spans="1:10" ht="15.75" thickBot="1" x14ac:dyDescent="0.3">
      <c r="A463" s="5" t="s">
        <v>319</v>
      </c>
      <c r="B463" s="118" t="s">
        <v>3139</v>
      </c>
      <c r="C463" s="5" t="s">
        <v>1300</v>
      </c>
      <c r="D463" s="5" t="s">
        <v>66</v>
      </c>
      <c r="E463" s="5" t="s">
        <v>28</v>
      </c>
      <c r="F463" s="121">
        <v>40593</v>
      </c>
      <c r="G463" s="5" t="s">
        <v>1301</v>
      </c>
      <c r="H463" s="5" t="s">
        <v>1302</v>
      </c>
      <c r="I463" s="114" t="s">
        <v>4560</v>
      </c>
      <c r="J463" t="str">
        <f>VLOOKUP(C463,FORMGOOGLE,7,FALSE)</f>
        <v>https://drive.google.com/open?id=1XJd3VVyk8QxGnJMeU9hqWR1103vycfpc</v>
      </c>
    </row>
    <row r="464" spans="1:10" ht="15.75" thickBot="1" x14ac:dyDescent="0.3">
      <c r="A464" s="5" t="s">
        <v>319</v>
      </c>
      <c r="B464" s="118" t="s">
        <v>594</v>
      </c>
      <c r="C464" s="5" t="s">
        <v>595</v>
      </c>
      <c r="D464" s="5" t="s">
        <v>66</v>
      </c>
      <c r="E464" s="5" t="s">
        <v>10</v>
      </c>
      <c r="F464" s="121">
        <v>40625</v>
      </c>
      <c r="G464" s="5" t="s">
        <v>596</v>
      </c>
      <c r="H464" s="5" t="s">
        <v>597</v>
      </c>
      <c r="I464" s="114" t="s">
        <v>598</v>
      </c>
      <c r="J464" t="str">
        <f>VLOOKUP(C464,FORMGOOGLE,7,FALSE)</f>
        <v>https://drive.google.com/open?id=1rVSWerSSds2sIBwXetzZDjbcuztf1x9s</v>
      </c>
    </row>
    <row r="465" spans="1:10" ht="15.75" thickBot="1" x14ac:dyDescent="0.3">
      <c r="A465" s="5" t="s">
        <v>319</v>
      </c>
      <c r="B465" s="119" t="s">
        <v>3145</v>
      </c>
      <c r="C465" s="5" t="s">
        <v>2157</v>
      </c>
      <c r="D465" s="5" t="s">
        <v>2</v>
      </c>
      <c r="E465" s="5" t="s">
        <v>1255</v>
      </c>
      <c r="F465" s="121">
        <v>40708</v>
      </c>
      <c r="G465" s="5" t="s">
        <v>2158</v>
      </c>
      <c r="H465" s="5" t="s">
        <v>2159</v>
      </c>
      <c r="I465" s="114" t="s">
        <v>4561</v>
      </c>
      <c r="J465" t="str">
        <f>VLOOKUP(C465,FORMGOOGLE,7,FALSE)</f>
        <v>https://drive.google.com/open?id=1_W-bSUPpxs6ZFjvlblFGTxIJeDVmQ1bB</v>
      </c>
    </row>
    <row r="466" spans="1:10" ht="15.75" thickBot="1" x14ac:dyDescent="0.3">
      <c r="A466" s="5" t="s">
        <v>319</v>
      </c>
      <c r="B466" s="119" t="s">
        <v>313</v>
      </c>
      <c r="C466" s="5" t="s">
        <v>314</v>
      </c>
      <c r="D466" s="5" t="s">
        <v>66</v>
      </c>
      <c r="E466" s="5" t="s">
        <v>315</v>
      </c>
      <c r="F466" s="121">
        <v>40393</v>
      </c>
      <c r="G466" s="5" t="s">
        <v>316</v>
      </c>
      <c r="H466" s="5" t="s">
        <v>317</v>
      </c>
      <c r="I466" s="114" t="s">
        <v>318</v>
      </c>
      <c r="J466" t="str">
        <f>VLOOKUP(C466,FORMGOOGLE,7,FALSE)</f>
        <v>https://drive.google.com/open?id=1f2z06ZFSyxfm_E9nDGHGfKUhpzgPTpgk</v>
      </c>
    </row>
    <row r="467" spans="1:10" ht="15.75" thickBot="1" x14ac:dyDescent="0.3">
      <c r="A467" s="5" t="s">
        <v>319</v>
      </c>
      <c r="B467" s="119" t="s">
        <v>3149</v>
      </c>
      <c r="C467" s="5" t="s">
        <v>2175</v>
      </c>
      <c r="D467" s="5" t="s">
        <v>2</v>
      </c>
      <c r="E467" s="5" t="s">
        <v>328</v>
      </c>
      <c r="F467" s="121">
        <v>40618</v>
      </c>
      <c r="G467" s="5" t="s">
        <v>2176</v>
      </c>
      <c r="H467" s="5" t="s">
        <v>797</v>
      </c>
      <c r="I467" s="114" t="s">
        <v>4563</v>
      </c>
      <c r="J467" t="str">
        <f>VLOOKUP(C467,FORMGOOGLE,7,FALSE)</f>
        <v>https://drive.google.com/open?id=1zskTzHs47dnrHFEEzXU9Z7Irot3Ajczm</v>
      </c>
    </row>
    <row r="468" spans="1:10" ht="15.75" thickBot="1" x14ac:dyDescent="0.3">
      <c r="A468" s="5" t="s">
        <v>4974</v>
      </c>
      <c r="B468" s="118" t="s">
        <v>4993</v>
      </c>
      <c r="C468" s="5" t="s">
        <v>4994</v>
      </c>
      <c r="D468" s="5" t="s">
        <v>66</v>
      </c>
      <c r="E468" s="5" t="s">
        <v>10</v>
      </c>
      <c r="F468" s="121">
        <v>41260</v>
      </c>
      <c r="G468" s="5" t="s">
        <v>4995</v>
      </c>
      <c r="H468" s="5" t="s">
        <v>4996</v>
      </c>
      <c r="I468" s="114" t="s">
        <v>4997</v>
      </c>
      <c r="J468" t="str">
        <f>VLOOKUP(C468,FORMGOOGLE,7,FALSE)</f>
        <v>https://drive.google.com/open?id=1pkrncBpZQGcWwkF5Ayjgsel1BbzPDMLF</v>
      </c>
    </row>
    <row r="469" spans="1:10" ht="15.75" thickBot="1" x14ac:dyDescent="0.3">
      <c r="A469" s="5" t="s">
        <v>4974</v>
      </c>
      <c r="B469" s="119" t="s">
        <v>5001</v>
      </c>
      <c r="C469" s="5" t="s">
        <v>5002</v>
      </c>
      <c r="D469" s="5" t="s">
        <v>2</v>
      </c>
      <c r="E469" s="5" t="s">
        <v>10</v>
      </c>
      <c r="F469" s="121">
        <v>42392</v>
      </c>
      <c r="G469" s="5" t="s">
        <v>5003</v>
      </c>
      <c r="H469" s="5" t="s">
        <v>5004</v>
      </c>
      <c r="I469" s="114" t="s">
        <v>5005</v>
      </c>
      <c r="J469" t="str">
        <f>VLOOKUP(C469,FORMGOOGLE,7,FALSE)</f>
        <v>https://drive.google.com/open?id=1XcX3ul-ZhW2Ocs9_GR2E7220ZUkMQfUa</v>
      </c>
    </row>
    <row r="470" spans="1:10" ht="15.75" thickBot="1" x14ac:dyDescent="0.3">
      <c r="A470" s="5" t="s">
        <v>4974</v>
      </c>
      <c r="B470" s="119" t="s">
        <v>4969</v>
      </c>
      <c r="C470" s="5" t="s">
        <v>4970</v>
      </c>
      <c r="D470" s="5" t="s">
        <v>2</v>
      </c>
      <c r="E470" s="5" t="s">
        <v>10</v>
      </c>
      <c r="F470" s="121">
        <v>41802</v>
      </c>
      <c r="G470" s="5" t="s">
        <v>4971</v>
      </c>
      <c r="H470" s="5" t="s">
        <v>4972</v>
      </c>
      <c r="I470" s="114" t="s">
        <v>4973</v>
      </c>
      <c r="J470" t="str">
        <f>VLOOKUP(C470,FORMGOOGLE,7,FALSE)</f>
        <v>https://drive.google.com/open?id=1erQSZ0TCxfDwZ29-vBv9IJWH8VNhbYyg</v>
      </c>
    </row>
    <row r="471" spans="1:10" ht="15.75" thickBot="1" x14ac:dyDescent="0.3">
      <c r="A471" s="5" t="s">
        <v>4974</v>
      </c>
      <c r="B471" s="119" t="s">
        <v>4979</v>
      </c>
      <c r="C471" s="5" t="s">
        <v>4980</v>
      </c>
      <c r="D471" s="5" t="s">
        <v>2</v>
      </c>
      <c r="E471" s="5" t="s">
        <v>10</v>
      </c>
      <c r="F471" s="121">
        <v>41859</v>
      </c>
      <c r="G471" s="5" t="s">
        <v>4981</v>
      </c>
      <c r="H471" s="5" t="s">
        <v>4982</v>
      </c>
      <c r="I471" s="114" t="s">
        <v>4983</v>
      </c>
      <c r="J471" t="str">
        <f>VLOOKUP(C471,FORMGOOGLE,7,FALSE)</f>
        <v>https://drive.google.com/open?id=1ppO6Q7szqtuQw0R0pQbc47zEi58bu9Dx</v>
      </c>
    </row>
    <row r="472" spans="1:10" ht="15.75" thickBot="1" x14ac:dyDescent="0.3">
      <c r="A472" s="5" t="s">
        <v>1253</v>
      </c>
      <c r="B472" s="119" t="s">
        <v>4776</v>
      </c>
      <c r="C472" s="5" t="s">
        <v>1254</v>
      </c>
      <c r="D472" s="5" t="s">
        <v>2</v>
      </c>
      <c r="E472" s="5" t="s">
        <v>1255</v>
      </c>
      <c r="F472" s="121">
        <v>40671</v>
      </c>
      <c r="G472" s="5" t="s">
        <v>1256</v>
      </c>
      <c r="H472" s="5" t="s">
        <v>1257</v>
      </c>
      <c r="I472" s="114" t="s">
        <v>4777</v>
      </c>
      <c r="J472" t="str">
        <f>VLOOKUP(C472,FORMGOOGLE,7,FALSE)</f>
        <v>https://drive.google.com/open?id=1JE8mIh0cGpD0DhKj4vpj6aARI95OqJPY</v>
      </c>
    </row>
    <row r="473" spans="1:10" ht="15.75" thickBot="1" x14ac:dyDescent="0.3">
      <c r="A473" s="5" t="s">
        <v>1253</v>
      </c>
      <c r="B473" s="119" t="s">
        <v>4784</v>
      </c>
      <c r="C473" s="5" t="s">
        <v>4785</v>
      </c>
      <c r="D473" s="5" t="s">
        <v>66</v>
      </c>
      <c r="E473" s="5" t="s">
        <v>28</v>
      </c>
      <c r="F473" s="121">
        <v>40931</v>
      </c>
      <c r="G473" s="5" t="s">
        <v>4786</v>
      </c>
      <c r="H473" s="5" t="s">
        <v>4787</v>
      </c>
      <c r="I473" s="114" t="s">
        <v>4788</v>
      </c>
      <c r="J473" t="str">
        <f>VLOOKUP(C473,FORMGOOGLE,7,FALSE)</f>
        <v>https://drive.google.com/open?id=1zCCdMhRTFJglvXLN2wpN10fgJemDIyan</v>
      </c>
    </row>
    <row r="474" spans="1:10" ht="15.75" thickBot="1" x14ac:dyDescent="0.3">
      <c r="A474" s="5" t="s">
        <v>1253</v>
      </c>
      <c r="B474" s="119" t="s">
        <v>3138</v>
      </c>
      <c r="C474" s="5" t="s">
        <v>1266</v>
      </c>
      <c r="D474" s="5" t="s">
        <v>728</v>
      </c>
      <c r="E474" s="5" t="s">
        <v>1255</v>
      </c>
      <c r="F474" s="121">
        <v>40505</v>
      </c>
      <c r="G474" s="5" t="s">
        <v>1267</v>
      </c>
      <c r="H474" s="5" t="s">
        <v>1268</v>
      </c>
      <c r="I474" s="117" t="e">
        <v>#N/A</v>
      </c>
      <c r="J474" t="str">
        <f>VLOOKUP(C474,FORMGOOGLE,7,FALSE)</f>
        <v>https://drive.google.com/open?id=1-aglZ5zUK6B09y6R7-hE-K_k8DG9BqS5</v>
      </c>
    </row>
    <row r="475" spans="1:10" ht="15.75" thickBot="1" x14ac:dyDescent="0.3">
      <c r="A475" s="5" t="s">
        <v>1253</v>
      </c>
      <c r="B475" s="119" t="s">
        <v>4795</v>
      </c>
      <c r="C475" s="5" t="s">
        <v>4796</v>
      </c>
      <c r="D475" s="5" t="s">
        <v>66</v>
      </c>
      <c r="E475" s="5" t="s">
        <v>28</v>
      </c>
      <c r="F475" s="121">
        <v>41557</v>
      </c>
      <c r="G475" s="5" t="s">
        <v>4797</v>
      </c>
      <c r="H475" s="5" t="s">
        <v>4798</v>
      </c>
      <c r="I475" s="114" t="s">
        <v>4799</v>
      </c>
      <c r="J475" t="str">
        <f>VLOOKUP(C475,FORMGOOGLE,7,FALSE)</f>
        <v>https://drive.google.com/open?id=1w8PIBEBcwa2v6fFptPxbLg9-9qq6KAX5</v>
      </c>
    </row>
    <row r="476" spans="1:10" ht="15.75" thickBot="1" x14ac:dyDescent="0.3">
      <c r="A476" s="5" t="s">
        <v>1253</v>
      </c>
      <c r="B476" s="119" t="s">
        <v>4800</v>
      </c>
      <c r="C476" s="5" t="s">
        <v>4801</v>
      </c>
      <c r="D476" s="5" t="s">
        <v>2</v>
      </c>
      <c r="E476" s="5" t="s">
        <v>28</v>
      </c>
      <c r="F476" s="121">
        <v>42261</v>
      </c>
      <c r="G476" s="5" t="s">
        <v>4802</v>
      </c>
      <c r="H476" s="5" t="s">
        <v>4803</v>
      </c>
      <c r="I476" s="114" t="s">
        <v>4804</v>
      </c>
      <c r="J476" t="str">
        <f>VLOOKUP(C476,FORMGOOGLE,7,FALSE)</f>
        <v>https://drive.google.com/open?id=1mYkF1kbRAYSrncPC2e1XIit9GAebd6ZX</v>
      </c>
    </row>
    <row r="477" spans="1:10" ht="15.75" thickBot="1" x14ac:dyDescent="0.3">
      <c r="A477" s="5" t="s">
        <v>1253</v>
      </c>
      <c r="B477" s="118" t="s">
        <v>4812</v>
      </c>
      <c r="C477" s="5" t="s">
        <v>4813</v>
      </c>
      <c r="D477" s="5" t="s">
        <v>2</v>
      </c>
      <c r="E477" s="5" t="s">
        <v>1255</v>
      </c>
      <c r="F477" s="121">
        <v>40733</v>
      </c>
      <c r="G477" s="5" t="s">
        <v>4814</v>
      </c>
      <c r="H477" s="5" t="s">
        <v>4815</v>
      </c>
      <c r="I477" s="114" t="s">
        <v>4816</v>
      </c>
      <c r="J477" t="str">
        <f>VLOOKUP(C477,FORMGOOGLE,7,FALSE)</f>
        <v>https://drive.google.com/open?id=1ChiCHbMqtWAO2bABGcFyYpyOsu7RSXOr</v>
      </c>
    </row>
    <row r="478" spans="1:10" ht="15.75" thickBot="1" x14ac:dyDescent="0.3">
      <c r="A478" s="5" t="s">
        <v>1201</v>
      </c>
      <c r="B478" s="118" t="s">
        <v>4748</v>
      </c>
      <c r="C478" s="5" t="s">
        <v>1182</v>
      </c>
      <c r="D478" s="5" t="s">
        <v>66</v>
      </c>
      <c r="E478" s="5" t="s">
        <v>10</v>
      </c>
      <c r="F478" s="121">
        <v>42069</v>
      </c>
      <c r="G478" s="5" t="s">
        <v>1183</v>
      </c>
      <c r="H478" s="5" t="s">
        <v>1184</v>
      </c>
      <c r="I478" s="114" t="s">
        <v>4749</v>
      </c>
      <c r="J478" t="str">
        <f>VLOOKUP(C478,FORMGOOGLE,7,FALSE)</f>
        <v>https://drive.google.com/open?id=1xq6-KrEMMLVtaP7VGdOphzl6VRW8AS_w</v>
      </c>
    </row>
    <row r="479" spans="1:10" ht="15.75" thickBot="1" x14ac:dyDescent="0.3">
      <c r="A479" s="5" t="s">
        <v>1201</v>
      </c>
      <c r="B479" s="118" t="s">
        <v>3135</v>
      </c>
      <c r="C479" s="5" t="s">
        <v>1202</v>
      </c>
      <c r="D479" s="5" t="s">
        <v>66</v>
      </c>
      <c r="E479" s="5" t="s">
        <v>28</v>
      </c>
      <c r="F479" s="121">
        <v>42095</v>
      </c>
      <c r="G479" s="5" t="s">
        <v>1203</v>
      </c>
      <c r="H479" s="5" t="s">
        <v>1204</v>
      </c>
      <c r="I479" s="117" t="e">
        <v>#N/A</v>
      </c>
      <c r="J479" t="str">
        <f>VLOOKUP(C479,FORMGOOGLE,7,FALSE)</f>
        <v>https://drive.google.com/open?id=1aI69pndUZux8CwDJQVcz5ZtFAQi4_bT-</v>
      </c>
    </row>
    <row r="480" spans="1:10" ht="15.75" thickBot="1" x14ac:dyDescent="0.3">
      <c r="A480" s="5" t="s">
        <v>1201</v>
      </c>
      <c r="B480" s="119" t="s">
        <v>3136</v>
      </c>
      <c r="C480" s="5" t="s">
        <v>1227</v>
      </c>
      <c r="D480" s="5" t="s">
        <v>66</v>
      </c>
      <c r="E480" s="5" t="s">
        <v>10</v>
      </c>
      <c r="F480" s="121">
        <v>41750</v>
      </c>
      <c r="G480" s="5" t="s">
        <v>1228</v>
      </c>
      <c r="H480" s="5" t="s">
        <v>1229</v>
      </c>
      <c r="I480" s="117" t="e">
        <v>#N/A</v>
      </c>
      <c r="J480" t="str">
        <f>VLOOKUP(C480,FORMGOOGLE,7,FALSE)</f>
        <v>https://drive.google.com/open?id=1mkmjQL_YPptkRE3hNw4ehb8QdoHrJy5p</v>
      </c>
    </row>
    <row r="481" spans="1:10" ht="15.75" thickBot="1" x14ac:dyDescent="0.3">
      <c r="A481" s="5" t="s">
        <v>4810</v>
      </c>
      <c r="B481" s="118" t="s">
        <v>4805</v>
      </c>
      <c r="C481" s="5" t="s">
        <v>4806</v>
      </c>
      <c r="D481" s="5" t="s">
        <v>66</v>
      </c>
      <c r="E481" s="5" t="s">
        <v>10</v>
      </c>
      <c r="F481" s="121">
        <v>42634</v>
      </c>
      <c r="G481" s="5" t="s">
        <v>4807</v>
      </c>
      <c r="H481" s="5" t="s">
        <v>4808</v>
      </c>
      <c r="I481" s="114" t="s">
        <v>4809</v>
      </c>
      <c r="J481" t="str">
        <f>VLOOKUP(C481,FORMGOOGLE,7,FALSE)</f>
        <v>https://drive.google.com/open?id=1H_HoA8fd5vmNy8-hugKlML36fgdG6dDf</v>
      </c>
    </row>
    <row r="482" spans="1:10" ht="15.75" thickBot="1" x14ac:dyDescent="0.3">
      <c r="A482" s="5" t="s">
        <v>4810</v>
      </c>
      <c r="B482" s="119" t="s">
        <v>4890</v>
      </c>
      <c r="C482" s="5" t="s">
        <v>4891</v>
      </c>
      <c r="D482" s="5" t="s">
        <v>66</v>
      </c>
      <c r="E482" s="5" t="s">
        <v>28</v>
      </c>
      <c r="F482" s="121">
        <v>42199</v>
      </c>
      <c r="G482" s="5" t="s">
        <v>4892</v>
      </c>
      <c r="H482" s="5" t="s">
        <v>4893</v>
      </c>
      <c r="I482" s="114" t="s">
        <v>4894</v>
      </c>
      <c r="J482" t="str">
        <f>VLOOKUP(C482,FORMGOOGLE,7,FALSE)</f>
        <v>https://drive.google.com/open?id=1kwVVgVnyDE7Mi01eQ6Un0EeL28heTD3T</v>
      </c>
    </row>
    <row r="483" spans="1:10" ht="15.75" thickBot="1" x14ac:dyDescent="0.3">
      <c r="A483" s="5" t="s">
        <v>4810</v>
      </c>
      <c r="B483" s="119" t="s">
        <v>4910</v>
      </c>
      <c r="C483" s="5" t="s">
        <v>4887</v>
      </c>
      <c r="D483" s="5" t="s">
        <v>66</v>
      </c>
      <c r="E483" s="11" t="s">
        <v>4911</v>
      </c>
      <c r="F483" s="121">
        <v>41575</v>
      </c>
      <c r="G483" s="5" t="s">
        <v>668</v>
      </c>
      <c r="H483" s="5" t="s">
        <v>4888</v>
      </c>
      <c r="I483" s="114" t="s">
        <v>4912</v>
      </c>
      <c r="J483" t="str">
        <f>VLOOKUP(C483,FORMGOOGLE,7,FALSE)</f>
        <v>https://drive.google.com/open?id=19fJEbfbbTNMZRZN7R4sn7MzN-PRrul5E</v>
      </c>
    </row>
    <row r="484" spans="1:10" ht="15.75" thickBot="1" x14ac:dyDescent="0.3">
      <c r="A484" s="5" t="s">
        <v>4810</v>
      </c>
      <c r="B484" s="118" t="s">
        <v>4841</v>
      </c>
      <c r="C484" s="5" t="s">
        <v>4842</v>
      </c>
      <c r="D484" s="5" t="s">
        <v>66</v>
      </c>
      <c r="E484" s="5" t="s">
        <v>28</v>
      </c>
      <c r="F484" s="121">
        <v>41129</v>
      </c>
      <c r="G484" s="5" t="s">
        <v>4843</v>
      </c>
      <c r="H484" s="5" t="s">
        <v>4844</v>
      </c>
      <c r="I484" s="114" t="s">
        <v>4845</v>
      </c>
      <c r="J484" t="str">
        <f>VLOOKUP(C484,FORMGOOGLE,7,FALSE)</f>
        <v>https://drive.google.com/open?id=1Jwglmtau_jwIEsxAx9V_B021Vr8KspW1</v>
      </c>
    </row>
    <row r="485" spans="1:10" ht="15.75" thickBot="1" x14ac:dyDescent="0.3">
      <c r="A485" s="5" t="s">
        <v>4810</v>
      </c>
      <c r="B485" s="118" t="s">
        <v>4913</v>
      </c>
      <c r="C485" s="5" t="s">
        <v>4902</v>
      </c>
      <c r="D485" s="5" t="s">
        <v>2</v>
      </c>
      <c r="E485" s="5" t="s">
        <v>28</v>
      </c>
      <c r="F485" s="121">
        <v>41659</v>
      </c>
      <c r="G485" s="5" t="s">
        <v>4903</v>
      </c>
      <c r="H485" s="5" t="s">
        <v>4904</v>
      </c>
      <c r="I485" s="114" t="s">
        <v>4914</v>
      </c>
      <c r="J485" t="str">
        <f>VLOOKUP(C485,FORMGOOGLE,7,FALSE)</f>
        <v>https://drive.google.com/open?id=1yz8QrTvVrEs6UwQZ9v3Io7LSG1kDbtNR</v>
      </c>
    </row>
    <row r="486" spans="1:10" ht="15.75" thickBot="1" x14ac:dyDescent="0.3">
      <c r="A486" s="5" t="s">
        <v>1071</v>
      </c>
      <c r="B486" s="118" t="s">
        <v>155</v>
      </c>
      <c r="C486" s="5" t="s">
        <v>156</v>
      </c>
      <c r="D486" s="5" t="s">
        <v>66</v>
      </c>
      <c r="E486" s="5" t="s">
        <v>10</v>
      </c>
      <c r="F486" s="121">
        <v>42724</v>
      </c>
      <c r="G486" s="5" t="s">
        <v>157</v>
      </c>
      <c r="H486" s="5" t="s">
        <v>158</v>
      </c>
      <c r="I486" s="114" t="s">
        <v>159</v>
      </c>
      <c r="J486" t="str">
        <f>VLOOKUP(C486,FORMGOOGLE,7,FALSE)</f>
        <v>https://drive.google.com/open?id=1Tu4b8lvkyu7hGhMCpg7MCjrutLBpI3EX</v>
      </c>
    </row>
    <row r="487" spans="1:10" ht="15.75" thickBot="1" x14ac:dyDescent="0.3">
      <c r="A487" s="5" t="s">
        <v>1071</v>
      </c>
      <c r="B487" s="119" t="s">
        <v>161</v>
      </c>
      <c r="C487" s="5" t="s">
        <v>162</v>
      </c>
      <c r="D487" s="5" t="s">
        <v>2</v>
      </c>
      <c r="E487" s="5" t="s">
        <v>10</v>
      </c>
      <c r="F487" s="121">
        <v>41707</v>
      </c>
      <c r="G487" s="5" t="s">
        <v>163</v>
      </c>
      <c r="H487" s="5" t="s">
        <v>164</v>
      </c>
      <c r="I487" s="114" t="s">
        <v>165</v>
      </c>
      <c r="J487" t="str">
        <f>VLOOKUP(C487,FORMGOOGLE,7,FALSE)</f>
        <v>https://drive.google.com/open?id=1XW61HOHCK0XVrUP7ANRL0eoOSASYPHQr</v>
      </c>
    </row>
    <row r="488" spans="1:10" ht="15.75" thickBot="1" x14ac:dyDescent="0.3">
      <c r="A488" s="5" t="s">
        <v>1071</v>
      </c>
      <c r="B488" s="119" t="s">
        <v>171</v>
      </c>
      <c r="C488" s="5" t="s">
        <v>172</v>
      </c>
      <c r="D488" s="5" t="s">
        <v>2</v>
      </c>
      <c r="E488" s="5" t="s">
        <v>10</v>
      </c>
      <c r="F488" s="121">
        <v>42225</v>
      </c>
      <c r="G488" s="5" t="s">
        <v>173</v>
      </c>
      <c r="H488" s="5" t="s">
        <v>174</v>
      </c>
      <c r="I488" s="114" t="s">
        <v>175</v>
      </c>
      <c r="J488" t="str">
        <f>VLOOKUP(C488,FORMGOOGLE,7,FALSE)</f>
        <v>https://drive.google.com/open?id=1aqjkZhGHrKUqN5F-HA9Sm6tyIra27jA1</v>
      </c>
    </row>
    <row r="489" spans="1:10" ht="15.75" thickBot="1" x14ac:dyDescent="0.3">
      <c r="A489" s="5" t="s">
        <v>1071</v>
      </c>
      <c r="B489" s="118" t="s">
        <v>176</v>
      </c>
      <c r="C489" s="5" t="s">
        <v>177</v>
      </c>
      <c r="D489" s="5" t="s">
        <v>2</v>
      </c>
      <c r="E489" s="5" t="s">
        <v>10</v>
      </c>
      <c r="F489" s="121">
        <v>41509</v>
      </c>
      <c r="G489" s="5" t="s">
        <v>178</v>
      </c>
      <c r="H489" s="5" t="s">
        <v>179</v>
      </c>
      <c r="I489" s="114" t="s">
        <v>180</v>
      </c>
      <c r="J489" t="str">
        <f>VLOOKUP(C489,FORMGOOGLE,7,FALSE)</f>
        <v>https://drive.google.com/open?id=1e2rBLAZACsO2SMhgH2S8GJi_c6fm7A4Q</v>
      </c>
    </row>
    <row r="490" spans="1:10" ht="15.75" thickBot="1" x14ac:dyDescent="0.3">
      <c r="A490" s="5" t="s">
        <v>1071</v>
      </c>
      <c r="B490" s="119" t="s">
        <v>3123</v>
      </c>
      <c r="C490" s="5" t="s">
        <v>1072</v>
      </c>
      <c r="D490" s="5" t="s">
        <v>66</v>
      </c>
      <c r="E490" s="5" t="s">
        <v>1073</v>
      </c>
      <c r="F490" s="121">
        <v>42133</v>
      </c>
      <c r="G490" s="5" t="s">
        <v>1074</v>
      </c>
      <c r="H490" s="5" t="s">
        <v>1075</v>
      </c>
      <c r="I490" s="117" t="e">
        <v>#N/A</v>
      </c>
      <c r="J490" t="str">
        <f>VLOOKUP(C490,FORMGOOGLE,7,FALSE)</f>
        <v>https://drive.google.com/open?id=1eZ7LPhPCfn0H3eIXC19-y6wrBpmN9vqK</v>
      </c>
    </row>
    <row r="491" spans="1:10" ht="15.75" thickBot="1" x14ac:dyDescent="0.3">
      <c r="A491" s="5" t="s">
        <v>1071</v>
      </c>
      <c r="B491" s="118" t="s">
        <v>166</v>
      </c>
      <c r="C491" s="5" t="s">
        <v>167</v>
      </c>
      <c r="D491" s="5" t="s">
        <v>66</v>
      </c>
      <c r="E491" s="5" t="s">
        <v>59</v>
      </c>
      <c r="F491" s="121">
        <v>42459</v>
      </c>
      <c r="G491" s="5" t="s">
        <v>168</v>
      </c>
      <c r="H491" s="5" t="s">
        <v>169</v>
      </c>
      <c r="I491" s="114" t="s">
        <v>170</v>
      </c>
      <c r="J491" t="str">
        <f>VLOOKUP(C491,FORMGOOGLE,7,FALSE)</f>
        <v>https://drive.google.com/open?id=1FncvB5Vcx9so08LAIrt9gIqtGLq8KJY4</v>
      </c>
    </row>
    <row r="492" spans="1:10" ht="15.75" thickBot="1" x14ac:dyDescent="0.3">
      <c r="A492" s="5" t="s">
        <v>1071</v>
      </c>
      <c r="B492" s="119" t="s">
        <v>181</v>
      </c>
      <c r="C492" s="5" t="s">
        <v>182</v>
      </c>
      <c r="D492" s="5" t="s">
        <v>66</v>
      </c>
      <c r="E492" s="5" t="s">
        <v>59</v>
      </c>
      <c r="F492" s="121">
        <v>42122</v>
      </c>
      <c r="G492" s="5" t="s">
        <v>183</v>
      </c>
      <c r="H492" s="5" t="s">
        <v>184</v>
      </c>
      <c r="I492" s="114" t="s">
        <v>185</v>
      </c>
      <c r="J492" t="str">
        <f>VLOOKUP(C492,FORMGOOGLE,7,FALSE)</f>
        <v>https://drive.google.com/open?id=1yq_ugUBH4_QnKVI9Uqy8Cu1pbDe06m1o</v>
      </c>
    </row>
    <row r="493" spans="1:10" ht="15.75" thickBot="1" x14ac:dyDescent="0.3">
      <c r="A493" s="5" t="s">
        <v>1071</v>
      </c>
      <c r="B493" s="118" t="s">
        <v>186</v>
      </c>
      <c r="C493" s="5" t="s">
        <v>187</v>
      </c>
      <c r="D493" s="5" t="s">
        <v>2</v>
      </c>
      <c r="E493" s="5" t="s">
        <v>10</v>
      </c>
      <c r="F493" s="121">
        <v>42604</v>
      </c>
      <c r="G493" s="5" t="s">
        <v>188</v>
      </c>
      <c r="H493" s="5" t="s">
        <v>189</v>
      </c>
      <c r="I493" s="114" t="s">
        <v>190</v>
      </c>
      <c r="J493" t="str">
        <f>VLOOKUP(C493,FORMGOOGLE,7,FALSE)</f>
        <v>https://drive.google.com/open?id=1IuqZK1MDvBF-QJCHXfghgBFiYEvoAWbP</v>
      </c>
    </row>
    <row r="494" spans="1:10" ht="15.75" thickBot="1" x14ac:dyDescent="0.3">
      <c r="A494" s="5" t="s">
        <v>1038</v>
      </c>
      <c r="B494" s="119" t="s">
        <v>3120</v>
      </c>
      <c r="C494" s="5" t="s">
        <v>1053</v>
      </c>
      <c r="D494" s="5" t="s">
        <v>2</v>
      </c>
      <c r="E494" s="5" t="s">
        <v>28</v>
      </c>
      <c r="F494" s="121">
        <v>42546</v>
      </c>
      <c r="G494" s="5" t="s">
        <v>1054</v>
      </c>
      <c r="H494" s="5" t="s">
        <v>1055</v>
      </c>
      <c r="I494" s="117" t="e">
        <v>#N/A</v>
      </c>
      <c r="J494" t="str">
        <f>VLOOKUP(C494,FORMGOOGLE,7,FALSE)</f>
        <v>https://drive.google.com/open?id=1f7BauV_HURJdeOaOy528B_BsEqCXVuVk</v>
      </c>
    </row>
    <row r="495" spans="1:10" ht="15.75" thickBot="1" x14ac:dyDescent="0.3">
      <c r="A495" s="5" t="s">
        <v>1038</v>
      </c>
      <c r="B495" s="119" t="s">
        <v>3122</v>
      </c>
      <c r="C495" s="5" t="s">
        <v>1063</v>
      </c>
      <c r="D495" s="5" t="s">
        <v>2</v>
      </c>
      <c r="E495" s="5" t="s">
        <v>204</v>
      </c>
      <c r="F495" s="121">
        <v>42393</v>
      </c>
      <c r="G495" s="5" t="s">
        <v>1064</v>
      </c>
      <c r="H495" s="5" t="s">
        <v>1065</v>
      </c>
      <c r="I495" s="117" t="e">
        <v>#N/A</v>
      </c>
      <c r="J495" t="str">
        <f>VLOOKUP(C495,FORMGOOGLE,7,FALSE)</f>
        <v>https://drive.google.com/open?id=15osqENtLHUOcWDqiYr-GyV9HvWcOgpFL</v>
      </c>
    </row>
    <row r="496" spans="1:10" ht="15.75" thickBot="1" x14ac:dyDescent="0.3">
      <c r="A496" s="5" t="s">
        <v>1038</v>
      </c>
      <c r="B496" s="118" t="s">
        <v>3119</v>
      </c>
      <c r="C496" s="5" t="s">
        <v>1049</v>
      </c>
      <c r="D496" s="5" t="s">
        <v>2</v>
      </c>
      <c r="E496" s="5" t="s">
        <v>28</v>
      </c>
      <c r="F496" s="121">
        <v>42330</v>
      </c>
      <c r="G496" s="5" t="s">
        <v>1050</v>
      </c>
      <c r="H496" s="5" t="s">
        <v>1041</v>
      </c>
      <c r="I496" s="117" t="e">
        <v>#N/A</v>
      </c>
      <c r="J496" t="str">
        <f>VLOOKUP(C496,FORMGOOGLE,7,FALSE)</f>
        <v>https://drive.google.com/open?id=1J6hgh25lrq6QxILNjyQ0YHMzEyONzlLz</v>
      </c>
    </row>
    <row r="497" spans="1:10" ht="15.75" thickBot="1" x14ac:dyDescent="0.3">
      <c r="A497" s="5" t="s">
        <v>1038</v>
      </c>
      <c r="B497" s="119" t="s">
        <v>3144</v>
      </c>
      <c r="C497" s="5" t="s">
        <v>1044</v>
      </c>
      <c r="D497" s="5" t="s">
        <v>2</v>
      </c>
      <c r="E497" s="5" t="s">
        <v>402</v>
      </c>
      <c r="F497" s="121">
        <v>42349</v>
      </c>
      <c r="G497" s="5" t="s">
        <v>1045</v>
      </c>
      <c r="H497" s="5" t="s">
        <v>1046</v>
      </c>
      <c r="I497" s="117" t="e">
        <v>#N/A</v>
      </c>
      <c r="J497" t="str">
        <f>VLOOKUP(C497,FORMGOOGLE,7,FALSE)</f>
        <v>https://drive.google.com/open?id=1b7iLYDeTO2_GAwCfNxeuWQ4j5H8DrQ6f</v>
      </c>
    </row>
    <row r="498" spans="1:10" ht="15.75" thickBot="1" x14ac:dyDescent="0.3">
      <c r="A498" s="5" t="s">
        <v>1038</v>
      </c>
      <c r="B498" s="118" t="s">
        <v>3117</v>
      </c>
      <c r="C498" s="5" t="s">
        <v>1039</v>
      </c>
      <c r="D498" s="5" t="s">
        <v>2</v>
      </c>
      <c r="E498" s="5" t="s">
        <v>28</v>
      </c>
      <c r="F498" s="121">
        <v>42109</v>
      </c>
      <c r="G498" s="5" t="s">
        <v>1040</v>
      </c>
      <c r="H498" s="5" t="s">
        <v>1041</v>
      </c>
      <c r="I498" s="117" t="e">
        <v>#N/A</v>
      </c>
      <c r="J498" t="str">
        <f>VLOOKUP(C498,FORMGOOGLE,7,FALSE)</f>
        <v>https://drive.google.com/open?id=1sdEp7nkHPIHNea7-o8dNU9j0J6t_RvVp</v>
      </c>
    </row>
    <row r="499" spans="1:10" ht="15.75" thickBot="1" x14ac:dyDescent="0.3">
      <c r="A499" s="5" t="s">
        <v>1038</v>
      </c>
      <c r="B499" s="118" t="s">
        <v>3121</v>
      </c>
      <c r="C499" s="5" t="s">
        <v>1058</v>
      </c>
      <c r="D499" s="5" t="s">
        <v>2</v>
      </c>
      <c r="E499" s="5" t="s">
        <v>28</v>
      </c>
      <c r="F499" s="121">
        <v>42668</v>
      </c>
      <c r="G499" s="5" t="s">
        <v>1059</v>
      </c>
      <c r="H499" s="5" t="s">
        <v>1060</v>
      </c>
      <c r="I499" s="117" t="e">
        <v>#N/A</v>
      </c>
      <c r="J499" t="str">
        <f>VLOOKUP(C499,FORMGOOGLE,7,FALSE)</f>
        <v>https://drive.google.com/open?id=1ScalFEZn28SCwSvF1URw2lzAg2dTrZcW</v>
      </c>
    </row>
    <row r="500" spans="1:10" ht="15.75" thickBot="1" x14ac:dyDescent="0.3">
      <c r="A500" s="5" t="s">
        <v>214</v>
      </c>
      <c r="B500" s="119" t="s">
        <v>220</v>
      </c>
      <c r="C500" s="5" t="s">
        <v>221</v>
      </c>
      <c r="D500" s="5" t="s">
        <v>66</v>
      </c>
      <c r="E500" s="5" t="s">
        <v>10</v>
      </c>
      <c r="F500" s="124">
        <v>42259</v>
      </c>
      <c r="G500" s="5" t="s">
        <v>222</v>
      </c>
      <c r="H500" s="11" t="s">
        <v>223</v>
      </c>
      <c r="I500" s="114" t="s">
        <v>224</v>
      </c>
      <c r="J500" t="str">
        <f>VLOOKUP(C500,FORMGOOGLE,7,FALSE)</f>
        <v>https://drive.google.com/open?id=1GVSfUtAd-VG7N2w11azVOuPqlJ_pNFuw</v>
      </c>
    </row>
    <row r="501" spans="1:10" ht="15.75" thickBot="1" x14ac:dyDescent="0.3">
      <c r="A501" s="5" t="s">
        <v>214</v>
      </c>
      <c r="B501" s="119" t="s">
        <v>237</v>
      </c>
      <c r="C501" s="5" t="s">
        <v>238</v>
      </c>
      <c r="D501" s="5" t="s">
        <v>66</v>
      </c>
      <c r="E501" s="5" t="s">
        <v>28</v>
      </c>
      <c r="F501" s="124">
        <v>42347</v>
      </c>
      <c r="G501" s="5" t="s">
        <v>239</v>
      </c>
      <c r="H501" s="11" t="s">
        <v>240</v>
      </c>
      <c r="I501" s="114" t="s">
        <v>241</v>
      </c>
      <c r="J501" t="str">
        <f>VLOOKUP(C501,FORMGOOGLE,7,FALSE)</f>
        <v>https://drive.google.com/open?id=1GVSfUtAd-VG7N2w11azVOuPqlJ_pNFuw</v>
      </c>
    </row>
    <row r="502" spans="1:10" ht="15.75" thickBot="1" x14ac:dyDescent="0.3">
      <c r="A502" s="5" t="s">
        <v>214</v>
      </c>
      <c r="B502" s="118" t="s">
        <v>242</v>
      </c>
      <c r="C502" s="5" t="s">
        <v>243</v>
      </c>
      <c r="D502" s="5" t="s">
        <v>66</v>
      </c>
      <c r="E502" s="5" t="s">
        <v>10</v>
      </c>
      <c r="F502" s="124">
        <v>42347</v>
      </c>
      <c r="G502" s="5" t="s">
        <v>222</v>
      </c>
      <c r="H502" s="11" t="s">
        <v>244</v>
      </c>
      <c r="I502" s="114" t="s">
        <v>245</v>
      </c>
      <c r="J502" t="str">
        <f>VLOOKUP(C502,FORMGOOGLE,7,FALSE)</f>
        <v>https://drive.google.com/open?id=1GVSfUtAd-VG7N2w11azVOuPqlJ_pNFuw</v>
      </c>
    </row>
    <row r="503" spans="1:10" ht="15.75" thickBot="1" x14ac:dyDescent="0.3">
      <c r="A503" s="5" t="s">
        <v>214</v>
      </c>
      <c r="B503" s="118" t="s">
        <v>3116</v>
      </c>
      <c r="C503" s="5" t="s">
        <v>1027</v>
      </c>
      <c r="D503" s="5" t="s">
        <v>2</v>
      </c>
      <c r="E503" s="5" t="s">
        <v>10</v>
      </c>
      <c r="F503" s="124">
        <v>42109</v>
      </c>
      <c r="G503" s="5" t="s">
        <v>1028</v>
      </c>
      <c r="H503" s="5" t="s">
        <v>1029</v>
      </c>
      <c r="I503" s="117" t="e">
        <v>#N/A</v>
      </c>
      <c r="J503" t="str">
        <f>VLOOKUP(C503,FORMGOOGLE,7,FALSE)</f>
        <v>https://drive.google.com/open?id=1Ny17lnfX-4BOT0H8C84w8ILdAaOKAhfk</v>
      </c>
    </row>
    <row r="504" spans="1:10" ht="15.75" thickBot="1" x14ac:dyDescent="0.3">
      <c r="A504" s="5" t="s">
        <v>214</v>
      </c>
      <c r="B504" s="119" t="s">
        <v>3128</v>
      </c>
      <c r="C504" s="5" t="s">
        <v>1123</v>
      </c>
      <c r="D504" s="5" t="s">
        <v>2</v>
      </c>
      <c r="E504" s="5" t="s">
        <v>10</v>
      </c>
      <c r="F504" s="124">
        <v>42108</v>
      </c>
      <c r="G504" s="5" t="s">
        <v>1124</v>
      </c>
      <c r="H504" s="5" t="s">
        <v>1125</v>
      </c>
      <c r="I504" s="117" t="e">
        <v>#N/A</v>
      </c>
      <c r="J504" t="str">
        <f>VLOOKUP(C504,FORMGOOGLE,7,FALSE)</f>
        <v>https://drive.google.com/open?id=1Ny17lnfX-4BOT0H8C84w8ILdAaOKAhfk</v>
      </c>
    </row>
    <row r="505" spans="1:10" ht="15.75" thickBot="1" x14ac:dyDescent="0.3">
      <c r="A505" s="5" t="s">
        <v>214</v>
      </c>
      <c r="B505" s="118" t="s">
        <v>215</v>
      </c>
      <c r="C505" s="5" t="s">
        <v>216</v>
      </c>
      <c r="D505" s="5" t="s">
        <v>2</v>
      </c>
      <c r="E505" s="5" t="s">
        <v>204</v>
      </c>
      <c r="F505" s="121">
        <v>42354</v>
      </c>
      <c r="G505" s="5" t="s">
        <v>217</v>
      </c>
      <c r="H505" s="5" t="s">
        <v>218</v>
      </c>
      <c r="I505" s="114" t="s">
        <v>219</v>
      </c>
      <c r="J505" t="str">
        <f>VLOOKUP(C505,FORMGOOGLE,7,FALSE)</f>
        <v>https://drive.google.com/open?id=1RmOfQW2PGka_V6WNPufdkcdoh--62LC-</v>
      </c>
    </row>
    <row r="506" spans="1:10" ht="15.75" thickBot="1" x14ac:dyDescent="0.3">
      <c r="A506" s="5" t="s">
        <v>214</v>
      </c>
      <c r="B506" s="118" t="s">
        <v>3125</v>
      </c>
      <c r="C506" s="5" t="s">
        <v>1087</v>
      </c>
      <c r="D506" s="5" t="s">
        <v>2</v>
      </c>
      <c r="E506" s="5" t="s">
        <v>59</v>
      </c>
      <c r="F506" s="121">
        <v>41811</v>
      </c>
      <c r="G506" s="5" t="s">
        <v>1088</v>
      </c>
      <c r="H506" s="5" t="s">
        <v>1089</v>
      </c>
      <c r="I506" s="117" t="e">
        <v>#N/A</v>
      </c>
      <c r="J506" t="str">
        <f>VLOOKUP(C506,FORMGOOGLE,7,FALSE)</f>
        <v>https://drive.google.com/open?id=1Z73nzZVBDsXoeelvZ2Obqnt6XdhGo7pk</v>
      </c>
    </row>
    <row r="507" spans="1:10" ht="15.75" thickBot="1" x14ac:dyDescent="0.3">
      <c r="A507" s="5" t="s">
        <v>214</v>
      </c>
      <c r="B507" s="119" t="s">
        <v>3124</v>
      </c>
      <c r="C507" s="5" t="s">
        <v>1081</v>
      </c>
      <c r="D507" s="5" t="s">
        <v>2</v>
      </c>
      <c r="E507" s="11" t="s">
        <v>1082</v>
      </c>
      <c r="F507" s="121">
        <v>42716</v>
      </c>
      <c r="G507" s="5" t="s">
        <v>1083</v>
      </c>
      <c r="H507" s="5" t="s">
        <v>1084</v>
      </c>
      <c r="I507" s="117" t="e">
        <v>#N/A</v>
      </c>
      <c r="J507" t="str">
        <f>VLOOKUP(C507,FORMGOOGLE,7,FALSE)</f>
        <v>https://drive.google.com/open?id=1lXJ91qEoINauEsJBwCjp9JHhk5opuCoa</v>
      </c>
    </row>
    <row r="508" spans="1:10" ht="15.75" thickBot="1" x14ac:dyDescent="0.3">
      <c r="A508" s="5" t="s">
        <v>214</v>
      </c>
      <c r="B508" s="119" t="s">
        <v>3126</v>
      </c>
      <c r="C508" s="5" t="s">
        <v>1092</v>
      </c>
      <c r="D508" s="5" t="s">
        <v>2</v>
      </c>
      <c r="E508" s="5" t="s">
        <v>10</v>
      </c>
      <c r="F508" s="121">
        <v>42129</v>
      </c>
      <c r="G508" s="5" t="s">
        <v>1093</v>
      </c>
      <c r="H508" s="5" t="s">
        <v>1094</v>
      </c>
      <c r="I508" s="117" t="e">
        <v>#N/A</v>
      </c>
      <c r="J508" t="str">
        <f>VLOOKUP(C508,FORMGOOGLE,7,FALSE)</f>
        <v>https://drive.google.com/open?id=1KZ3BdpHkZJ91SxoNy2OxucX875ogiOMT</v>
      </c>
    </row>
    <row r="509" spans="1:10" ht="15.75" thickBot="1" x14ac:dyDescent="0.3">
      <c r="A509" s="5" t="s">
        <v>214</v>
      </c>
      <c r="B509" s="118" t="s">
        <v>3130</v>
      </c>
      <c r="C509" s="5" t="s">
        <v>1133</v>
      </c>
      <c r="D509" s="5" t="s">
        <v>66</v>
      </c>
      <c r="E509" s="5" t="s">
        <v>10</v>
      </c>
      <c r="F509" s="121">
        <v>41588</v>
      </c>
      <c r="G509" s="5" t="s">
        <v>1134</v>
      </c>
      <c r="H509" s="5" t="s">
        <v>1135</v>
      </c>
      <c r="I509" s="117" t="e">
        <v>#N/A</v>
      </c>
      <c r="J509" t="str">
        <f>VLOOKUP(C509,FORMGOOGLE,7,FALSE)</f>
        <v>https://drive.google.com/open?id=1FhWJy2sxBunzCyAWQEWREA6v6ALf73JP</v>
      </c>
    </row>
    <row r="510" spans="1:10" ht="15.75" thickBot="1" x14ac:dyDescent="0.3">
      <c r="A510" s="5" t="s">
        <v>214</v>
      </c>
      <c r="B510" s="119" t="s">
        <v>246</v>
      </c>
      <c r="C510" s="5" t="s">
        <v>247</v>
      </c>
      <c r="D510" s="5" t="s">
        <v>66</v>
      </c>
      <c r="E510" s="5" t="s">
        <v>10</v>
      </c>
      <c r="F510" s="121">
        <v>42217</v>
      </c>
      <c r="G510" s="5" t="s">
        <v>248</v>
      </c>
      <c r="H510" s="5" t="s">
        <v>249</v>
      </c>
      <c r="I510" s="114" t="s">
        <v>250</v>
      </c>
      <c r="J510" t="str">
        <f>VLOOKUP(C510,FORMGOOGLE,7,FALSE)</f>
        <v>https://drive.google.com/open?id=12S2kwR_D4ywJtsZGWeVh4sFmp_StkTPu</v>
      </c>
    </row>
    <row r="511" spans="1:10" ht="15.75" thickBot="1" x14ac:dyDescent="0.3">
      <c r="A511" s="5" t="s">
        <v>214</v>
      </c>
      <c r="B511" s="119" t="s">
        <v>3133</v>
      </c>
      <c r="C511" s="5" t="s">
        <v>1143</v>
      </c>
      <c r="D511" s="5" t="s">
        <v>66</v>
      </c>
      <c r="E511" s="5" t="s">
        <v>59</v>
      </c>
      <c r="F511" s="121">
        <v>42334</v>
      </c>
      <c r="G511" s="5" t="s">
        <v>1144</v>
      </c>
      <c r="H511" s="5" t="s">
        <v>1145</v>
      </c>
      <c r="I511" s="117" t="e">
        <v>#N/A</v>
      </c>
      <c r="J511" t="str">
        <f>VLOOKUP(C511,FORMGOOGLE,7,FALSE)</f>
        <v>https://drive.google.com/open?id=16ATLLsdFV7EGPJqNlMV2ejRLfBkT65_D</v>
      </c>
    </row>
    <row r="512" spans="1:10" ht="15.75" thickBot="1" x14ac:dyDescent="0.3">
      <c r="A512" s="5" t="s">
        <v>214</v>
      </c>
      <c r="B512" s="118" t="s">
        <v>3140</v>
      </c>
      <c r="C512" s="5" t="s">
        <v>1428</v>
      </c>
      <c r="D512" s="5" t="s">
        <v>2</v>
      </c>
      <c r="E512" s="5" t="s">
        <v>59</v>
      </c>
      <c r="F512" s="121">
        <v>42531</v>
      </c>
      <c r="G512" s="5" t="s">
        <v>1429</v>
      </c>
      <c r="H512" s="5" t="s">
        <v>1430</v>
      </c>
      <c r="I512" s="117" t="e">
        <v>#N/A</v>
      </c>
      <c r="J512" t="str">
        <f>VLOOKUP(C512,FORMGOOGLE,7,FALSE)</f>
        <v>https://drive.google.com/open?id=100He4QTc7DOJHz-wdWkwQrJ95Bgb5X6F</v>
      </c>
    </row>
    <row r="513" spans="1:10" ht="15.75" thickBot="1" x14ac:dyDescent="0.3">
      <c r="A513" s="5" t="s">
        <v>214</v>
      </c>
      <c r="B513" s="118" t="s">
        <v>3127</v>
      </c>
      <c r="C513" s="5" t="s">
        <v>1118</v>
      </c>
      <c r="D513" s="5" t="s">
        <v>66</v>
      </c>
      <c r="E513" s="5" t="s">
        <v>59</v>
      </c>
      <c r="F513" s="121">
        <v>42628</v>
      </c>
      <c r="G513" s="5" t="s">
        <v>1119</v>
      </c>
      <c r="H513" s="5" t="s">
        <v>1120</v>
      </c>
      <c r="I513" s="117" t="e">
        <v>#N/A</v>
      </c>
      <c r="J513" t="str">
        <f>VLOOKUP(C513,FORMGOOGLE,7,FALSE)</f>
        <v>https://drive.google.com/open?id=1pOsKMAA76XvfpEVBXDNLQ8i4PUMEGwjQ</v>
      </c>
    </row>
    <row r="514" spans="1:10" ht="15.75" thickBot="1" x14ac:dyDescent="0.3">
      <c r="A514" s="5" t="s">
        <v>214</v>
      </c>
      <c r="B514" s="119" t="s">
        <v>3131</v>
      </c>
      <c r="C514" s="5" t="s">
        <v>1138</v>
      </c>
      <c r="D514" s="5" t="s">
        <v>66</v>
      </c>
      <c r="E514" s="5" t="s">
        <v>59</v>
      </c>
      <c r="F514" s="121">
        <v>42629</v>
      </c>
      <c r="G514" s="5" t="s">
        <v>1139</v>
      </c>
      <c r="H514" s="5" t="s">
        <v>1140</v>
      </c>
      <c r="I514" s="117" t="e">
        <v>#N/A</v>
      </c>
      <c r="J514" t="str">
        <f>VLOOKUP(C514,FORMGOOGLE,7,FALSE)</f>
        <v>https://drive.google.com/open?id=1cHoPZvGcYBL4SuoKcoGMiXDGZ-46Thgo</v>
      </c>
    </row>
    <row r="515" spans="1:10" ht="15.75" thickBot="1" x14ac:dyDescent="0.3">
      <c r="A515" s="5" t="s">
        <v>214</v>
      </c>
      <c r="B515" s="119" t="s">
        <v>4935</v>
      </c>
      <c r="C515" s="5" t="s">
        <v>4936</v>
      </c>
      <c r="D515" s="5" t="s">
        <v>66</v>
      </c>
      <c r="E515" s="5" t="s">
        <v>10</v>
      </c>
      <c r="F515" s="121">
        <v>42578</v>
      </c>
      <c r="G515" s="5" t="s">
        <v>4937</v>
      </c>
      <c r="H515" s="5" t="s">
        <v>4938</v>
      </c>
      <c r="I515" s="114" t="s">
        <v>4939</v>
      </c>
      <c r="J515" t="str">
        <f>VLOOKUP(C515,FORMGOOGLE,7,FALSE)</f>
        <v>https://drive.google.com/open?id=1qUf_kXsuqrzdaUy-rPLErbDiP1ev_Ita</v>
      </c>
    </row>
    <row r="516" spans="1:10" ht="15.75" thickBot="1" x14ac:dyDescent="0.3">
      <c r="A516" s="5" t="s">
        <v>214</v>
      </c>
      <c r="B516" s="119" t="s">
        <v>209</v>
      </c>
      <c r="C516" s="5" t="s">
        <v>210</v>
      </c>
      <c r="D516" s="5" t="s">
        <v>2</v>
      </c>
      <c r="E516" s="5" t="s">
        <v>10</v>
      </c>
      <c r="F516" s="121">
        <v>42114</v>
      </c>
      <c r="G516" s="5" t="s">
        <v>211</v>
      </c>
      <c r="H516" s="5" t="s">
        <v>212</v>
      </c>
      <c r="I516" s="114" t="s">
        <v>213</v>
      </c>
      <c r="J516" t="str">
        <f>VLOOKUP(C516,FORMGOOGLE,7,FALSE)</f>
        <v>https://drive.google.com/open?id=1EursjyoKVsOOdaX7_nmRhOD_sLJ_Xqpf</v>
      </c>
    </row>
    <row r="517" spans="1:10" ht="15.75" thickBot="1" x14ac:dyDescent="0.3">
      <c r="A517" s="5" t="s">
        <v>4794</v>
      </c>
      <c r="B517" s="118" t="s">
        <v>4789</v>
      </c>
      <c r="C517" s="5" t="s">
        <v>4790</v>
      </c>
      <c r="D517" s="5" t="s">
        <v>66</v>
      </c>
      <c r="E517" s="5" t="s">
        <v>28</v>
      </c>
      <c r="F517" s="121">
        <v>42017</v>
      </c>
      <c r="G517" s="5" t="s">
        <v>4791</v>
      </c>
      <c r="H517" s="5" t="s">
        <v>4792</v>
      </c>
      <c r="I517" s="114" t="s">
        <v>4793</v>
      </c>
      <c r="J517" t="str">
        <f>VLOOKUP(C517,FORMGOOGLE,7,FALSE)</f>
        <v>https://drive.google.com/open?id=160kbABLTtfRr2CGJxO0ItBf016lEWYEr</v>
      </c>
    </row>
    <row r="518" spans="1:10" ht="15.75" thickBot="1" x14ac:dyDescent="0.3">
      <c r="A518" s="5" t="s">
        <v>4794</v>
      </c>
      <c r="B518" s="119" t="s">
        <v>4897</v>
      </c>
      <c r="C518" s="5" t="s">
        <v>4898</v>
      </c>
      <c r="D518" s="5" t="s">
        <v>2</v>
      </c>
      <c r="E518" s="5" t="s">
        <v>28</v>
      </c>
      <c r="F518" s="121">
        <v>42285</v>
      </c>
      <c r="G518" s="5" t="s">
        <v>4899</v>
      </c>
      <c r="H518" s="5" t="s">
        <v>4900</v>
      </c>
      <c r="I518" s="114" t="s">
        <v>4901</v>
      </c>
      <c r="J518" t="str">
        <f>VLOOKUP(C518,FORMGOOGLE,7,FALSE)</f>
        <v>https://drive.google.com/open?id=1RHJM-eXHIb33kqNkSethHJpm1sq7ca02</v>
      </c>
    </row>
    <row r="519" spans="1:10" ht="15.75" thickBot="1" x14ac:dyDescent="0.3">
      <c r="A519" s="5" t="s">
        <v>5241</v>
      </c>
      <c r="B519" s="119" t="s">
        <v>5236</v>
      </c>
      <c r="C519" s="5" t="s">
        <v>5237</v>
      </c>
      <c r="D519" s="5" t="s">
        <v>2</v>
      </c>
      <c r="E519" s="5" t="s">
        <v>10</v>
      </c>
      <c r="F519" s="121">
        <v>41699</v>
      </c>
      <c r="G519" s="5" t="s">
        <v>5238</v>
      </c>
      <c r="H519" s="5" t="s">
        <v>5239</v>
      </c>
      <c r="I519" s="114" t="s">
        <v>5240</v>
      </c>
      <c r="J519" t="str">
        <f>VLOOKUP(C519,FORMGOOGLE,7,FALSE)</f>
        <v>https://drive.google.com/open?id=1ML7HSAbQ3hrYjZnvr3qHBEknRU9Y8eDh</v>
      </c>
    </row>
    <row r="520" spans="1:10" ht="15.75" thickBot="1" x14ac:dyDescent="0.3">
      <c r="A520" s="5" t="s">
        <v>63</v>
      </c>
      <c r="B520" s="118" t="s">
        <v>64</v>
      </c>
      <c r="C520" s="5" t="s">
        <v>65</v>
      </c>
      <c r="D520" s="5" t="s">
        <v>66</v>
      </c>
      <c r="E520" s="5" t="s">
        <v>10</v>
      </c>
      <c r="F520" s="121">
        <v>41787</v>
      </c>
      <c r="G520" s="5" t="s">
        <v>67</v>
      </c>
      <c r="H520" s="5" t="s">
        <v>68</v>
      </c>
      <c r="I520" s="114" t="s">
        <v>69</v>
      </c>
      <c r="J520" t="str">
        <f>VLOOKUP(C520,FORMGOOGLE,7,FALSE)</f>
        <v>https://drive.google.com/open?id=1w25YpuRXIefDgcDRiGW1VWfusl3lFqcR</v>
      </c>
    </row>
    <row r="521" spans="1:10" ht="15.75" thickBot="1" x14ac:dyDescent="0.3">
      <c r="A521" s="5" t="s">
        <v>63</v>
      </c>
      <c r="B521" s="118" t="s">
        <v>85</v>
      </c>
      <c r="C521" s="5" t="s">
        <v>86</v>
      </c>
      <c r="D521" s="5" t="s">
        <v>66</v>
      </c>
      <c r="E521" s="5" t="s">
        <v>87</v>
      </c>
      <c r="F521" s="121">
        <v>41091</v>
      </c>
      <c r="G521" s="5" t="s">
        <v>88</v>
      </c>
      <c r="H521" s="5" t="s">
        <v>89</v>
      </c>
      <c r="I521" s="114" t="s">
        <v>90</v>
      </c>
      <c r="J521" t="str">
        <f>VLOOKUP(C521,FORMGOOGLE,7,FALSE)</f>
        <v>https://drive.google.com/open?id=1mffKwhPgMn00z0NCbZVvkfQisa6l1xnB</v>
      </c>
    </row>
    <row r="522" spans="1:10" ht="15.75" thickBot="1" x14ac:dyDescent="0.3">
      <c r="A522" s="5" t="s">
        <v>63</v>
      </c>
      <c r="B522" s="119" t="s">
        <v>57</v>
      </c>
      <c r="C522" s="5" t="s">
        <v>58</v>
      </c>
      <c r="D522" s="5" t="s">
        <v>2</v>
      </c>
      <c r="E522" s="5" t="s">
        <v>59</v>
      </c>
      <c r="F522" s="121">
        <v>41853</v>
      </c>
      <c r="G522" s="5" t="s">
        <v>60</v>
      </c>
      <c r="H522" s="5" t="s">
        <v>61</v>
      </c>
      <c r="I522" s="114" t="s">
        <v>62</v>
      </c>
      <c r="J522" t="str">
        <f>VLOOKUP(C522,FORMGOOGLE,7,FALSE)</f>
        <v>https://drive.google.com/open?id=1kV7426-pZepQwruh-h4gakwsSJ1VIWc1</v>
      </c>
    </row>
    <row r="523" spans="1:10" ht="15.75" thickBot="1" x14ac:dyDescent="0.3">
      <c r="A523" s="5" t="s">
        <v>63</v>
      </c>
      <c r="B523" s="119" t="s">
        <v>70</v>
      </c>
      <c r="C523" s="5" t="s">
        <v>71</v>
      </c>
      <c r="D523" s="5" t="s">
        <v>66</v>
      </c>
      <c r="E523" s="5" t="s">
        <v>59</v>
      </c>
      <c r="F523" s="121">
        <v>42271</v>
      </c>
      <c r="G523" s="5" t="s">
        <v>72</v>
      </c>
      <c r="H523" s="5" t="s">
        <v>73</v>
      </c>
      <c r="I523" s="114" t="s">
        <v>74</v>
      </c>
      <c r="J523" t="str">
        <f>VLOOKUP(C523,FORMGOOGLE,7,FALSE)</f>
        <v>https://drive.google.com/open?id=1jOANmbzmyYjUM6tdjRiWi4fMqMz5vD3g</v>
      </c>
    </row>
    <row r="524" spans="1:10" ht="15.75" thickBot="1" x14ac:dyDescent="0.3">
      <c r="A524" s="5" t="s">
        <v>63</v>
      </c>
      <c r="B524" s="119" t="s">
        <v>80</v>
      </c>
      <c r="C524" s="5" t="s">
        <v>81</v>
      </c>
      <c r="D524" s="5" t="s">
        <v>2</v>
      </c>
      <c r="E524" s="5" t="s">
        <v>10</v>
      </c>
      <c r="F524" s="121">
        <v>40717</v>
      </c>
      <c r="G524" s="5" t="s">
        <v>82</v>
      </c>
      <c r="H524" s="5" t="s">
        <v>83</v>
      </c>
      <c r="I524" s="114" t="s">
        <v>84</v>
      </c>
      <c r="J524" t="str">
        <f>VLOOKUP(C524,FORMGOOGLE,7,FALSE)</f>
        <v>https://drive.google.com/open?id=131vEc_tb2CaI6NiXAmQlVeHz3MaJJZ8c</v>
      </c>
    </row>
    <row r="525" spans="1:10" ht="15.75" thickBot="1" x14ac:dyDescent="0.3">
      <c r="A525" s="5" t="s">
        <v>63</v>
      </c>
      <c r="B525" s="118" t="s">
        <v>75</v>
      </c>
      <c r="C525" s="5" t="s">
        <v>76</v>
      </c>
      <c r="D525" s="5" t="s">
        <v>66</v>
      </c>
      <c r="E525" s="5" t="s">
        <v>59</v>
      </c>
      <c r="F525" s="121">
        <v>42339</v>
      </c>
      <c r="G525" s="5" t="s">
        <v>77</v>
      </c>
      <c r="H525" s="5" t="s">
        <v>78</v>
      </c>
      <c r="I525" s="114" t="s">
        <v>79</v>
      </c>
      <c r="J525" t="str">
        <f>VLOOKUP(C525,FORMGOOGLE,7,FALSE)</f>
        <v>https://drive.google.com/open?id=1pRMvhhPakWHk3JmmvYk6b40bAoByDjzA</v>
      </c>
    </row>
    <row r="526" spans="1:10" ht="15.75" thickBot="1" x14ac:dyDescent="0.3">
      <c r="A526" s="5" t="s">
        <v>7</v>
      </c>
      <c r="B526" s="119" t="s">
        <v>4771</v>
      </c>
      <c r="C526" s="5" t="s">
        <v>4772</v>
      </c>
      <c r="D526" s="5" t="s">
        <v>2</v>
      </c>
      <c r="E526" s="5" t="s">
        <v>328</v>
      </c>
      <c r="F526" s="121">
        <v>40880</v>
      </c>
      <c r="G526" s="5" t="s">
        <v>4773</v>
      </c>
      <c r="H526" s="5" t="s">
        <v>4774</v>
      </c>
      <c r="I526" s="114" t="s">
        <v>4775</v>
      </c>
      <c r="J526" t="str">
        <f>VLOOKUP(C526,FORMGOOGLE,7,FALSE)</f>
        <v>https://drive.google.com/open?id=1zU90AhAXUlbwMzTc-ufszPOKwIQ7ypKH</v>
      </c>
    </row>
    <row r="527" spans="1:10" ht="15.75" thickBot="1" x14ac:dyDescent="0.3">
      <c r="A527" s="5" t="s">
        <v>7</v>
      </c>
      <c r="B527" s="119" t="s">
        <v>0</v>
      </c>
      <c r="C527" s="5" t="s">
        <v>1</v>
      </c>
      <c r="D527" s="5" t="s">
        <v>2</v>
      </c>
      <c r="E527" s="5" t="s">
        <v>3</v>
      </c>
      <c r="F527" s="121">
        <v>40885</v>
      </c>
      <c r="G527" s="5" t="s">
        <v>4</v>
      </c>
      <c r="H527" s="5" t="s">
        <v>5</v>
      </c>
      <c r="I527" s="114" t="s">
        <v>6</v>
      </c>
      <c r="J527" t="str">
        <f>VLOOKUP(C527,FORMGOOGLE,7,FALSE)</f>
        <v>https://drive.google.com/open?id=1mrEM8U6G0fnxB_WTM_uGprNxAl7eOq0e</v>
      </c>
    </row>
    <row r="528" spans="1:10" ht="15.75" thickBot="1" x14ac:dyDescent="0.3">
      <c r="A528" s="5" t="s">
        <v>7</v>
      </c>
      <c r="B528" s="118" t="s">
        <v>4778</v>
      </c>
      <c r="C528" s="5" t="s">
        <v>4779</v>
      </c>
      <c r="D528" s="5" t="s">
        <v>2</v>
      </c>
      <c r="E528" s="5" t="s">
        <v>4780</v>
      </c>
      <c r="F528" s="121">
        <v>40789</v>
      </c>
      <c r="G528" s="5" t="s">
        <v>4781</v>
      </c>
      <c r="H528" s="5" t="s">
        <v>4782</v>
      </c>
      <c r="I528" s="114" t="s">
        <v>4783</v>
      </c>
      <c r="J528" t="str">
        <f>VLOOKUP(C528,FORMGOOGLE,7,FALSE)</f>
        <v>https://drive.google.com/open?id=1M7NExzqLsOYp_EUh96yYMMZDEScrEN7P</v>
      </c>
    </row>
    <row r="529" spans="1:10" ht="15.75" thickBot="1" x14ac:dyDescent="0.3">
      <c r="A529" s="5" t="s">
        <v>1993</v>
      </c>
      <c r="B529" s="118" t="s">
        <v>1996</v>
      </c>
      <c r="C529" s="5" t="s">
        <v>1228</v>
      </c>
      <c r="D529" s="5" t="s">
        <v>66</v>
      </c>
      <c r="E529" s="5" t="s">
        <v>10</v>
      </c>
      <c r="F529" s="121">
        <v>45937</v>
      </c>
      <c r="G529" s="5" t="s">
        <v>1987</v>
      </c>
      <c r="H529" s="5" t="s">
        <v>1988</v>
      </c>
      <c r="I529" s="114" t="s">
        <v>3167</v>
      </c>
      <c r="J529" t="str">
        <f>VLOOKUP(C529,FORMGOOGLE,7,FALSE)</f>
        <v>https://drive.google.com/open?id=1UZqqiEZ4zNrqJWYpeQYNd6yqqlUHfQLh</v>
      </c>
    </row>
    <row r="530" spans="1:10" ht="15.75" thickBot="1" x14ac:dyDescent="0.3">
      <c r="A530" s="5" t="s">
        <v>5185</v>
      </c>
      <c r="B530" s="118" t="s">
        <v>5180</v>
      </c>
      <c r="C530" s="5" t="s">
        <v>5181</v>
      </c>
      <c r="D530" s="5" t="s">
        <v>2</v>
      </c>
      <c r="E530" s="5" t="s">
        <v>59</v>
      </c>
      <c r="F530" s="121">
        <v>42203</v>
      </c>
      <c r="G530" s="5" t="s">
        <v>5182</v>
      </c>
      <c r="H530" s="5" t="s">
        <v>5183</v>
      </c>
      <c r="I530" s="114" t="s">
        <v>5184</v>
      </c>
      <c r="J530" t="str">
        <f>VLOOKUP(C530,FORMGOOGLE,7,FALSE)</f>
        <v>https://drive.google.com/open?id=1l_rWZ5Yj6Y2VkF4f4oFFSFKl3JpUISfX</v>
      </c>
    </row>
    <row r="531" spans="1:10" ht="15.75" thickBot="1" x14ac:dyDescent="0.3">
      <c r="A531" s="5" t="s">
        <v>4596</v>
      </c>
      <c r="B531" s="119" t="s">
        <v>4591</v>
      </c>
      <c r="C531" s="5" t="s">
        <v>4592</v>
      </c>
      <c r="D531" s="5" t="s">
        <v>2</v>
      </c>
      <c r="E531" s="5" t="s">
        <v>28</v>
      </c>
      <c r="F531" s="121">
        <v>41680</v>
      </c>
      <c r="G531" s="5" t="s">
        <v>4593</v>
      </c>
      <c r="H531" s="5" t="s">
        <v>4594</v>
      </c>
      <c r="I531" s="114" t="s">
        <v>4595</v>
      </c>
      <c r="J531" t="str">
        <f>VLOOKUP(C531,FORMGOOGLE,7,FALSE)</f>
        <v>https://drive.google.com/open?id=1pw2Lj5vlUCSdaKrMqQg86DCGLJw--yGQ</v>
      </c>
    </row>
    <row r="532" spans="1:10" ht="15.75" thickBot="1" x14ac:dyDescent="0.3">
      <c r="A532" s="5" t="s">
        <v>4582</v>
      </c>
      <c r="B532" s="118" t="s">
        <v>4626</v>
      </c>
      <c r="C532" s="5" t="s">
        <v>4627</v>
      </c>
      <c r="D532" s="5" t="s">
        <v>66</v>
      </c>
      <c r="E532" s="5" t="s">
        <v>10</v>
      </c>
      <c r="F532" s="121">
        <v>41629</v>
      </c>
      <c r="G532" s="5" t="s">
        <v>4628</v>
      </c>
      <c r="H532" s="5" t="s">
        <v>4629</v>
      </c>
      <c r="I532" s="114" t="s">
        <v>4630</v>
      </c>
      <c r="J532" t="str">
        <f>VLOOKUP(C532,FORMGOOGLE,7,FALSE)</f>
        <v>https://drive.google.com/open?id=1cgNdBmBCEA7eOdT1KKI_-0qlGXelvq2a</v>
      </c>
    </row>
    <row r="533" spans="1:10" ht="15.75" thickBot="1" x14ac:dyDescent="0.3">
      <c r="A533" s="5" t="s">
        <v>4582</v>
      </c>
      <c r="B533" s="119" t="s">
        <v>4651</v>
      </c>
      <c r="C533" s="5" t="s">
        <v>4652</v>
      </c>
      <c r="D533" s="5" t="s">
        <v>2</v>
      </c>
      <c r="E533" s="5" t="s">
        <v>10</v>
      </c>
      <c r="F533" s="121">
        <v>41698</v>
      </c>
      <c r="G533" s="5" t="s">
        <v>4653</v>
      </c>
      <c r="H533" s="5" t="s">
        <v>4654</v>
      </c>
      <c r="I533" s="114" t="s">
        <v>4655</v>
      </c>
      <c r="J533" t="str">
        <f>VLOOKUP(C533,FORMGOOGLE,7,FALSE)</f>
        <v>https://drive.google.com/open?id=1Hg9bcDp18NpZSoBl5KScL2DyiMYmjCwm</v>
      </c>
    </row>
    <row r="534" spans="1:10" ht="15.75" thickBot="1" x14ac:dyDescent="0.3">
      <c r="A534" s="5" t="s">
        <v>4582</v>
      </c>
      <c r="B534" s="118" t="s">
        <v>4576</v>
      </c>
      <c r="C534" s="5" t="s">
        <v>4577</v>
      </c>
      <c r="D534" s="5" t="s">
        <v>66</v>
      </c>
      <c r="E534" s="5" t="s">
        <v>4578</v>
      </c>
      <c r="F534" s="121">
        <v>41768</v>
      </c>
      <c r="G534" s="5" t="s">
        <v>4579</v>
      </c>
      <c r="H534" s="5" t="s">
        <v>4580</v>
      </c>
      <c r="I534" s="114" t="s">
        <v>4581</v>
      </c>
      <c r="J534" t="str">
        <f>VLOOKUP(C534,FORMGOOGLE,7,FALSE)</f>
        <v>https://drive.google.com/open?id=1G_He5OSHynRQP8Wm0C2ImyStugSQSFgH</v>
      </c>
    </row>
    <row r="535" spans="1:10" ht="15.75" thickBot="1" x14ac:dyDescent="0.3">
      <c r="A535" s="5" t="s">
        <v>208</v>
      </c>
      <c r="B535" s="118" t="s">
        <v>202</v>
      </c>
      <c r="C535" s="5" t="s">
        <v>203</v>
      </c>
      <c r="D535" s="5" t="s">
        <v>2</v>
      </c>
      <c r="E535" s="5" t="s">
        <v>204</v>
      </c>
      <c r="F535" s="121">
        <v>41794</v>
      </c>
      <c r="G535" s="5" t="s">
        <v>205</v>
      </c>
      <c r="H535" s="5" t="s">
        <v>206</v>
      </c>
      <c r="I535" s="114" t="s">
        <v>207</v>
      </c>
      <c r="J535" t="str">
        <f>VLOOKUP(C535,FORMGOOGLE,7,FALSE)</f>
        <v>https://drive.google.com/open?id=19tCLQWzxYlOb3-WPS90V1hNJ0Hq1rBlO</v>
      </c>
    </row>
    <row r="536" spans="1:10" ht="15.75" thickBot="1" x14ac:dyDescent="0.3">
      <c r="A536" s="5" t="s">
        <v>208</v>
      </c>
      <c r="B536" s="119" t="s">
        <v>4926</v>
      </c>
      <c r="C536" s="5" t="s">
        <v>4927</v>
      </c>
      <c r="D536" s="5" t="s">
        <v>66</v>
      </c>
      <c r="E536" s="5" t="s">
        <v>28</v>
      </c>
      <c r="F536" s="121">
        <v>41740</v>
      </c>
      <c r="G536" s="5" t="s">
        <v>4928</v>
      </c>
      <c r="H536" s="5" t="s">
        <v>200</v>
      </c>
      <c r="I536" s="114" t="s">
        <v>4929</v>
      </c>
      <c r="J536" t="str">
        <f>VLOOKUP(C536,FORMGOOGLE,7,FALSE)</f>
        <v>https://drive.google.com/open?id=1YPBZMVfLAV8_9Dg1jw2eFngrxNxLSFh7</v>
      </c>
    </row>
    <row r="537" spans="1:10" ht="15.75" thickBot="1" x14ac:dyDescent="0.3">
      <c r="A537" s="5" t="s">
        <v>4755</v>
      </c>
      <c r="B537" s="119" t="s">
        <v>4750</v>
      </c>
      <c r="C537" s="5" t="s">
        <v>4751</v>
      </c>
      <c r="D537" s="5" t="s">
        <v>2</v>
      </c>
      <c r="E537" s="5" t="s">
        <v>28</v>
      </c>
      <c r="F537" s="121">
        <v>41594</v>
      </c>
      <c r="G537" s="5" t="s">
        <v>4752</v>
      </c>
      <c r="H537" s="5" t="s">
        <v>4753</v>
      </c>
      <c r="I537" s="114" t="s">
        <v>4754</v>
      </c>
      <c r="J537" t="str">
        <f>VLOOKUP(C537,FORMGOOGLE,7,FALSE)</f>
        <v>https://drive.google.com/open?id=195WNv920caN458qBmae1LIX6JKKn7cOS</v>
      </c>
    </row>
    <row r="539" spans="1:10" x14ac:dyDescent="0.25">
      <c r="H539" s="4" t="s">
        <v>5252</v>
      </c>
    </row>
    <row r="540" spans="1:10" x14ac:dyDescent="0.25">
      <c r="H540" s="4" t="s">
        <v>390</v>
      </c>
    </row>
  </sheetData>
  <sortState xmlns:xlrd2="http://schemas.microsoft.com/office/spreadsheetml/2017/richdata2" ref="A2:I537">
    <sortCondition ref="A2:A537"/>
    <sortCondition ref="C2:C537"/>
  </sortState>
  <conditionalFormatting sqref="B1:B1048576">
    <cfRule type="duplicateValues" dxfId="6" priority="1"/>
  </conditionalFormatting>
  <conditionalFormatting sqref="C1:C1048576">
    <cfRule type="duplicateValues" dxfId="5" priority="2"/>
  </conditionalFormatting>
  <hyperlinks>
    <hyperlink ref="I54" r:id="rId1" xr:uid="{5A81BC51-0008-494E-9CBD-C82041BAE511}"/>
    <hyperlink ref="I170" r:id="rId2" xr:uid="{B03DBFB2-571A-4B49-B24B-ED0BCA53A85B}"/>
    <hyperlink ref="I337" r:id="rId3" xr:uid="{54518CA7-02F5-4A34-8D61-71504A36385F}"/>
  </hyperlinks>
  <printOptions horizontalCentered="1"/>
  <pageMargins left="0" right="0" top="0.39370078740157483" bottom="0.39370078740157483" header="0" footer="0"/>
  <pageSetup paperSize="20000" scale="90" orientation="landscape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5335-59C5-4F73-BE42-61B9333F9892}">
  <dimension ref="A1:M805"/>
  <sheetViews>
    <sheetView workbookViewId="0">
      <selection activeCell="D1" sqref="A1:M805"/>
    </sheetView>
  </sheetViews>
  <sheetFormatPr defaultRowHeight="15" x14ac:dyDescent="0.25"/>
  <sheetData>
    <row r="1" spans="1:13" ht="15.75" thickBot="1" x14ac:dyDescent="0.3">
      <c r="A1" s="23">
        <v>45967.63175925926</v>
      </c>
      <c r="B1" s="24" t="s">
        <v>905</v>
      </c>
      <c r="C1" s="24" t="s">
        <v>7</v>
      </c>
      <c r="D1" s="24" t="s">
        <v>1</v>
      </c>
      <c r="E1" s="24" t="s">
        <v>3</v>
      </c>
      <c r="F1" s="25">
        <v>40885</v>
      </c>
      <c r="G1" s="24" t="s">
        <v>4</v>
      </c>
      <c r="H1" s="24" t="s">
        <v>5</v>
      </c>
      <c r="I1" s="24" t="s">
        <v>2</v>
      </c>
      <c r="J1" s="26" t="s">
        <v>906</v>
      </c>
      <c r="K1" s="24" t="s">
        <v>907</v>
      </c>
      <c r="L1" s="24" t="s">
        <v>0</v>
      </c>
      <c r="M1" s="27"/>
    </row>
    <row r="2" spans="1:13" ht="15.75" thickBot="1" x14ac:dyDescent="0.3">
      <c r="A2" s="28">
        <v>45968.450312499997</v>
      </c>
      <c r="B2" s="29" t="s">
        <v>10</v>
      </c>
      <c r="C2" s="29" t="s">
        <v>14</v>
      </c>
      <c r="D2" s="29" t="s">
        <v>9</v>
      </c>
      <c r="E2" s="29" t="s">
        <v>10</v>
      </c>
      <c r="F2" s="30">
        <v>42501</v>
      </c>
      <c r="G2" s="29" t="s">
        <v>11</v>
      </c>
      <c r="H2" s="29" t="s">
        <v>12</v>
      </c>
      <c r="I2" s="29" t="s">
        <v>2</v>
      </c>
      <c r="J2" s="31" t="s">
        <v>908</v>
      </c>
      <c r="K2" s="29" t="s">
        <v>909</v>
      </c>
      <c r="L2" s="29" t="s">
        <v>8</v>
      </c>
      <c r="M2" s="32" t="s">
        <v>910</v>
      </c>
    </row>
    <row r="3" spans="1:13" ht="15.75" thickBot="1" x14ac:dyDescent="0.3">
      <c r="A3" s="33">
        <v>45968.494699074072</v>
      </c>
      <c r="B3" s="34" t="s">
        <v>10</v>
      </c>
      <c r="C3" s="34" t="s">
        <v>14</v>
      </c>
      <c r="D3" s="34" t="s">
        <v>16</v>
      </c>
      <c r="E3" s="34" t="s">
        <v>10</v>
      </c>
      <c r="F3" s="35">
        <v>41776</v>
      </c>
      <c r="G3" s="34" t="s">
        <v>17</v>
      </c>
      <c r="H3" s="34" t="s">
        <v>18</v>
      </c>
      <c r="I3" s="34" t="s">
        <v>2</v>
      </c>
      <c r="J3" s="36" t="s">
        <v>911</v>
      </c>
      <c r="K3" s="34" t="s">
        <v>912</v>
      </c>
      <c r="L3" s="34" t="s">
        <v>15</v>
      </c>
      <c r="M3" s="37" t="s">
        <v>913</v>
      </c>
    </row>
    <row r="4" spans="1:13" ht="15.75" thickBot="1" x14ac:dyDescent="0.3">
      <c r="A4" s="28">
        <v>45969.375497685185</v>
      </c>
      <c r="B4" s="29" t="s">
        <v>10</v>
      </c>
      <c r="C4" s="29" t="s">
        <v>25</v>
      </c>
      <c r="D4" s="29" t="s">
        <v>21</v>
      </c>
      <c r="E4" s="29" t="s">
        <v>10</v>
      </c>
      <c r="F4" s="30">
        <v>42488</v>
      </c>
      <c r="G4" s="29" t="s">
        <v>22</v>
      </c>
      <c r="H4" s="29" t="s">
        <v>23</v>
      </c>
      <c r="I4" s="29" t="s">
        <v>2</v>
      </c>
      <c r="J4" s="31" t="s">
        <v>914</v>
      </c>
      <c r="K4" s="29" t="s">
        <v>915</v>
      </c>
      <c r="L4" s="29" t="s">
        <v>20</v>
      </c>
      <c r="M4" s="32" t="s">
        <v>916</v>
      </c>
    </row>
    <row r="5" spans="1:13" ht="15.75" thickBot="1" x14ac:dyDescent="0.3">
      <c r="A5" s="33">
        <v>45969.700949074075</v>
      </c>
      <c r="B5" s="34" t="s">
        <v>10</v>
      </c>
      <c r="C5" s="34" t="s">
        <v>25</v>
      </c>
      <c r="D5" s="34" t="s">
        <v>27</v>
      </c>
      <c r="E5" s="34" t="s">
        <v>28</v>
      </c>
      <c r="F5" s="35">
        <v>42037</v>
      </c>
      <c r="G5" s="34" t="s">
        <v>29</v>
      </c>
      <c r="H5" s="34" t="s">
        <v>30</v>
      </c>
      <c r="I5" s="34" t="s">
        <v>2</v>
      </c>
      <c r="J5" s="36" t="s">
        <v>917</v>
      </c>
      <c r="K5" s="34" t="s">
        <v>918</v>
      </c>
      <c r="L5" s="34" t="s">
        <v>26</v>
      </c>
      <c r="M5" s="37" t="s">
        <v>919</v>
      </c>
    </row>
    <row r="6" spans="1:13" ht="15.75" thickBot="1" x14ac:dyDescent="0.3">
      <c r="A6" s="28">
        <v>45969.707337962966</v>
      </c>
      <c r="B6" s="29" t="s">
        <v>10</v>
      </c>
      <c r="C6" s="29" t="s">
        <v>25</v>
      </c>
      <c r="D6" s="29" t="s">
        <v>33</v>
      </c>
      <c r="E6" s="29" t="s">
        <v>10</v>
      </c>
      <c r="F6" s="30">
        <v>42841</v>
      </c>
      <c r="G6" s="29" t="s">
        <v>34</v>
      </c>
      <c r="H6" s="29" t="s">
        <v>35</v>
      </c>
      <c r="I6" s="29" t="s">
        <v>2</v>
      </c>
      <c r="J6" s="31" t="s">
        <v>920</v>
      </c>
      <c r="K6" s="29" t="s">
        <v>921</v>
      </c>
      <c r="L6" s="29" t="s">
        <v>32</v>
      </c>
      <c r="M6" s="32" t="s">
        <v>922</v>
      </c>
    </row>
    <row r="7" spans="1:13" ht="15.75" thickBot="1" x14ac:dyDescent="0.3">
      <c r="A7" s="33">
        <v>45969.710358796299</v>
      </c>
      <c r="B7" s="34" t="s">
        <v>10</v>
      </c>
      <c r="C7" s="34" t="s">
        <v>25</v>
      </c>
      <c r="D7" s="34" t="s">
        <v>38</v>
      </c>
      <c r="E7" s="34" t="s">
        <v>10</v>
      </c>
      <c r="F7" s="35">
        <v>42307</v>
      </c>
      <c r="G7" s="34" t="s">
        <v>39</v>
      </c>
      <c r="H7" s="34" t="s">
        <v>40</v>
      </c>
      <c r="I7" s="34" t="s">
        <v>2</v>
      </c>
      <c r="J7" s="36" t="s">
        <v>923</v>
      </c>
      <c r="K7" s="34" t="s">
        <v>924</v>
      </c>
      <c r="L7" s="34" t="s">
        <v>37</v>
      </c>
      <c r="M7" s="37" t="s">
        <v>925</v>
      </c>
    </row>
    <row r="8" spans="1:13" ht="15.75" thickBot="1" x14ac:dyDescent="0.3">
      <c r="A8" s="28">
        <v>45969.712534722225</v>
      </c>
      <c r="B8" s="29" t="s">
        <v>10</v>
      </c>
      <c r="C8" s="29" t="s">
        <v>25</v>
      </c>
      <c r="D8" s="29" t="s">
        <v>43</v>
      </c>
      <c r="E8" s="29" t="s">
        <v>10</v>
      </c>
      <c r="F8" s="30">
        <v>42577</v>
      </c>
      <c r="G8" s="29" t="s">
        <v>44</v>
      </c>
      <c r="H8" s="29" t="s">
        <v>45</v>
      </c>
      <c r="I8" s="29" t="s">
        <v>2</v>
      </c>
      <c r="J8" s="31" t="s">
        <v>926</v>
      </c>
      <c r="K8" s="29" t="s">
        <v>927</v>
      </c>
      <c r="L8" s="29" t="s">
        <v>42</v>
      </c>
      <c r="M8" s="32" t="s">
        <v>928</v>
      </c>
    </row>
    <row r="9" spans="1:13" ht="15.75" thickBot="1" x14ac:dyDescent="0.3">
      <c r="A9" s="33">
        <v>45969.713819444441</v>
      </c>
      <c r="B9" s="34" t="s">
        <v>10</v>
      </c>
      <c r="C9" s="34" t="s">
        <v>25</v>
      </c>
      <c r="D9" s="34" t="s">
        <v>48</v>
      </c>
      <c r="E9" s="34" t="s">
        <v>10</v>
      </c>
      <c r="F9" s="35">
        <v>41482</v>
      </c>
      <c r="G9" s="34" t="s">
        <v>49</v>
      </c>
      <c r="H9" s="34" t="s">
        <v>50</v>
      </c>
      <c r="I9" s="34" t="s">
        <v>2</v>
      </c>
      <c r="J9" s="36" t="s">
        <v>929</v>
      </c>
      <c r="K9" s="34" t="s">
        <v>930</v>
      </c>
      <c r="L9" s="34" t="s">
        <v>47</v>
      </c>
      <c r="M9" s="37" t="s">
        <v>931</v>
      </c>
    </row>
    <row r="10" spans="1:13" ht="15.75" thickBot="1" x14ac:dyDescent="0.3">
      <c r="A10" s="28">
        <v>45969.722094907411</v>
      </c>
      <c r="B10" s="29" t="s">
        <v>10</v>
      </c>
      <c r="C10" s="29" t="s">
        <v>25</v>
      </c>
      <c r="D10" s="29" t="s">
        <v>53</v>
      </c>
      <c r="E10" s="29" t="s">
        <v>10</v>
      </c>
      <c r="F10" s="30">
        <v>42729</v>
      </c>
      <c r="G10" s="29" t="s">
        <v>54</v>
      </c>
      <c r="H10" s="29" t="s">
        <v>55</v>
      </c>
      <c r="I10" s="29" t="s">
        <v>2</v>
      </c>
      <c r="J10" s="31" t="s">
        <v>932</v>
      </c>
      <c r="K10" s="29" t="s">
        <v>933</v>
      </c>
      <c r="L10" s="29" t="s">
        <v>52</v>
      </c>
      <c r="M10" s="32" t="s">
        <v>934</v>
      </c>
    </row>
    <row r="11" spans="1:13" ht="15.75" thickBot="1" x14ac:dyDescent="0.3">
      <c r="A11" s="33">
        <v>45972.006180555552</v>
      </c>
      <c r="B11" s="34" t="s">
        <v>905</v>
      </c>
      <c r="C11" s="34" t="s">
        <v>63</v>
      </c>
      <c r="D11" s="34" t="s">
        <v>58</v>
      </c>
      <c r="E11" s="34" t="s">
        <v>59</v>
      </c>
      <c r="F11" s="35">
        <v>41853</v>
      </c>
      <c r="G11" s="34" t="s">
        <v>60</v>
      </c>
      <c r="H11" s="34" t="s">
        <v>61</v>
      </c>
      <c r="I11" s="34" t="s">
        <v>2</v>
      </c>
      <c r="J11" s="36" t="s">
        <v>935</v>
      </c>
      <c r="K11" s="34" t="s">
        <v>936</v>
      </c>
      <c r="L11" s="34" t="s">
        <v>57</v>
      </c>
      <c r="M11" s="37" t="s">
        <v>937</v>
      </c>
    </row>
    <row r="12" spans="1:13" ht="15.75" thickBot="1" x14ac:dyDescent="0.3">
      <c r="A12" s="28">
        <v>45972.035543981481</v>
      </c>
      <c r="B12" s="29" t="s">
        <v>905</v>
      </c>
      <c r="C12" s="29" t="s">
        <v>63</v>
      </c>
      <c r="D12" s="29" t="s">
        <v>65</v>
      </c>
      <c r="E12" s="29" t="s">
        <v>10</v>
      </c>
      <c r="F12" s="30">
        <v>41787</v>
      </c>
      <c r="G12" s="29" t="s">
        <v>67</v>
      </c>
      <c r="H12" s="29" t="s">
        <v>68</v>
      </c>
      <c r="I12" s="29" t="s">
        <v>66</v>
      </c>
      <c r="J12" s="31" t="s">
        <v>938</v>
      </c>
      <c r="K12" s="29" t="s">
        <v>939</v>
      </c>
      <c r="L12" s="29" t="s">
        <v>64</v>
      </c>
      <c r="M12" s="32" t="s">
        <v>940</v>
      </c>
    </row>
    <row r="13" spans="1:13" ht="15.75" thickBot="1" x14ac:dyDescent="0.3">
      <c r="A13" s="33">
        <v>45972.040833333333</v>
      </c>
      <c r="B13" s="34" t="s">
        <v>905</v>
      </c>
      <c r="C13" s="34" t="s">
        <v>63</v>
      </c>
      <c r="D13" s="34" t="s">
        <v>71</v>
      </c>
      <c r="E13" s="34" t="s">
        <v>59</v>
      </c>
      <c r="F13" s="35">
        <v>42271</v>
      </c>
      <c r="G13" s="34" t="s">
        <v>72</v>
      </c>
      <c r="H13" s="34" t="s">
        <v>73</v>
      </c>
      <c r="I13" s="34" t="s">
        <v>66</v>
      </c>
      <c r="J13" s="36" t="s">
        <v>941</v>
      </c>
      <c r="K13" s="34" t="s">
        <v>942</v>
      </c>
      <c r="L13" s="34" t="s">
        <v>70</v>
      </c>
      <c r="M13" s="37" t="s">
        <v>943</v>
      </c>
    </row>
    <row r="14" spans="1:13" ht="15.75" thickBot="1" x14ac:dyDescent="0.3">
      <c r="A14" s="28">
        <v>45972.04923611111</v>
      </c>
      <c r="B14" s="29" t="s">
        <v>905</v>
      </c>
      <c r="C14" s="29" t="s">
        <v>63</v>
      </c>
      <c r="D14" s="29" t="s">
        <v>76</v>
      </c>
      <c r="E14" s="29" t="s">
        <v>59</v>
      </c>
      <c r="F14" s="30">
        <v>42339</v>
      </c>
      <c r="G14" s="29" t="s">
        <v>77</v>
      </c>
      <c r="H14" s="29" t="s">
        <v>78</v>
      </c>
      <c r="I14" s="29" t="s">
        <v>66</v>
      </c>
      <c r="J14" s="31" t="s">
        <v>944</v>
      </c>
      <c r="K14" s="29" t="s">
        <v>945</v>
      </c>
      <c r="L14" s="29" t="s">
        <v>75</v>
      </c>
      <c r="M14" s="32" t="s">
        <v>946</v>
      </c>
    </row>
    <row r="15" spans="1:13" ht="15.75" thickBot="1" x14ac:dyDescent="0.3">
      <c r="A15" s="33">
        <v>45972.626597222225</v>
      </c>
      <c r="B15" s="34" t="s">
        <v>905</v>
      </c>
      <c r="C15" s="34" t="s">
        <v>63</v>
      </c>
      <c r="D15" s="34" t="s">
        <v>81</v>
      </c>
      <c r="E15" s="34" t="s">
        <v>10</v>
      </c>
      <c r="F15" s="35">
        <v>40717</v>
      </c>
      <c r="G15" s="34" t="s">
        <v>82</v>
      </c>
      <c r="H15" s="34" t="s">
        <v>83</v>
      </c>
      <c r="I15" s="34" t="s">
        <v>2</v>
      </c>
      <c r="J15" s="36" t="s">
        <v>947</v>
      </c>
      <c r="K15" s="34" t="s">
        <v>948</v>
      </c>
      <c r="L15" s="34" t="s">
        <v>80</v>
      </c>
      <c r="M15" s="37" t="s">
        <v>949</v>
      </c>
    </row>
    <row r="16" spans="1:13" ht="15.75" thickBot="1" x14ac:dyDescent="0.3">
      <c r="A16" s="28">
        <v>45972.647581018522</v>
      </c>
      <c r="B16" s="29" t="s">
        <v>905</v>
      </c>
      <c r="C16" s="29" t="s">
        <v>63</v>
      </c>
      <c r="D16" s="29" t="s">
        <v>86</v>
      </c>
      <c r="E16" s="29" t="s">
        <v>87</v>
      </c>
      <c r="F16" s="30">
        <v>41091</v>
      </c>
      <c r="G16" s="29" t="s">
        <v>88</v>
      </c>
      <c r="H16" s="29" t="s">
        <v>89</v>
      </c>
      <c r="I16" s="29" t="s">
        <v>66</v>
      </c>
      <c r="J16" s="31" t="s">
        <v>950</v>
      </c>
      <c r="K16" s="29" t="s">
        <v>951</v>
      </c>
      <c r="L16" s="29" t="s">
        <v>85</v>
      </c>
      <c r="M16" s="32" t="s">
        <v>952</v>
      </c>
    </row>
    <row r="17" spans="1:13" ht="15.75" thickBot="1" x14ac:dyDescent="0.3">
      <c r="A17" s="33">
        <v>45973.586828703701</v>
      </c>
      <c r="B17" s="34" t="s">
        <v>953</v>
      </c>
      <c r="C17" s="34" t="s">
        <v>96</v>
      </c>
      <c r="D17" s="34" t="s">
        <v>92</v>
      </c>
      <c r="E17" s="34" t="s">
        <v>10</v>
      </c>
      <c r="F17" s="35">
        <v>42899</v>
      </c>
      <c r="G17" s="34" t="s">
        <v>93</v>
      </c>
      <c r="H17" s="34" t="s">
        <v>94</v>
      </c>
      <c r="I17" s="34" t="s">
        <v>66</v>
      </c>
      <c r="J17" s="36" t="s">
        <v>954</v>
      </c>
      <c r="K17" s="34" t="s">
        <v>955</v>
      </c>
      <c r="L17" s="34" t="s">
        <v>956</v>
      </c>
      <c r="M17" s="37" t="s">
        <v>957</v>
      </c>
    </row>
    <row r="18" spans="1:13" ht="15.75" thickBot="1" x14ac:dyDescent="0.3">
      <c r="A18" s="28">
        <v>45973.845138888886</v>
      </c>
      <c r="B18" s="29" t="s">
        <v>953</v>
      </c>
      <c r="C18" s="29" t="s">
        <v>96</v>
      </c>
      <c r="D18" s="29" t="s">
        <v>98</v>
      </c>
      <c r="E18" s="29" t="s">
        <v>28</v>
      </c>
      <c r="F18" s="30">
        <v>42865</v>
      </c>
      <c r="G18" s="29" t="s">
        <v>99</v>
      </c>
      <c r="H18" s="29" t="s">
        <v>100</v>
      </c>
      <c r="I18" s="29" t="s">
        <v>2</v>
      </c>
      <c r="J18" s="31" t="s">
        <v>958</v>
      </c>
      <c r="K18" s="29" t="s">
        <v>959</v>
      </c>
      <c r="L18" s="29" t="s">
        <v>97</v>
      </c>
      <c r="M18" s="32" t="s">
        <v>960</v>
      </c>
    </row>
    <row r="19" spans="1:13" ht="15.75" thickBot="1" x14ac:dyDescent="0.3">
      <c r="A19" s="33">
        <v>45973.86513888889</v>
      </c>
      <c r="B19" s="34" t="s">
        <v>953</v>
      </c>
      <c r="C19" s="34" t="s">
        <v>96</v>
      </c>
      <c r="D19" s="34" t="s">
        <v>103</v>
      </c>
      <c r="E19" s="34" t="s">
        <v>104</v>
      </c>
      <c r="F19" s="35">
        <v>43137</v>
      </c>
      <c r="G19" s="34" t="s">
        <v>105</v>
      </c>
      <c r="H19" s="34" t="s">
        <v>106</v>
      </c>
      <c r="I19" s="34" t="s">
        <v>66</v>
      </c>
      <c r="J19" s="36" t="s">
        <v>961</v>
      </c>
      <c r="K19" s="34" t="s">
        <v>962</v>
      </c>
      <c r="L19" s="34" t="s">
        <v>102</v>
      </c>
      <c r="M19" s="37" t="s">
        <v>963</v>
      </c>
    </row>
    <row r="20" spans="1:13" ht="15.75" thickBot="1" x14ac:dyDescent="0.3">
      <c r="A20" s="28">
        <v>45982.340011574073</v>
      </c>
      <c r="B20" s="29" t="s">
        <v>10</v>
      </c>
      <c r="C20" s="29" t="s">
        <v>113</v>
      </c>
      <c r="D20" s="29" t="s">
        <v>964</v>
      </c>
      <c r="E20" s="29" t="s">
        <v>10</v>
      </c>
      <c r="F20" s="30">
        <v>41369</v>
      </c>
      <c r="G20" s="29" t="s">
        <v>965</v>
      </c>
      <c r="H20" s="29" t="s">
        <v>966</v>
      </c>
      <c r="I20" s="29" t="s">
        <v>66</v>
      </c>
      <c r="J20" s="31" t="s">
        <v>967</v>
      </c>
      <c r="K20" s="29" t="s">
        <v>968</v>
      </c>
      <c r="L20" s="29" t="s">
        <v>969</v>
      </c>
      <c r="M20" s="32" t="s">
        <v>970</v>
      </c>
    </row>
    <row r="21" spans="1:13" ht="15.75" thickBot="1" x14ac:dyDescent="0.3">
      <c r="A21" s="33">
        <v>45982.362615740742</v>
      </c>
      <c r="B21" s="34" t="s">
        <v>10</v>
      </c>
      <c r="C21" s="34" t="s">
        <v>113</v>
      </c>
      <c r="D21" s="34" t="s">
        <v>109</v>
      </c>
      <c r="E21" s="34" t="s">
        <v>59</v>
      </c>
      <c r="F21" s="35">
        <v>42563</v>
      </c>
      <c r="G21" s="34" t="s">
        <v>110</v>
      </c>
      <c r="H21" s="34" t="s">
        <v>111</v>
      </c>
      <c r="I21" s="34" t="s">
        <v>66</v>
      </c>
      <c r="J21" s="36" t="s">
        <v>971</v>
      </c>
      <c r="K21" s="34" t="s">
        <v>972</v>
      </c>
      <c r="L21" s="34" t="s">
        <v>108</v>
      </c>
      <c r="M21" s="37" t="s">
        <v>973</v>
      </c>
    </row>
    <row r="22" spans="1:13" ht="15.75" thickBot="1" x14ac:dyDescent="0.3">
      <c r="A22" s="28">
        <v>45982.36546296296</v>
      </c>
      <c r="B22" s="29" t="s">
        <v>10</v>
      </c>
      <c r="C22" s="29" t="s">
        <v>113</v>
      </c>
      <c r="D22" s="29" t="s">
        <v>115</v>
      </c>
      <c r="E22" s="29" t="s">
        <v>116</v>
      </c>
      <c r="F22" s="30">
        <v>42997</v>
      </c>
      <c r="G22" s="29" t="s">
        <v>117</v>
      </c>
      <c r="H22" s="29" t="s">
        <v>118</v>
      </c>
      <c r="I22" s="29" t="s">
        <v>2</v>
      </c>
      <c r="J22" s="31" t="s">
        <v>974</v>
      </c>
      <c r="K22" s="29" t="s">
        <v>975</v>
      </c>
      <c r="L22" s="29" t="s">
        <v>114</v>
      </c>
      <c r="M22" s="32" t="s">
        <v>976</v>
      </c>
    </row>
    <row r="23" spans="1:13" ht="15.75" thickBot="1" x14ac:dyDescent="0.3">
      <c r="A23" s="33">
        <v>45982.369421296295</v>
      </c>
      <c r="B23" s="34" t="s">
        <v>10</v>
      </c>
      <c r="C23" s="34" t="s">
        <v>113</v>
      </c>
      <c r="D23" s="34" t="s">
        <v>121</v>
      </c>
      <c r="E23" s="34" t="s">
        <v>28</v>
      </c>
      <c r="F23" s="35">
        <v>42812</v>
      </c>
      <c r="G23" s="34" t="s">
        <v>122</v>
      </c>
      <c r="H23" s="34" t="s">
        <v>123</v>
      </c>
      <c r="I23" s="34" t="s">
        <v>66</v>
      </c>
      <c r="J23" s="36" t="s">
        <v>977</v>
      </c>
      <c r="K23" s="34" t="s">
        <v>978</v>
      </c>
      <c r="L23" s="34" t="s">
        <v>120</v>
      </c>
      <c r="M23" s="37" t="s">
        <v>979</v>
      </c>
    </row>
    <row r="24" spans="1:13" ht="15.75" thickBot="1" x14ac:dyDescent="0.3">
      <c r="A24" s="28">
        <v>45982.370451388888</v>
      </c>
      <c r="B24" s="29" t="s">
        <v>10</v>
      </c>
      <c r="C24" s="29" t="s">
        <v>113</v>
      </c>
      <c r="D24" s="29" t="s">
        <v>126</v>
      </c>
      <c r="E24" s="29" t="s">
        <v>10</v>
      </c>
      <c r="F24" s="30">
        <v>42110</v>
      </c>
      <c r="G24" s="29" t="s">
        <v>127</v>
      </c>
      <c r="H24" s="29" t="s">
        <v>128</v>
      </c>
      <c r="I24" s="29" t="s">
        <v>66</v>
      </c>
      <c r="J24" s="31" t="s">
        <v>980</v>
      </c>
      <c r="K24" s="29" t="s">
        <v>981</v>
      </c>
      <c r="L24" s="29" t="s">
        <v>125</v>
      </c>
      <c r="M24" s="32" t="s">
        <v>982</v>
      </c>
    </row>
    <row r="25" spans="1:13" ht="15.75" thickBot="1" x14ac:dyDescent="0.3">
      <c r="A25" s="33">
        <v>45982.411944444444</v>
      </c>
      <c r="B25" s="34" t="s">
        <v>10</v>
      </c>
      <c r="C25" s="34" t="s">
        <v>113</v>
      </c>
      <c r="D25" s="34" t="s">
        <v>131</v>
      </c>
      <c r="E25" s="34" t="s">
        <v>28</v>
      </c>
      <c r="F25" s="35">
        <v>41369</v>
      </c>
      <c r="G25" s="34" t="s">
        <v>132</v>
      </c>
      <c r="H25" s="34" t="s">
        <v>133</v>
      </c>
      <c r="I25" s="34" t="s">
        <v>66</v>
      </c>
      <c r="J25" s="36" t="s">
        <v>983</v>
      </c>
      <c r="K25" s="34" t="s">
        <v>984</v>
      </c>
      <c r="L25" s="34" t="s">
        <v>130</v>
      </c>
      <c r="M25" s="37" t="s">
        <v>985</v>
      </c>
    </row>
    <row r="26" spans="1:13" ht="15.75" thickBot="1" x14ac:dyDescent="0.3">
      <c r="A26" s="28">
        <v>45985.321192129632</v>
      </c>
      <c r="B26" s="29" t="s">
        <v>10</v>
      </c>
      <c r="C26" s="29" t="s">
        <v>113</v>
      </c>
      <c r="D26" s="29" t="s">
        <v>136</v>
      </c>
      <c r="E26" s="29" t="s">
        <v>10</v>
      </c>
      <c r="F26" s="30">
        <v>42133</v>
      </c>
      <c r="G26" s="29" t="s">
        <v>137</v>
      </c>
      <c r="H26" s="29" t="s">
        <v>138</v>
      </c>
      <c r="I26" s="29" t="s">
        <v>66</v>
      </c>
      <c r="J26" s="31" t="s">
        <v>986</v>
      </c>
      <c r="K26" s="29" t="s">
        <v>987</v>
      </c>
      <c r="L26" s="29" t="s">
        <v>135</v>
      </c>
      <c r="M26" s="32" t="s">
        <v>988</v>
      </c>
    </row>
    <row r="27" spans="1:13" ht="15.75" thickBot="1" x14ac:dyDescent="0.3">
      <c r="A27" s="33">
        <v>45985.322523148148</v>
      </c>
      <c r="B27" s="34" t="s">
        <v>10</v>
      </c>
      <c r="C27" s="34" t="s">
        <v>113</v>
      </c>
      <c r="D27" s="34" t="s">
        <v>141</v>
      </c>
      <c r="E27" s="34" t="s">
        <v>10</v>
      </c>
      <c r="F27" s="35">
        <v>42970</v>
      </c>
      <c r="G27" s="34" t="s">
        <v>142</v>
      </c>
      <c r="H27" s="34" t="s">
        <v>143</v>
      </c>
      <c r="I27" s="34" t="s">
        <v>2</v>
      </c>
      <c r="J27" s="36" t="s">
        <v>989</v>
      </c>
      <c r="K27" s="34" t="s">
        <v>990</v>
      </c>
      <c r="L27" s="34" t="s">
        <v>140</v>
      </c>
      <c r="M27" s="37" t="s">
        <v>991</v>
      </c>
    </row>
    <row r="28" spans="1:13" ht="15.75" thickBot="1" x14ac:dyDescent="0.3">
      <c r="A28" s="28">
        <v>45985.365601851852</v>
      </c>
      <c r="B28" s="29" t="s">
        <v>10</v>
      </c>
      <c r="C28" s="29" t="s">
        <v>113</v>
      </c>
      <c r="D28" s="29" t="s">
        <v>146</v>
      </c>
      <c r="E28" s="29" t="s">
        <v>28</v>
      </c>
      <c r="F28" s="30">
        <v>42663</v>
      </c>
      <c r="G28" s="29" t="s">
        <v>147</v>
      </c>
      <c r="H28" s="29" t="s">
        <v>148</v>
      </c>
      <c r="I28" s="29" t="s">
        <v>66</v>
      </c>
      <c r="J28" s="31" t="s">
        <v>992</v>
      </c>
      <c r="K28" s="29" t="s">
        <v>993</v>
      </c>
      <c r="L28" s="29" t="s">
        <v>145</v>
      </c>
      <c r="M28" s="32" t="s">
        <v>994</v>
      </c>
    </row>
    <row r="29" spans="1:13" ht="15.75" thickBot="1" x14ac:dyDescent="0.3">
      <c r="A29" s="33">
        <v>45985.374259259261</v>
      </c>
      <c r="B29" s="34" t="s">
        <v>10</v>
      </c>
      <c r="C29" s="34" t="s">
        <v>113</v>
      </c>
      <c r="D29" s="34" t="s">
        <v>151</v>
      </c>
      <c r="E29" s="34" t="s">
        <v>10</v>
      </c>
      <c r="F29" s="35">
        <v>42181</v>
      </c>
      <c r="G29" s="34" t="s">
        <v>152</v>
      </c>
      <c r="H29" s="34" t="s">
        <v>153</v>
      </c>
      <c r="I29" s="34" t="s">
        <v>2</v>
      </c>
      <c r="J29" s="36" t="s">
        <v>995</v>
      </c>
      <c r="K29" s="34" t="s">
        <v>996</v>
      </c>
      <c r="L29" s="34" t="s">
        <v>150</v>
      </c>
      <c r="M29" s="37" t="s">
        <v>997</v>
      </c>
    </row>
    <row r="30" spans="1:13" ht="15.75" thickBot="1" x14ac:dyDescent="0.3">
      <c r="A30" s="28">
        <v>45994.211446759262</v>
      </c>
      <c r="B30" s="29" t="s">
        <v>998</v>
      </c>
      <c r="C30" s="29" t="s">
        <v>999</v>
      </c>
      <c r="D30" s="29" t="s">
        <v>156</v>
      </c>
      <c r="E30" s="29" t="s">
        <v>10</v>
      </c>
      <c r="F30" s="30">
        <v>42724</v>
      </c>
      <c r="G30" s="29" t="s">
        <v>157</v>
      </c>
      <c r="H30" s="29" t="s">
        <v>158</v>
      </c>
      <c r="I30" s="29" t="s">
        <v>66</v>
      </c>
      <c r="J30" s="31" t="s">
        <v>1000</v>
      </c>
      <c r="K30" s="29" t="s">
        <v>1001</v>
      </c>
      <c r="L30" s="29" t="s">
        <v>155</v>
      </c>
      <c r="M30" s="32" t="s">
        <v>1002</v>
      </c>
    </row>
    <row r="31" spans="1:13" ht="15.75" thickBot="1" x14ac:dyDescent="0.3">
      <c r="A31" s="33">
        <v>45994.268067129633</v>
      </c>
      <c r="B31" s="34" t="s">
        <v>998</v>
      </c>
      <c r="C31" s="34" t="s">
        <v>1003</v>
      </c>
      <c r="D31" s="34" t="s">
        <v>162</v>
      </c>
      <c r="E31" s="34" t="s">
        <v>10</v>
      </c>
      <c r="F31" s="35">
        <v>41707</v>
      </c>
      <c r="G31" s="34" t="s">
        <v>163</v>
      </c>
      <c r="H31" s="34" t="s">
        <v>164</v>
      </c>
      <c r="I31" s="34" t="s">
        <v>2</v>
      </c>
      <c r="J31" s="36" t="s">
        <v>1004</v>
      </c>
      <c r="K31" s="34" t="s">
        <v>1005</v>
      </c>
      <c r="L31" s="34" t="s">
        <v>161</v>
      </c>
      <c r="M31" s="37" t="s">
        <v>1006</v>
      </c>
    </row>
    <row r="32" spans="1:13" ht="15.75" thickBot="1" x14ac:dyDescent="0.3">
      <c r="A32" s="28">
        <v>45994.39234953704</v>
      </c>
      <c r="B32" s="29" t="s">
        <v>998</v>
      </c>
      <c r="C32" s="29" t="s">
        <v>1007</v>
      </c>
      <c r="D32" s="29" t="s">
        <v>167</v>
      </c>
      <c r="E32" s="29" t="s">
        <v>59</v>
      </c>
      <c r="F32" s="30">
        <v>42459</v>
      </c>
      <c r="G32" s="29" t="s">
        <v>168</v>
      </c>
      <c r="H32" s="29" t="s">
        <v>169</v>
      </c>
      <c r="I32" s="29" t="s">
        <v>66</v>
      </c>
      <c r="J32" s="31" t="s">
        <v>1008</v>
      </c>
      <c r="K32" s="29" t="s">
        <v>1009</v>
      </c>
      <c r="L32" s="29" t="s">
        <v>166</v>
      </c>
      <c r="M32" s="32" t="s">
        <v>1010</v>
      </c>
    </row>
    <row r="33" spans="1:13" ht="15.75" thickBot="1" x14ac:dyDescent="0.3">
      <c r="A33" s="33">
        <v>45994.396053240744</v>
      </c>
      <c r="B33" s="34" t="s">
        <v>998</v>
      </c>
      <c r="C33" s="34" t="s">
        <v>1011</v>
      </c>
      <c r="D33" s="34" t="s">
        <v>172</v>
      </c>
      <c r="E33" s="34" t="s">
        <v>10</v>
      </c>
      <c r="F33" s="35">
        <v>42225</v>
      </c>
      <c r="G33" s="34" t="s">
        <v>173</v>
      </c>
      <c r="H33" s="34" t="s">
        <v>174</v>
      </c>
      <c r="I33" s="34" t="s">
        <v>2</v>
      </c>
      <c r="J33" s="36" t="s">
        <v>1012</v>
      </c>
      <c r="K33" s="34" t="s">
        <v>1013</v>
      </c>
      <c r="L33" s="34" t="s">
        <v>171</v>
      </c>
      <c r="M33" s="37" t="s">
        <v>1014</v>
      </c>
    </row>
    <row r="34" spans="1:13" ht="15.75" thickBot="1" x14ac:dyDescent="0.3">
      <c r="A34" s="28">
        <v>45994.435069444444</v>
      </c>
      <c r="B34" s="29" t="s">
        <v>998</v>
      </c>
      <c r="C34" s="29" t="s">
        <v>1015</v>
      </c>
      <c r="D34" s="29" t="s">
        <v>177</v>
      </c>
      <c r="E34" s="29" t="s">
        <v>10</v>
      </c>
      <c r="F34" s="30">
        <v>41509</v>
      </c>
      <c r="G34" s="29" t="s">
        <v>178</v>
      </c>
      <c r="H34" s="29" t="s">
        <v>179</v>
      </c>
      <c r="I34" s="29" t="s">
        <v>2</v>
      </c>
      <c r="J34" s="31" t="s">
        <v>1016</v>
      </c>
      <c r="K34" s="29" t="s">
        <v>1017</v>
      </c>
      <c r="L34" s="29" t="s">
        <v>176</v>
      </c>
      <c r="M34" s="32" t="s">
        <v>1018</v>
      </c>
    </row>
    <row r="35" spans="1:13" ht="15.75" thickBot="1" x14ac:dyDescent="0.3">
      <c r="A35" s="33">
        <v>45994.674849537034</v>
      </c>
      <c r="B35" s="34" t="s">
        <v>998</v>
      </c>
      <c r="C35" s="34" t="s">
        <v>1019</v>
      </c>
      <c r="D35" s="34" t="s">
        <v>182</v>
      </c>
      <c r="E35" s="34" t="s">
        <v>59</v>
      </c>
      <c r="F35" s="35">
        <v>42122</v>
      </c>
      <c r="G35" s="34" t="s">
        <v>183</v>
      </c>
      <c r="H35" s="34" t="s">
        <v>184</v>
      </c>
      <c r="I35" s="34" t="s">
        <v>66</v>
      </c>
      <c r="J35" s="36" t="s">
        <v>1020</v>
      </c>
      <c r="K35" s="34" t="s">
        <v>1021</v>
      </c>
      <c r="L35" s="34" t="s">
        <v>181</v>
      </c>
      <c r="M35" s="37" t="s">
        <v>1022</v>
      </c>
    </row>
    <row r="36" spans="1:13" ht="15.75" thickBot="1" x14ac:dyDescent="0.3">
      <c r="A36" s="28">
        <v>45994.959675925929</v>
      </c>
      <c r="B36" s="29" t="s">
        <v>998</v>
      </c>
      <c r="C36" s="29" t="s">
        <v>1023</v>
      </c>
      <c r="D36" s="29" t="s">
        <v>187</v>
      </c>
      <c r="E36" s="29" t="s">
        <v>10</v>
      </c>
      <c r="F36" s="30">
        <v>42604</v>
      </c>
      <c r="G36" s="29" t="s">
        <v>188</v>
      </c>
      <c r="H36" s="29" t="s">
        <v>189</v>
      </c>
      <c r="I36" s="29" t="s">
        <v>2</v>
      </c>
      <c r="J36" s="31" t="s">
        <v>1024</v>
      </c>
      <c r="K36" s="29" t="s">
        <v>1025</v>
      </c>
      <c r="L36" s="29" t="s">
        <v>186</v>
      </c>
      <c r="M36" s="32" t="s">
        <v>1026</v>
      </c>
    </row>
    <row r="37" spans="1:13" ht="15.75" thickBot="1" x14ac:dyDescent="0.3">
      <c r="A37" s="33">
        <v>45995.388495370367</v>
      </c>
      <c r="B37" s="34" t="s">
        <v>998</v>
      </c>
      <c r="C37" s="34" t="s">
        <v>214</v>
      </c>
      <c r="D37" s="34" t="s">
        <v>1027</v>
      </c>
      <c r="E37" s="34" t="s">
        <v>10</v>
      </c>
      <c r="F37" s="35">
        <v>42109</v>
      </c>
      <c r="G37" s="34" t="s">
        <v>1028</v>
      </c>
      <c r="H37" s="34" t="s">
        <v>1029</v>
      </c>
      <c r="I37" s="34" t="s">
        <v>2</v>
      </c>
      <c r="J37" s="36" t="s">
        <v>1030</v>
      </c>
      <c r="K37" s="34" t="s">
        <v>1031</v>
      </c>
      <c r="L37" s="34" t="s">
        <v>3116</v>
      </c>
      <c r="M37" s="38"/>
    </row>
    <row r="38" spans="1:13" ht="15.75" thickBot="1" x14ac:dyDescent="0.3">
      <c r="A38" s="28">
        <v>45995.459837962961</v>
      </c>
      <c r="B38" s="29" t="s">
        <v>953</v>
      </c>
      <c r="C38" s="29" t="s">
        <v>196</v>
      </c>
      <c r="D38" s="29" t="s">
        <v>192</v>
      </c>
      <c r="E38" s="29" t="s">
        <v>28</v>
      </c>
      <c r="F38" s="30">
        <v>42532</v>
      </c>
      <c r="G38" s="29" t="s">
        <v>193</v>
      </c>
      <c r="H38" s="29" t="s">
        <v>194</v>
      </c>
      <c r="I38" s="29" t="s">
        <v>2</v>
      </c>
      <c r="J38" s="31" t="s">
        <v>1032</v>
      </c>
      <c r="K38" s="29" t="s">
        <v>1033</v>
      </c>
      <c r="L38" s="29" t="s">
        <v>191</v>
      </c>
      <c r="M38" s="32" t="s">
        <v>1034</v>
      </c>
    </row>
    <row r="39" spans="1:13" ht="15.75" thickBot="1" x14ac:dyDescent="0.3">
      <c r="A39" s="33">
        <v>45995.466990740744</v>
      </c>
      <c r="B39" s="34" t="s">
        <v>953</v>
      </c>
      <c r="C39" s="34" t="s">
        <v>196</v>
      </c>
      <c r="D39" s="34" t="s">
        <v>198</v>
      </c>
      <c r="E39" s="34" t="s">
        <v>28</v>
      </c>
      <c r="F39" s="35">
        <v>42553</v>
      </c>
      <c r="G39" s="34" t="s">
        <v>199</v>
      </c>
      <c r="H39" s="34" t="s">
        <v>200</v>
      </c>
      <c r="I39" s="34" t="s">
        <v>2</v>
      </c>
      <c r="J39" s="36" t="s">
        <v>1035</v>
      </c>
      <c r="K39" s="34" t="s">
        <v>1036</v>
      </c>
      <c r="L39" s="34" t="s">
        <v>197</v>
      </c>
      <c r="M39" s="37" t="s">
        <v>1037</v>
      </c>
    </row>
    <row r="40" spans="1:13" ht="15.75" thickBot="1" x14ac:dyDescent="0.3">
      <c r="A40" s="28">
        <v>45995.532337962963</v>
      </c>
      <c r="B40" s="29" t="s">
        <v>998</v>
      </c>
      <c r="C40" s="29" t="s">
        <v>1038</v>
      </c>
      <c r="D40" s="29" t="s">
        <v>1039</v>
      </c>
      <c r="E40" s="29" t="s">
        <v>28</v>
      </c>
      <c r="F40" s="30">
        <v>42109</v>
      </c>
      <c r="G40" s="29" t="s">
        <v>1040</v>
      </c>
      <c r="H40" s="29" t="s">
        <v>1041</v>
      </c>
      <c r="I40" s="29" t="s">
        <v>2</v>
      </c>
      <c r="J40" s="31" t="s">
        <v>1042</v>
      </c>
      <c r="K40" s="29" t="s">
        <v>1043</v>
      </c>
      <c r="L40" s="29" t="s">
        <v>3117</v>
      </c>
      <c r="M40" s="126"/>
    </row>
    <row r="41" spans="1:13" ht="15.75" thickBot="1" x14ac:dyDescent="0.3">
      <c r="A41" s="33">
        <v>45995.542094907411</v>
      </c>
      <c r="B41" s="34" t="s">
        <v>998</v>
      </c>
      <c r="C41" s="34" t="s">
        <v>1038</v>
      </c>
      <c r="D41" s="34" t="s">
        <v>1044</v>
      </c>
      <c r="E41" s="34" t="s">
        <v>402</v>
      </c>
      <c r="F41" s="35">
        <v>42349</v>
      </c>
      <c r="G41" s="34" t="s">
        <v>1045</v>
      </c>
      <c r="H41" s="34" t="s">
        <v>1046</v>
      </c>
      <c r="I41" s="34" t="s">
        <v>2</v>
      </c>
      <c r="J41" s="36" t="s">
        <v>1047</v>
      </c>
      <c r="K41" s="34" t="s">
        <v>1048</v>
      </c>
      <c r="L41" s="34" t="s">
        <v>3118</v>
      </c>
      <c r="M41" s="38"/>
    </row>
    <row r="42" spans="1:13" ht="15.75" thickBot="1" x14ac:dyDescent="0.3">
      <c r="A42" s="28">
        <v>45995.547974537039</v>
      </c>
      <c r="B42" s="29" t="s">
        <v>998</v>
      </c>
      <c r="C42" s="29" t="s">
        <v>1038</v>
      </c>
      <c r="D42" s="29" t="s">
        <v>1049</v>
      </c>
      <c r="E42" s="29" t="s">
        <v>28</v>
      </c>
      <c r="F42" s="30">
        <v>42330</v>
      </c>
      <c r="G42" s="29" t="s">
        <v>1050</v>
      </c>
      <c r="H42" s="29" t="s">
        <v>1041</v>
      </c>
      <c r="I42" s="29" t="s">
        <v>2</v>
      </c>
      <c r="J42" s="31" t="s">
        <v>1051</v>
      </c>
      <c r="K42" s="29" t="s">
        <v>1052</v>
      </c>
      <c r="L42" s="29" t="s">
        <v>3119</v>
      </c>
      <c r="M42" s="126"/>
    </row>
    <row r="43" spans="1:13" ht="15.75" thickBot="1" x14ac:dyDescent="0.3">
      <c r="A43" s="33">
        <v>45995.551724537036</v>
      </c>
      <c r="B43" s="34" t="s">
        <v>998</v>
      </c>
      <c r="C43" s="34" t="s">
        <v>1038</v>
      </c>
      <c r="D43" s="34" t="s">
        <v>1053</v>
      </c>
      <c r="E43" s="34" t="s">
        <v>28</v>
      </c>
      <c r="F43" s="35">
        <v>42546</v>
      </c>
      <c r="G43" s="34" t="s">
        <v>1054</v>
      </c>
      <c r="H43" s="34" t="s">
        <v>1055</v>
      </c>
      <c r="I43" s="34" t="s">
        <v>2</v>
      </c>
      <c r="J43" s="36" t="s">
        <v>1056</v>
      </c>
      <c r="K43" s="34" t="s">
        <v>1057</v>
      </c>
      <c r="L43" s="34" t="s">
        <v>3120</v>
      </c>
      <c r="M43" s="38"/>
    </row>
    <row r="44" spans="1:13" ht="15.75" thickBot="1" x14ac:dyDescent="0.3">
      <c r="A44" s="28">
        <v>45995.555648148147</v>
      </c>
      <c r="B44" s="29" t="s">
        <v>998</v>
      </c>
      <c r="C44" s="29" t="s">
        <v>1038</v>
      </c>
      <c r="D44" s="29" t="s">
        <v>1058</v>
      </c>
      <c r="E44" s="29" t="s">
        <v>28</v>
      </c>
      <c r="F44" s="30">
        <v>42668</v>
      </c>
      <c r="G44" s="29" t="s">
        <v>1059</v>
      </c>
      <c r="H44" s="29" t="s">
        <v>1060</v>
      </c>
      <c r="I44" s="29" t="s">
        <v>2</v>
      </c>
      <c r="J44" s="31" t="s">
        <v>1061</v>
      </c>
      <c r="K44" s="29" t="s">
        <v>1062</v>
      </c>
      <c r="L44" s="29" t="s">
        <v>3121</v>
      </c>
      <c r="M44" s="126"/>
    </row>
    <row r="45" spans="1:13" ht="15.75" thickBot="1" x14ac:dyDescent="0.3">
      <c r="A45" s="33">
        <v>45995.68172453704</v>
      </c>
      <c r="B45" s="34" t="s">
        <v>998</v>
      </c>
      <c r="C45" s="34" t="s">
        <v>1038</v>
      </c>
      <c r="D45" s="34" t="s">
        <v>1063</v>
      </c>
      <c r="E45" s="34" t="s">
        <v>204</v>
      </c>
      <c r="F45" s="35">
        <v>42393</v>
      </c>
      <c r="G45" s="34" t="s">
        <v>1064</v>
      </c>
      <c r="H45" s="34" t="s">
        <v>1065</v>
      </c>
      <c r="I45" s="34" t="s">
        <v>2</v>
      </c>
      <c r="J45" s="36" t="s">
        <v>1066</v>
      </c>
      <c r="K45" s="34" t="s">
        <v>1067</v>
      </c>
      <c r="L45" s="34" t="s">
        <v>3122</v>
      </c>
      <c r="M45" s="38"/>
    </row>
    <row r="46" spans="1:13" ht="15.75" thickBot="1" x14ac:dyDescent="0.3">
      <c r="A46" s="28">
        <v>45996.636250000003</v>
      </c>
      <c r="B46" s="29" t="s">
        <v>10</v>
      </c>
      <c r="C46" s="29" t="s">
        <v>208</v>
      </c>
      <c r="D46" s="29" t="s">
        <v>203</v>
      </c>
      <c r="E46" s="29" t="s">
        <v>204</v>
      </c>
      <c r="F46" s="30">
        <v>41794</v>
      </c>
      <c r="G46" s="29" t="s">
        <v>205</v>
      </c>
      <c r="H46" s="29" t="s">
        <v>206</v>
      </c>
      <c r="I46" s="29" t="s">
        <v>2</v>
      </c>
      <c r="J46" s="31" t="s">
        <v>1068</v>
      </c>
      <c r="K46" s="29" t="s">
        <v>1069</v>
      </c>
      <c r="L46" s="29" t="s">
        <v>202</v>
      </c>
      <c r="M46" s="32" t="s">
        <v>1070</v>
      </c>
    </row>
    <row r="47" spans="1:13" ht="15.75" thickBot="1" x14ac:dyDescent="0.3">
      <c r="A47" s="33">
        <v>45997.35125</v>
      </c>
      <c r="B47" s="34" t="s">
        <v>998</v>
      </c>
      <c r="C47" s="34" t="s">
        <v>1071</v>
      </c>
      <c r="D47" s="34" t="s">
        <v>1072</v>
      </c>
      <c r="E47" s="34" t="s">
        <v>1073</v>
      </c>
      <c r="F47" s="35">
        <v>42133</v>
      </c>
      <c r="G47" s="34" t="s">
        <v>1074</v>
      </c>
      <c r="H47" s="34" t="s">
        <v>1075</v>
      </c>
      <c r="I47" s="34" t="s">
        <v>66</v>
      </c>
      <c r="J47" s="36" t="s">
        <v>1076</v>
      </c>
      <c r="K47" s="34" t="s">
        <v>1077</v>
      </c>
      <c r="L47" s="34" t="s">
        <v>3123</v>
      </c>
      <c r="M47" s="38"/>
    </row>
    <row r="48" spans="1:13" ht="15.75" thickBot="1" x14ac:dyDescent="0.3">
      <c r="A48" s="28">
        <v>45998.481851851851</v>
      </c>
      <c r="B48" s="29" t="s">
        <v>10</v>
      </c>
      <c r="C48" s="29" t="s">
        <v>214</v>
      </c>
      <c r="D48" s="29" t="s">
        <v>210</v>
      </c>
      <c r="E48" s="29" t="s">
        <v>10</v>
      </c>
      <c r="F48" s="30">
        <v>42114</v>
      </c>
      <c r="G48" s="29" t="s">
        <v>211</v>
      </c>
      <c r="H48" s="29" t="s">
        <v>212</v>
      </c>
      <c r="I48" s="29" t="s">
        <v>2</v>
      </c>
      <c r="J48" s="31" t="s">
        <v>1078</v>
      </c>
      <c r="K48" s="29" t="s">
        <v>1079</v>
      </c>
      <c r="L48" s="29" t="s">
        <v>209</v>
      </c>
      <c r="M48" s="32" t="s">
        <v>1080</v>
      </c>
    </row>
    <row r="49" spans="1:13" ht="15.75" thickBot="1" x14ac:dyDescent="0.3">
      <c r="A49" s="33">
        <v>45998.487858796296</v>
      </c>
      <c r="B49" s="34" t="s">
        <v>998</v>
      </c>
      <c r="C49" s="34" t="s">
        <v>214</v>
      </c>
      <c r="D49" s="34" t="s">
        <v>1081</v>
      </c>
      <c r="E49" s="34" t="s">
        <v>1082</v>
      </c>
      <c r="F49" s="35">
        <v>42716</v>
      </c>
      <c r="G49" s="34" t="s">
        <v>1083</v>
      </c>
      <c r="H49" s="34" t="s">
        <v>1084</v>
      </c>
      <c r="I49" s="34" t="s">
        <v>2</v>
      </c>
      <c r="J49" s="36" t="s">
        <v>1085</v>
      </c>
      <c r="K49" s="34" t="s">
        <v>1086</v>
      </c>
      <c r="L49" s="34" t="s">
        <v>3124</v>
      </c>
      <c r="M49" s="38"/>
    </row>
    <row r="50" spans="1:13" ht="15.75" thickBot="1" x14ac:dyDescent="0.3">
      <c r="A50" s="28">
        <v>45998.494745370372</v>
      </c>
      <c r="B50" s="29" t="s">
        <v>998</v>
      </c>
      <c r="C50" s="29" t="s">
        <v>214</v>
      </c>
      <c r="D50" s="29" t="s">
        <v>1087</v>
      </c>
      <c r="E50" s="29" t="s">
        <v>59</v>
      </c>
      <c r="F50" s="30">
        <v>41811</v>
      </c>
      <c r="G50" s="29" t="s">
        <v>1088</v>
      </c>
      <c r="H50" s="29" t="s">
        <v>1089</v>
      </c>
      <c r="I50" s="29" t="s">
        <v>2</v>
      </c>
      <c r="J50" s="31" t="s">
        <v>1090</v>
      </c>
      <c r="K50" s="29" t="s">
        <v>1091</v>
      </c>
      <c r="L50" s="29" t="s">
        <v>3125</v>
      </c>
      <c r="M50" s="126"/>
    </row>
    <row r="51" spans="1:13" ht="15.75" thickBot="1" x14ac:dyDescent="0.3">
      <c r="A51" s="33">
        <v>45998.554293981484</v>
      </c>
      <c r="B51" s="34" t="s">
        <v>998</v>
      </c>
      <c r="C51" s="34" t="s">
        <v>214</v>
      </c>
      <c r="D51" s="34" t="s">
        <v>1092</v>
      </c>
      <c r="E51" s="34" t="s">
        <v>10</v>
      </c>
      <c r="F51" s="35">
        <v>42129</v>
      </c>
      <c r="G51" s="34" t="s">
        <v>1093</v>
      </c>
      <c r="H51" s="34" t="s">
        <v>1094</v>
      </c>
      <c r="I51" s="34" t="s">
        <v>2</v>
      </c>
      <c r="J51" s="36" t="s">
        <v>1095</v>
      </c>
      <c r="K51" s="34" t="s">
        <v>1096</v>
      </c>
      <c r="L51" s="34" t="s">
        <v>3126</v>
      </c>
      <c r="M51" s="38"/>
    </row>
    <row r="52" spans="1:13" ht="15.75" thickBot="1" x14ac:dyDescent="0.3">
      <c r="A52" s="28">
        <v>45998.556921296295</v>
      </c>
      <c r="B52" s="29" t="s">
        <v>10</v>
      </c>
      <c r="C52" s="29" t="s">
        <v>214</v>
      </c>
      <c r="D52" s="29" t="s">
        <v>216</v>
      </c>
      <c r="E52" s="29" t="s">
        <v>204</v>
      </c>
      <c r="F52" s="30">
        <v>42354</v>
      </c>
      <c r="G52" s="29" t="s">
        <v>217</v>
      </c>
      <c r="H52" s="29" t="s">
        <v>218</v>
      </c>
      <c r="I52" s="29" t="s">
        <v>2</v>
      </c>
      <c r="J52" s="31" t="s">
        <v>1097</v>
      </c>
      <c r="K52" s="29" t="s">
        <v>1098</v>
      </c>
      <c r="L52" s="29" t="s">
        <v>215</v>
      </c>
      <c r="M52" s="32" t="s">
        <v>1099</v>
      </c>
    </row>
    <row r="53" spans="1:13" ht="15.75" thickBot="1" x14ac:dyDescent="0.3">
      <c r="A53" s="33">
        <v>45998.580891203703</v>
      </c>
      <c r="B53" s="34" t="s">
        <v>10</v>
      </c>
      <c r="C53" s="34" t="s">
        <v>214</v>
      </c>
      <c r="D53" s="34" t="s">
        <v>221</v>
      </c>
      <c r="E53" s="34" t="s">
        <v>10</v>
      </c>
      <c r="F53" s="35">
        <v>42259</v>
      </c>
      <c r="G53" s="34" t="s">
        <v>222</v>
      </c>
      <c r="H53" s="34" t="s">
        <v>223</v>
      </c>
      <c r="I53" s="34" t="s">
        <v>66</v>
      </c>
      <c r="J53" s="36" t="s">
        <v>1100</v>
      </c>
      <c r="K53" s="34" t="s">
        <v>1101</v>
      </c>
      <c r="L53" s="34" t="s">
        <v>220</v>
      </c>
      <c r="M53" s="37" t="s">
        <v>1102</v>
      </c>
    </row>
    <row r="54" spans="1:13" ht="15.75" thickBot="1" x14ac:dyDescent="0.3">
      <c r="A54" s="28">
        <v>45998.639537037037</v>
      </c>
      <c r="B54" s="29" t="s">
        <v>10</v>
      </c>
      <c r="C54" s="29" t="s">
        <v>214</v>
      </c>
      <c r="D54" s="29" t="s">
        <v>234</v>
      </c>
      <c r="E54" s="29" t="s">
        <v>10</v>
      </c>
      <c r="F54" s="30">
        <v>42259</v>
      </c>
      <c r="G54" s="29" t="s">
        <v>222</v>
      </c>
      <c r="H54" s="29" t="s">
        <v>235</v>
      </c>
      <c r="I54" s="29" t="s">
        <v>66</v>
      </c>
      <c r="J54" s="31" t="s">
        <v>1103</v>
      </c>
      <c r="K54" s="29" t="s">
        <v>1104</v>
      </c>
      <c r="L54" s="29" t="s">
        <v>233</v>
      </c>
      <c r="M54" s="32" t="s">
        <v>1105</v>
      </c>
    </row>
    <row r="55" spans="1:13" ht="15.75" thickBot="1" x14ac:dyDescent="0.3">
      <c r="A55" s="33">
        <v>45998.649305555555</v>
      </c>
      <c r="B55" s="34" t="s">
        <v>10</v>
      </c>
      <c r="C55" s="34" t="s">
        <v>214</v>
      </c>
      <c r="D55" s="34" t="s">
        <v>238</v>
      </c>
      <c r="E55" s="34" t="s">
        <v>28</v>
      </c>
      <c r="F55" s="35">
        <v>42347</v>
      </c>
      <c r="G55" s="34" t="s">
        <v>239</v>
      </c>
      <c r="H55" s="34" t="s">
        <v>240</v>
      </c>
      <c r="I55" s="34" t="s">
        <v>66</v>
      </c>
      <c r="J55" s="36" t="s">
        <v>1106</v>
      </c>
      <c r="K55" s="34" t="s">
        <v>1107</v>
      </c>
      <c r="L55" s="34" t="s">
        <v>237</v>
      </c>
      <c r="M55" s="37" t="s">
        <v>1108</v>
      </c>
    </row>
    <row r="56" spans="1:13" ht="15.75" thickBot="1" x14ac:dyDescent="0.3">
      <c r="A56" s="28">
        <v>45998.668078703704</v>
      </c>
      <c r="B56" s="29" t="s">
        <v>10</v>
      </c>
      <c r="C56" s="29" t="s">
        <v>214</v>
      </c>
      <c r="D56" s="29" t="s">
        <v>243</v>
      </c>
      <c r="E56" s="29" t="s">
        <v>10</v>
      </c>
      <c r="F56" s="30">
        <v>42347</v>
      </c>
      <c r="G56" s="29" t="s">
        <v>222</v>
      </c>
      <c r="H56" s="29" t="s">
        <v>244</v>
      </c>
      <c r="I56" s="29" t="s">
        <v>66</v>
      </c>
      <c r="J56" s="31" t="s">
        <v>1109</v>
      </c>
      <c r="K56" s="29" t="s">
        <v>1110</v>
      </c>
      <c r="L56" s="29" t="s">
        <v>242</v>
      </c>
      <c r="M56" s="32" t="s">
        <v>1111</v>
      </c>
    </row>
    <row r="57" spans="1:13" ht="15.75" thickBot="1" x14ac:dyDescent="0.3">
      <c r="A57" s="33">
        <v>45998.670555555553</v>
      </c>
      <c r="B57" s="34" t="s">
        <v>10</v>
      </c>
      <c r="C57" s="34" t="s">
        <v>214</v>
      </c>
      <c r="D57" s="34" t="s">
        <v>247</v>
      </c>
      <c r="E57" s="34" t="s">
        <v>10</v>
      </c>
      <c r="F57" s="35">
        <v>42217</v>
      </c>
      <c r="G57" s="34" t="s">
        <v>248</v>
      </c>
      <c r="H57" s="34" t="s">
        <v>249</v>
      </c>
      <c r="I57" s="34" t="s">
        <v>66</v>
      </c>
      <c r="J57" s="36" t="s">
        <v>1112</v>
      </c>
      <c r="K57" s="34" t="s">
        <v>1113</v>
      </c>
      <c r="L57" s="34" t="s">
        <v>246</v>
      </c>
      <c r="M57" s="37" t="s">
        <v>1114</v>
      </c>
    </row>
    <row r="58" spans="1:13" ht="15.75" thickBot="1" x14ac:dyDescent="0.3">
      <c r="A58" s="28">
        <v>45998.692557870374</v>
      </c>
      <c r="B58" s="29" t="s">
        <v>10</v>
      </c>
      <c r="C58" s="29" t="s">
        <v>256</v>
      </c>
      <c r="D58" s="29" t="s">
        <v>252</v>
      </c>
      <c r="E58" s="29" t="s">
        <v>10</v>
      </c>
      <c r="F58" s="30">
        <v>41692</v>
      </c>
      <c r="G58" s="29" t="s">
        <v>253</v>
      </c>
      <c r="H58" s="29" t="s">
        <v>254</v>
      </c>
      <c r="I58" s="29" t="s">
        <v>2</v>
      </c>
      <c r="J58" s="31" t="s">
        <v>1115</v>
      </c>
      <c r="K58" s="29" t="s">
        <v>1116</v>
      </c>
      <c r="L58" s="29" t="s">
        <v>251</v>
      </c>
      <c r="M58" s="32" t="s">
        <v>1117</v>
      </c>
    </row>
    <row r="59" spans="1:13" ht="15.75" thickBot="1" x14ac:dyDescent="0.3">
      <c r="A59" s="33">
        <v>45998.741574074076</v>
      </c>
      <c r="B59" s="34" t="s">
        <v>998</v>
      </c>
      <c r="C59" s="34" t="s">
        <v>214</v>
      </c>
      <c r="D59" s="34" t="s">
        <v>1118</v>
      </c>
      <c r="E59" s="34" t="s">
        <v>59</v>
      </c>
      <c r="F59" s="35">
        <v>42628</v>
      </c>
      <c r="G59" s="34" t="s">
        <v>1119</v>
      </c>
      <c r="H59" s="34" t="s">
        <v>1120</v>
      </c>
      <c r="I59" s="34" t="s">
        <v>66</v>
      </c>
      <c r="J59" s="36" t="s">
        <v>1121</v>
      </c>
      <c r="K59" s="34" t="s">
        <v>1122</v>
      </c>
      <c r="L59" s="34" t="s">
        <v>3127</v>
      </c>
      <c r="M59" s="38"/>
    </row>
    <row r="60" spans="1:13" ht="15.75" thickBot="1" x14ac:dyDescent="0.3">
      <c r="A60" s="28">
        <v>45998.742962962962</v>
      </c>
      <c r="B60" s="29" t="s">
        <v>998</v>
      </c>
      <c r="C60" s="29" t="s">
        <v>214</v>
      </c>
      <c r="D60" s="29" t="s">
        <v>1123</v>
      </c>
      <c r="E60" s="29" t="s">
        <v>10</v>
      </c>
      <c r="F60" s="30">
        <v>42108</v>
      </c>
      <c r="G60" s="29" t="s">
        <v>1124</v>
      </c>
      <c r="H60" s="29" t="s">
        <v>1125</v>
      </c>
      <c r="I60" s="29" t="s">
        <v>2</v>
      </c>
      <c r="J60" s="31" t="s">
        <v>1126</v>
      </c>
      <c r="K60" s="29" t="s">
        <v>1127</v>
      </c>
      <c r="L60" s="29" t="s">
        <v>3128</v>
      </c>
      <c r="M60" s="126"/>
    </row>
    <row r="61" spans="1:13" ht="15.75" thickBot="1" x14ac:dyDescent="0.3">
      <c r="A61" s="33">
        <v>45998.761423611111</v>
      </c>
      <c r="B61" s="34" t="s">
        <v>998</v>
      </c>
      <c r="C61" s="34" t="s">
        <v>319</v>
      </c>
      <c r="D61" s="34" t="s">
        <v>1128</v>
      </c>
      <c r="E61" s="34" t="s">
        <v>10</v>
      </c>
      <c r="F61" s="35">
        <v>40836</v>
      </c>
      <c r="G61" s="34" t="s">
        <v>1129</v>
      </c>
      <c r="H61" s="34" t="s">
        <v>1130</v>
      </c>
      <c r="I61" s="34" t="s">
        <v>66</v>
      </c>
      <c r="J61" s="36" t="s">
        <v>1131</v>
      </c>
      <c r="K61" s="34" t="s">
        <v>1132</v>
      </c>
      <c r="L61" s="34" t="s">
        <v>3129</v>
      </c>
      <c r="M61" s="38"/>
    </row>
    <row r="62" spans="1:13" ht="15.75" thickBot="1" x14ac:dyDescent="0.3">
      <c r="A62" s="28">
        <v>45998.794594907406</v>
      </c>
      <c r="B62" s="29" t="s">
        <v>998</v>
      </c>
      <c r="C62" s="29" t="s">
        <v>214</v>
      </c>
      <c r="D62" s="29" t="s">
        <v>1133</v>
      </c>
      <c r="E62" s="29" t="s">
        <v>10</v>
      </c>
      <c r="F62" s="30">
        <v>41588</v>
      </c>
      <c r="G62" s="29" t="s">
        <v>1134</v>
      </c>
      <c r="H62" s="29" t="s">
        <v>1135</v>
      </c>
      <c r="I62" s="29" t="s">
        <v>66</v>
      </c>
      <c r="J62" s="31" t="s">
        <v>1136</v>
      </c>
      <c r="K62" s="29" t="s">
        <v>1137</v>
      </c>
      <c r="L62" s="29" t="s">
        <v>3130</v>
      </c>
      <c r="M62" s="126"/>
    </row>
    <row r="63" spans="1:13" ht="15.75" thickBot="1" x14ac:dyDescent="0.3">
      <c r="A63" s="33">
        <v>45998.826412037037</v>
      </c>
      <c r="B63" s="34" t="s">
        <v>998</v>
      </c>
      <c r="C63" s="34" t="s">
        <v>214</v>
      </c>
      <c r="D63" s="34" t="s">
        <v>1138</v>
      </c>
      <c r="E63" s="34" t="s">
        <v>59</v>
      </c>
      <c r="F63" s="35">
        <v>42629</v>
      </c>
      <c r="G63" s="34" t="s">
        <v>1139</v>
      </c>
      <c r="H63" s="34" t="s">
        <v>1140</v>
      </c>
      <c r="I63" s="34" t="s">
        <v>66</v>
      </c>
      <c r="J63" s="36" t="s">
        <v>1141</v>
      </c>
      <c r="K63" s="34" t="s">
        <v>1142</v>
      </c>
      <c r="L63" s="34" t="s">
        <v>3131</v>
      </c>
      <c r="M63" s="38"/>
    </row>
    <row r="64" spans="1:13" ht="15.75" thickBot="1" x14ac:dyDescent="0.3">
      <c r="A64" s="28">
        <v>45998.851597222223</v>
      </c>
      <c r="B64" s="29" t="s">
        <v>998</v>
      </c>
      <c r="C64" s="29" t="s">
        <v>214</v>
      </c>
      <c r="D64" s="29" t="s">
        <v>1143</v>
      </c>
      <c r="E64" s="29" t="s">
        <v>59</v>
      </c>
      <c r="F64" s="30">
        <v>42334</v>
      </c>
      <c r="G64" s="29" t="s">
        <v>1144</v>
      </c>
      <c r="H64" s="29" t="s">
        <v>1145</v>
      </c>
      <c r="I64" s="29" t="s">
        <v>66</v>
      </c>
      <c r="J64" s="31" t="s">
        <v>1146</v>
      </c>
      <c r="K64" s="29" t="s">
        <v>1147</v>
      </c>
      <c r="L64" s="29" t="s">
        <v>3132</v>
      </c>
      <c r="M64" s="126"/>
    </row>
    <row r="65" spans="1:13" ht="15.75" thickBot="1" x14ac:dyDescent="0.3">
      <c r="A65" s="33">
        <v>45998.892847222225</v>
      </c>
      <c r="B65" s="34" t="s">
        <v>998</v>
      </c>
      <c r="C65" s="34" t="s">
        <v>214</v>
      </c>
      <c r="D65" s="34" t="s">
        <v>1143</v>
      </c>
      <c r="E65" s="34" t="s">
        <v>59</v>
      </c>
      <c r="F65" s="35">
        <v>42334</v>
      </c>
      <c r="G65" s="34" t="s">
        <v>1144</v>
      </c>
      <c r="H65" s="34" t="s">
        <v>1145</v>
      </c>
      <c r="I65" s="34" t="s">
        <v>66</v>
      </c>
      <c r="J65" s="36" t="s">
        <v>1148</v>
      </c>
      <c r="K65" s="34" t="s">
        <v>1149</v>
      </c>
      <c r="L65" s="34" t="s">
        <v>3133</v>
      </c>
      <c r="M65" s="38"/>
    </row>
    <row r="66" spans="1:13" ht="15.75" thickBot="1" x14ac:dyDescent="0.3">
      <c r="A66" s="28">
        <v>45999.208379629628</v>
      </c>
      <c r="B66" s="29" t="s">
        <v>10</v>
      </c>
      <c r="C66" s="29" t="s">
        <v>14</v>
      </c>
      <c r="D66" s="29" t="s">
        <v>258</v>
      </c>
      <c r="E66" s="29" t="s">
        <v>259</v>
      </c>
      <c r="F66" s="30">
        <v>42162</v>
      </c>
      <c r="G66" s="29" t="s">
        <v>260</v>
      </c>
      <c r="H66" s="29" t="s">
        <v>261</v>
      </c>
      <c r="I66" s="29" t="s">
        <v>2</v>
      </c>
      <c r="J66" s="31" t="s">
        <v>1150</v>
      </c>
      <c r="K66" s="29" t="s">
        <v>1151</v>
      </c>
      <c r="L66" s="29" t="s">
        <v>257</v>
      </c>
      <c r="M66" s="32" t="s">
        <v>1152</v>
      </c>
    </row>
    <row r="67" spans="1:13" ht="15.75" thickBot="1" x14ac:dyDescent="0.3">
      <c r="A67" s="33">
        <v>45999.226817129631</v>
      </c>
      <c r="B67" s="34" t="s">
        <v>1153</v>
      </c>
      <c r="C67" s="34" t="s">
        <v>256</v>
      </c>
      <c r="D67" s="34" t="s">
        <v>1154</v>
      </c>
      <c r="E67" s="34" t="s">
        <v>1155</v>
      </c>
      <c r="F67" s="35">
        <v>42269</v>
      </c>
      <c r="G67" s="34" t="s">
        <v>1156</v>
      </c>
      <c r="H67" s="34" t="s">
        <v>1157</v>
      </c>
      <c r="I67" s="34" t="s">
        <v>2</v>
      </c>
      <c r="J67" s="36" t="s">
        <v>1158</v>
      </c>
      <c r="K67" s="34" t="s">
        <v>1159</v>
      </c>
      <c r="L67" s="34" t="s">
        <v>3152</v>
      </c>
      <c r="M67" s="38"/>
    </row>
    <row r="68" spans="1:13" ht="15.75" thickBot="1" x14ac:dyDescent="0.3">
      <c r="A68" s="28">
        <v>45999.232488425929</v>
      </c>
      <c r="B68" s="29" t="s">
        <v>953</v>
      </c>
      <c r="C68" s="29" t="s">
        <v>268</v>
      </c>
      <c r="D68" s="29" t="s">
        <v>264</v>
      </c>
      <c r="E68" s="29" t="s">
        <v>10</v>
      </c>
      <c r="F68" s="30">
        <v>42318</v>
      </c>
      <c r="G68" s="29" t="s">
        <v>265</v>
      </c>
      <c r="H68" s="29" t="s">
        <v>266</v>
      </c>
      <c r="I68" s="29" t="s">
        <v>2</v>
      </c>
      <c r="J68" s="31" t="s">
        <v>1160</v>
      </c>
      <c r="K68" s="29" t="s">
        <v>1161</v>
      </c>
      <c r="L68" s="29" t="s">
        <v>263</v>
      </c>
      <c r="M68" s="32" t="s">
        <v>1162</v>
      </c>
    </row>
    <row r="69" spans="1:13" ht="15.75" thickBot="1" x14ac:dyDescent="0.3">
      <c r="A69" s="33">
        <v>45999.268159722225</v>
      </c>
      <c r="B69" s="34" t="s">
        <v>953</v>
      </c>
      <c r="C69" s="34" t="s">
        <v>268</v>
      </c>
      <c r="D69" s="34" t="s">
        <v>270</v>
      </c>
      <c r="E69" s="34" t="s">
        <v>10</v>
      </c>
      <c r="F69" s="35">
        <v>42312</v>
      </c>
      <c r="G69" s="34" t="s">
        <v>271</v>
      </c>
      <c r="H69" s="34" t="s">
        <v>272</v>
      </c>
      <c r="I69" s="34" t="s">
        <v>2</v>
      </c>
      <c r="J69" s="36" t="s">
        <v>1163</v>
      </c>
      <c r="K69" s="34" t="s">
        <v>1164</v>
      </c>
      <c r="L69" s="34" t="s">
        <v>269</v>
      </c>
      <c r="M69" s="37" t="s">
        <v>1165</v>
      </c>
    </row>
    <row r="70" spans="1:13" ht="15.75" thickBot="1" x14ac:dyDescent="0.3">
      <c r="A70" s="28">
        <v>45999.285891203705</v>
      </c>
      <c r="B70" s="29" t="s">
        <v>953</v>
      </c>
      <c r="C70" s="29" t="s">
        <v>268</v>
      </c>
      <c r="D70" s="29" t="s">
        <v>275</v>
      </c>
      <c r="E70" s="29" t="s">
        <v>116</v>
      </c>
      <c r="F70" s="30">
        <v>42191</v>
      </c>
      <c r="G70" s="29" t="s">
        <v>276</v>
      </c>
      <c r="H70" s="29" t="s">
        <v>277</v>
      </c>
      <c r="I70" s="29" t="s">
        <v>2</v>
      </c>
      <c r="J70" s="31" t="s">
        <v>1166</v>
      </c>
      <c r="K70" s="29" t="s">
        <v>1167</v>
      </c>
      <c r="L70" s="29" t="s">
        <v>274</v>
      </c>
      <c r="M70" s="32" t="s">
        <v>1168</v>
      </c>
    </row>
    <row r="71" spans="1:13" ht="15.75" thickBot="1" x14ac:dyDescent="0.3">
      <c r="A71" s="33">
        <v>45999.288935185185</v>
      </c>
      <c r="B71" s="34" t="s">
        <v>10</v>
      </c>
      <c r="C71" s="34" t="s">
        <v>14</v>
      </c>
      <c r="D71" s="34" t="s">
        <v>280</v>
      </c>
      <c r="E71" s="34" t="s">
        <v>28</v>
      </c>
      <c r="F71" s="35">
        <v>42022</v>
      </c>
      <c r="G71" s="34" t="s">
        <v>281</v>
      </c>
      <c r="H71" s="34" t="s">
        <v>282</v>
      </c>
      <c r="I71" s="34" t="s">
        <v>66</v>
      </c>
      <c r="J71" s="36" t="s">
        <v>1169</v>
      </c>
      <c r="K71" s="34" t="s">
        <v>1170</v>
      </c>
      <c r="L71" s="34" t="s">
        <v>279</v>
      </c>
      <c r="M71" s="37" t="s">
        <v>1171</v>
      </c>
    </row>
    <row r="72" spans="1:13" ht="15.75" thickBot="1" x14ac:dyDescent="0.3">
      <c r="A72" s="28">
        <v>45999.311712962961</v>
      </c>
      <c r="B72" s="29" t="s">
        <v>953</v>
      </c>
      <c r="C72" s="29" t="s">
        <v>289</v>
      </c>
      <c r="D72" s="29" t="s">
        <v>285</v>
      </c>
      <c r="E72" s="29" t="s">
        <v>28</v>
      </c>
      <c r="F72" s="30">
        <v>41826</v>
      </c>
      <c r="G72" s="29" t="s">
        <v>286</v>
      </c>
      <c r="H72" s="29" t="s">
        <v>287</v>
      </c>
      <c r="I72" s="29" t="s">
        <v>2</v>
      </c>
      <c r="J72" s="31" t="s">
        <v>1172</v>
      </c>
      <c r="K72" s="29" t="s">
        <v>1173</v>
      </c>
      <c r="L72" s="29" t="s">
        <v>284</v>
      </c>
      <c r="M72" s="32" t="s">
        <v>1174</v>
      </c>
    </row>
    <row r="73" spans="1:13" ht="15.75" thickBot="1" x14ac:dyDescent="0.3">
      <c r="A73" s="33">
        <v>45999.319699074076</v>
      </c>
      <c r="B73" s="34" t="s">
        <v>953</v>
      </c>
      <c r="C73" s="34" t="s">
        <v>289</v>
      </c>
      <c r="D73" s="34" t="s">
        <v>291</v>
      </c>
      <c r="E73" s="34" t="s">
        <v>28</v>
      </c>
      <c r="F73" s="35">
        <v>41995</v>
      </c>
      <c r="G73" s="34" t="s">
        <v>292</v>
      </c>
      <c r="H73" s="34" t="s">
        <v>293</v>
      </c>
      <c r="I73" s="34" t="s">
        <v>2</v>
      </c>
      <c r="J73" s="36" t="s">
        <v>1175</v>
      </c>
      <c r="K73" s="34" t="s">
        <v>1176</v>
      </c>
      <c r="L73" s="34" t="s">
        <v>290</v>
      </c>
      <c r="M73" s="37" t="s">
        <v>1177</v>
      </c>
    </row>
    <row r="74" spans="1:13" ht="15.75" thickBot="1" x14ac:dyDescent="0.3">
      <c r="A74" s="28">
        <v>45999.323113425926</v>
      </c>
      <c r="B74" s="29" t="s">
        <v>10</v>
      </c>
      <c r="C74" s="29" t="s">
        <v>14</v>
      </c>
      <c r="D74" s="29" t="s">
        <v>296</v>
      </c>
      <c r="E74" s="29" t="s">
        <v>10</v>
      </c>
      <c r="F74" s="30">
        <v>41644</v>
      </c>
      <c r="G74" s="29" t="s">
        <v>297</v>
      </c>
      <c r="H74" s="29" t="s">
        <v>298</v>
      </c>
      <c r="I74" s="29" t="s">
        <v>2</v>
      </c>
      <c r="J74" s="31" t="s">
        <v>1178</v>
      </c>
      <c r="K74" s="29" t="s">
        <v>1179</v>
      </c>
      <c r="L74" s="29" t="s">
        <v>295</v>
      </c>
      <c r="M74" s="32" t="s">
        <v>1180</v>
      </c>
    </row>
    <row r="75" spans="1:13" ht="15.75" thickBot="1" x14ac:dyDescent="0.3">
      <c r="A75" s="33">
        <v>45999.327546296299</v>
      </c>
      <c r="B75" s="34" t="s">
        <v>998</v>
      </c>
      <c r="C75" s="34" t="s">
        <v>1181</v>
      </c>
      <c r="D75" s="34" t="s">
        <v>1182</v>
      </c>
      <c r="E75" s="34" t="s">
        <v>28</v>
      </c>
      <c r="F75" s="35">
        <v>42069</v>
      </c>
      <c r="G75" s="34" t="s">
        <v>1183</v>
      </c>
      <c r="H75" s="34" t="s">
        <v>1184</v>
      </c>
      <c r="I75" s="34" t="s">
        <v>66</v>
      </c>
      <c r="J75" s="36" t="s">
        <v>1185</v>
      </c>
      <c r="K75" s="34" t="s">
        <v>1186</v>
      </c>
      <c r="L75" s="34" t="s">
        <v>3134</v>
      </c>
      <c r="M75" s="38"/>
    </row>
    <row r="76" spans="1:13" ht="15.75" thickBot="1" x14ac:dyDescent="0.3">
      <c r="A76" s="28">
        <v>45999.342673611114</v>
      </c>
      <c r="B76" s="29" t="s">
        <v>10</v>
      </c>
      <c r="C76" s="29" t="s">
        <v>14</v>
      </c>
      <c r="D76" s="29" t="s">
        <v>301</v>
      </c>
      <c r="E76" s="29" t="s">
        <v>10</v>
      </c>
      <c r="F76" s="30">
        <v>42367</v>
      </c>
      <c r="G76" s="29" t="s">
        <v>302</v>
      </c>
      <c r="H76" s="29" t="s">
        <v>303</v>
      </c>
      <c r="I76" s="29" t="s">
        <v>2</v>
      </c>
      <c r="J76" s="31" t="s">
        <v>1187</v>
      </c>
      <c r="K76" s="29" t="s">
        <v>1188</v>
      </c>
      <c r="L76" s="29" t="s">
        <v>300</v>
      </c>
      <c r="M76" s="32" t="s">
        <v>1189</v>
      </c>
    </row>
    <row r="77" spans="1:13" ht="15.75" thickBot="1" x14ac:dyDescent="0.3">
      <c r="A77" s="33">
        <v>45999.346712962964</v>
      </c>
      <c r="B77" s="34" t="s">
        <v>1153</v>
      </c>
      <c r="C77" s="34" t="s">
        <v>1190</v>
      </c>
      <c r="D77" s="34" t="s">
        <v>1191</v>
      </c>
      <c r="E77" s="34" t="s">
        <v>28</v>
      </c>
      <c r="F77" s="35">
        <v>41633</v>
      </c>
      <c r="G77" s="34" t="s">
        <v>1192</v>
      </c>
      <c r="H77" s="34" t="s">
        <v>1193</v>
      </c>
      <c r="I77" s="34" t="s">
        <v>66</v>
      </c>
      <c r="J77" s="36" t="s">
        <v>1194</v>
      </c>
      <c r="K77" s="34" t="s">
        <v>1195</v>
      </c>
      <c r="L77" s="34" t="s">
        <v>3017</v>
      </c>
      <c r="M77" s="38"/>
    </row>
    <row r="78" spans="1:13" ht="15.75" thickBot="1" x14ac:dyDescent="0.3">
      <c r="A78" s="28">
        <v>45999.350659722222</v>
      </c>
      <c r="B78" s="29" t="s">
        <v>1153</v>
      </c>
      <c r="C78" s="29" t="s">
        <v>1190</v>
      </c>
      <c r="D78" s="29" t="s">
        <v>1196</v>
      </c>
      <c r="E78" s="29" t="s">
        <v>28</v>
      </c>
      <c r="F78" s="30">
        <v>40962</v>
      </c>
      <c r="G78" s="29" t="s">
        <v>1197</v>
      </c>
      <c r="H78" s="29" t="s">
        <v>1198</v>
      </c>
      <c r="I78" s="29" t="s">
        <v>2</v>
      </c>
      <c r="J78" s="31" t="s">
        <v>1199</v>
      </c>
      <c r="K78" s="29" t="s">
        <v>1200</v>
      </c>
      <c r="L78" s="29" t="s">
        <v>3018</v>
      </c>
      <c r="M78" s="126"/>
    </row>
    <row r="79" spans="1:13" ht="15.75" thickBot="1" x14ac:dyDescent="0.3">
      <c r="A79" s="33">
        <v>45999.354155092595</v>
      </c>
      <c r="B79" s="34" t="s">
        <v>998</v>
      </c>
      <c r="C79" s="34" t="s">
        <v>1201</v>
      </c>
      <c r="D79" s="34" t="s">
        <v>1202</v>
      </c>
      <c r="E79" s="34" t="s">
        <v>28</v>
      </c>
      <c r="F79" s="35">
        <v>42095</v>
      </c>
      <c r="G79" s="34" t="s">
        <v>1203</v>
      </c>
      <c r="H79" s="34" t="s">
        <v>1204</v>
      </c>
      <c r="I79" s="34" t="s">
        <v>66</v>
      </c>
      <c r="J79" s="36" t="s">
        <v>1205</v>
      </c>
      <c r="K79" s="34" t="s">
        <v>1206</v>
      </c>
      <c r="L79" s="34" t="s">
        <v>3135</v>
      </c>
      <c r="M79" s="38"/>
    </row>
    <row r="80" spans="1:13" ht="15.75" thickBot="1" x14ac:dyDescent="0.3">
      <c r="A80" s="28">
        <v>45999.358749999999</v>
      </c>
      <c r="B80" s="29" t="s">
        <v>1153</v>
      </c>
      <c r="C80" s="29" t="s">
        <v>1190</v>
      </c>
      <c r="D80" s="29" t="s">
        <v>1207</v>
      </c>
      <c r="E80" s="29" t="s">
        <v>28</v>
      </c>
      <c r="F80" s="30">
        <v>41907</v>
      </c>
      <c r="G80" s="29" t="s">
        <v>1208</v>
      </c>
      <c r="H80" s="29" t="s">
        <v>1209</v>
      </c>
      <c r="I80" s="29" t="s">
        <v>2</v>
      </c>
      <c r="J80" s="31" t="s">
        <v>1210</v>
      </c>
      <c r="K80" s="29" t="s">
        <v>1211</v>
      </c>
      <c r="L80" s="29" t="s">
        <v>3019</v>
      </c>
      <c r="M80" s="126"/>
    </row>
    <row r="81" spans="1:13" ht="15.75" thickBot="1" x14ac:dyDescent="0.3">
      <c r="A81" s="33">
        <v>45999.360659722224</v>
      </c>
      <c r="B81" s="34" t="s">
        <v>1153</v>
      </c>
      <c r="C81" s="34" t="s">
        <v>1190</v>
      </c>
      <c r="D81" s="34" t="s">
        <v>1212</v>
      </c>
      <c r="E81" s="34" t="s">
        <v>28</v>
      </c>
      <c r="F81" s="35">
        <v>41674</v>
      </c>
      <c r="G81" s="34" t="s">
        <v>1213</v>
      </c>
      <c r="H81" s="34" t="s">
        <v>1214</v>
      </c>
      <c r="I81" s="34" t="s">
        <v>2</v>
      </c>
      <c r="J81" s="36" t="s">
        <v>1215</v>
      </c>
      <c r="K81" s="34" t="s">
        <v>1216</v>
      </c>
      <c r="L81" s="34" t="s">
        <v>3020</v>
      </c>
      <c r="M81" s="38"/>
    </row>
    <row r="82" spans="1:13" ht="15.75" thickBot="1" x14ac:dyDescent="0.3">
      <c r="A82" s="28">
        <v>45999.362696759257</v>
      </c>
      <c r="B82" s="29" t="s">
        <v>1153</v>
      </c>
      <c r="C82" s="29" t="s">
        <v>1190</v>
      </c>
      <c r="D82" s="29" t="s">
        <v>1217</v>
      </c>
      <c r="E82" s="29" t="s">
        <v>28</v>
      </c>
      <c r="F82" s="30">
        <v>41481</v>
      </c>
      <c r="G82" s="29" t="s">
        <v>1218</v>
      </c>
      <c r="H82" s="29" t="s">
        <v>1219</v>
      </c>
      <c r="I82" s="29" t="s">
        <v>2</v>
      </c>
      <c r="J82" s="31" t="s">
        <v>1220</v>
      </c>
      <c r="K82" s="29" t="s">
        <v>1221</v>
      </c>
      <c r="L82" s="29" t="s">
        <v>3021</v>
      </c>
      <c r="M82" s="126"/>
    </row>
    <row r="83" spans="1:13" ht="15.75" thickBot="1" x14ac:dyDescent="0.3">
      <c r="A83" s="33">
        <v>45999.364212962966</v>
      </c>
      <c r="B83" s="34" t="s">
        <v>1153</v>
      </c>
      <c r="C83" s="34" t="s">
        <v>1190</v>
      </c>
      <c r="D83" s="34" t="s">
        <v>1222</v>
      </c>
      <c r="E83" s="34" t="s">
        <v>28</v>
      </c>
      <c r="F83" s="35">
        <v>41783</v>
      </c>
      <c r="G83" s="34" t="s">
        <v>1223</v>
      </c>
      <c r="H83" s="34" t="s">
        <v>1224</v>
      </c>
      <c r="I83" s="34" t="s">
        <v>2</v>
      </c>
      <c r="J83" s="36" t="s">
        <v>1225</v>
      </c>
      <c r="K83" s="34" t="s">
        <v>1226</v>
      </c>
      <c r="L83" s="34" t="s">
        <v>3022</v>
      </c>
      <c r="M83" s="38"/>
    </row>
    <row r="84" spans="1:13" ht="15.75" thickBot="1" x14ac:dyDescent="0.3">
      <c r="A84" s="28">
        <v>45999.367615740739</v>
      </c>
      <c r="B84" s="29" t="s">
        <v>998</v>
      </c>
      <c r="C84" s="29" t="s">
        <v>1201</v>
      </c>
      <c r="D84" s="29" t="s">
        <v>1227</v>
      </c>
      <c r="E84" s="29" t="s">
        <v>10</v>
      </c>
      <c r="F84" s="30">
        <v>41750</v>
      </c>
      <c r="G84" s="29" t="s">
        <v>1228</v>
      </c>
      <c r="H84" s="29" t="s">
        <v>1229</v>
      </c>
      <c r="I84" s="29" t="s">
        <v>66</v>
      </c>
      <c r="J84" s="31" t="s">
        <v>1230</v>
      </c>
      <c r="K84" s="29" t="s">
        <v>1231</v>
      </c>
      <c r="L84" s="29" t="s">
        <v>3136</v>
      </c>
      <c r="M84" s="126"/>
    </row>
    <row r="85" spans="1:13" ht="15.75" thickBot="1" x14ac:dyDescent="0.3">
      <c r="A85" s="33">
        <v>45999.374583333331</v>
      </c>
      <c r="B85" s="34" t="s">
        <v>953</v>
      </c>
      <c r="C85" s="34" t="s">
        <v>268</v>
      </c>
      <c r="D85" s="34" t="s">
        <v>306</v>
      </c>
      <c r="E85" s="34" t="s">
        <v>10</v>
      </c>
      <c r="F85" s="35">
        <v>42542</v>
      </c>
      <c r="G85" s="34" t="s">
        <v>307</v>
      </c>
      <c r="H85" s="34" t="s">
        <v>308</v>
      </c>
      <c r="I85" s="34" t="s">
        <v>2</v>
      </c>
      <c r="J85" s="36" t="s">
        <v>1232</v>
      </c>
      <c r="K85" s="34" t="s">
        <v>1233</v>
      </c>
      <c r="L85" s="34" t="s">
        <v>305</v>
      </c>
      <c r="M85" s="37" t="s">
        <v>1234</v>
      </c>
    </row>
    <row r="86" spans="1:13" ht="15.75" thickBot="1" x14ac:dyDescent="0.3">
      <c r="A86" s="28">
        <v>45999.37462962963</v>
      </c>
      <c r="B86" s="29" t="s">
        <v>953</v>
      </c>
      <c r="C86" s="29" t="s">
        <v>268</v>
      </c>
      <c r="D86" s="29" t="s">
        <v>306</v>
      </c>
      <c r="E86" s="29" t="s">
        <v>10</v>
      </c>
      <c r="F86" s="30">
        <v>42542</v>
      </c>
      <c r="G86" s="29" t="s">
        <v>311</v>
      </c>
      <c r="H86" s="29" t="s">
        <v>308</v>
      </c>
      <c r="I86" s="29" t="s">
        <v>2</v>
      </c>
      <c r="J86" s="31" t="s">
        <v>1235</v>
      </c>
      <c r="K86" s="29" t="s">
        <v>1236</v>
      </c>
      <c r="L86" s="29" t="s">
        <v>310</v>
      </c>
      <c r="M86" s="32" t="s">
        <v>1237</v>
      </c>
    </row>
    <row r="87" spans="1:13" ht="15.75" thickBot="1" x14ac:dyDescent="0.3">
      <c r="A87" s="33">
        <v>45999.389027777775</v>
      </c>
      <c r="B87" s="34" t="s">
        <v>1153</v>
      </c>
      <c r="C87" s="34" t="s">
        <v>1238</v>
      </c>
      <c r="D87" s="34" t="s">
        <v>1239</v>
      </c>
      <c r="E87" s="34" t="s">
        <v>10</v>
      </c>
      <c r="F87" s="35">
        <v>42043</v>
      </c>
      <c r="G87" s="34" t="s">
        <v>1240</v>
      </c>
      <c r="H87" s="34" t="s">
        <v>1241</v>
      </c>
      <c r="I87" s="34" t="s">
        <v>66</v>
      </c>
      <c r="J87" s="36" t="s">
        <v>1242</v>
      </c>
      <c r="K87" s="34" t="s">
        <v>1243</v>
      </c>
      <c r="L87" s="34" t="s">
        <v>3023</v>
      </c>
      <c r="M87" s="38"/>
    </row>
    <row r="88" spans="1:13" ht="15.75" thickBot="1" x14ac:dyDescent="0.3">
      <c r="A88" s="28">
        <v>45999.423275462963</v>
      </c>
      <c r="B88" s="29" t="s">
        <v>10</v>
      </c>
      <c r="C88" s="29" t="s">
        <v>319</v>
      </c>
      <c r="D88" s="29" t="s">
        <v>314</v>
      </c>
      <c r="E88" s="29" t="s">
        <v>315</v>
      </c>
      <c r="F88" s="30">
        <v>40393</v>
      </c>
      <c r="G88" s="29" t="s">
        <v>316</v>
      </c>
      <c r="H88" s="29" t="s">
        <v>317</v>
      </c>
      <c r="I88" s="29" t="s">
        <v>66</v>
      </c>
      <c r="J88" s="31" t="s">
        <v>1244</v>
      </c>
      <c r="K88" s="29" t="s">
        <v>1245</v>
      </c>
      <c r="L88" s="29" t="s">
        <v>313</v>
      </c>
      <c r="M88" s="32" t="s">
        <v>1246</v>
      </c>
    </row>
    <row r="89" spans="1:13" ht="15.75" thickBot="1" x14ac:dyDescent="0.3">
      <c r="A89" s="33">
        <v>45999.423483796294</v>
      </c>
      <c r="B89" s="34" t="s">
        <v>10</v>
      </c>
      <c r="C89" s="34" t="s">
        <v>14</v>
      </c>
      <c r="D89" s="34" t="s">
        <v>321</v>
      </c>
      <c r="E89" s="34" t="s">
        <v>322</v>
      </c>
      <c r="F89" s="35">
        <v>42501</v>
      </c>
      <c r="G89" s="34" t="s">
        <v>323</v>
      </c>
      <c r="H89" s="34" t="s">
        <v>324</v>
      </c>
      <c r="I89" s="34" t="s">
        <v>2</v>
      </c>
      <c r="J89" s="36" t="s">
        <v>1247</v>
      </c>
      <c r="K89" s="34" t="s">
        <v>1248</v>
      </c>
      <c r="L89" s="34" t="s">
        <v>320</v>
      </c>
      <c r="M89" s="37" t="s">
        <v>1249</v>
      </c>
    </row>
    <row r="90" spans="1:13" ht="15.75" thickBot="1" x14ac:dyDescent="0.3">
      <c r="A90" s="28">
        <v>45999.431342592594</v>
      </c>
      <c r="B90" s="29" t="s">
        <v>905</v>
      </c>
      <c r="C90" s="29" t="s">
        <v>332</v>
      </c>
      <c r="D90" s="29" t="s">
        <v>327</v>
      </c>
      <c r="E90" s="29" t="s">
        <v>328</v>
      </c>
      <c r="F90" s="30">
        <v>40488</v>
      </c>
      <c r="G90" s="29" t="s">
        <v>329</v>
      </c>
      <c r="H90" s="29" t="s">
        <v>330</v>
      </c>
      <c r="I90" s="29" t="s">
        <v>66</v>
      </c>
      <c r="J90" s="31" t="s">
        <v>1250</v>
      </c>
      <c r="K90" s="29" t="s">
        <v>1251</v>
      </c>
      <c r="L90" s="29" t="s">
        <v>326</v>
      </c>
      <c r="M90" s="32" t="s">
        <v>1252</v>
      </c>
    </row>
    <row r="91" spans="1:13" ht="15.75" thickBot="1" x14ac:dyDescent="0.3">
      <c r="A91" s="33">
        <v>45999.433692129627</v>
      </c>
      <c r="B91" s="34" t="s">
        <v>998</v>
      </c>
      <c r="C91" s="34" t="s">
        <v>1253</v>
      </c>
      <c r="D91" s="34" t="s">
        <v>1254</v>
      </c>
      <c r="E91" s="34" t="s">
        <v>1255</v>
      </c>
      <c r="F91" s="35">
        <v>40671</v>
      </c>
      <c r="G91" s="34" t="s">
        <v>1256</v>
      </c>
      <c r="H91" s="34" t="s">
        <v>1257</v>
      </c>
      <c r="I91" s="34" t="s">
        <v>2</v>
      </c>
      <c r="J91" s="36" t="s">
        <v>1258</v>
      </c>
      <c r="K91" s="34" t="s">
        <v>1259</v>
      </c>
      <c r="L91" s="34" t="s">
        <v>3137</v>
      </c>
      <c r="M91" s="38"/>
    </row>
    <row r="92" spans="1:13" ht="15.75" thickBot="1" x14ac:dyDescent="0.3">
      <c r="A92" s="28">
        <v>45999.439074074071</v>
      </c>
      <c r="B92" s="29" t="s">
        <v>1153</v>
      </c>
      <c r="C92" s="29" t="s">
        <v>1260</v>
      </c>
      <c r="D92" s="29" t="s">
        <v>1261</v>
      </c>
      <c r="E92" s="29" t="s">
        <v>10</v>
      </c>
      <c r="F92" s="30">
        <v>43233</v>
      </c>
      <c r="G92" s="29" t="s">
        <v>1262</v>
      </c>
      <c r="H92" s="29" t="s">
        <v>1263</v>
      </c>
      <c r="I92" s="29" t="s">
        <v>66</v>
      </c>
      <c r="J92" s="31" t="s">
        <v>1264</v>
      </c>
      <c r="K92" s="29" t="s">
        <v>1265</v>
      </c>
      <c r="L92" s="29" t="s">
        <v>3024</v>
      </c>
      <c r="M92" s="126"/>
    </row>
    <row r="93" spans="1:13" ht="15.75" thickBot="1" x14ac:dyDescent="0.3">
      <c r="A93" s="33">
        <v>45999.45753472222</v>
      </c>
      <c r="B93" s="34" t="s">
        <v>998</v>
      </c>
      <c r="C93" s="34" t="s">
        <v>1253</v>
      </c>
      <c r="D93" s="34" t="s">
        <v>1266</v>
      </c>
      <c r="E93" s="34" t="s">
        <v>1255</v>
      </c>
      <c r="F93" s="35">
        <v>40505</v>
      </c>
      <c r="G93" s="34" t="s">
        <v>1267</v>
      </c>
      <c r="H93" s="34" t="s">
        <v>1268</v>
      </c>
      <c r="I93" s="34" t="s">
        <v>728</v>
      </c>
      <c r="J93" s="36" t="s">
        <v>1269</v>
      </c>
      <c r="K93" s="34" t="s">
        <v>1270</v>
      </c>
      <c r="L93" s="34" t="s">
        <v>3138</v>
      </c>
      <c r="M93" s="38"/>
    </row>
    <row r="94" spans="1:13" ht="15.75" thickBot="1" x14ac:dyDescent="0.3">
      <c r="A94" s="28">
        <v>45999.470185185186</v>
      </c>
      <c r="B94" s="29" t="s">
        <v>1153</v>
      </c>
      <c r="C94" s="29" t="s">
        <v>1260</v>
      </c>
      <c r="D94" s="29" t="s">
        <v>1271</v>
      </c>
      <c r="E94" s="29" t="s">
        <v>10</v>
      </c>
      <c r="F94" s="30">
        <v>43587</v>
      </c>
      <c r="G94" s="29" t="s">
        <v>1272</v>
      </c>
      <c r="H94" s="29" t="s">
        <v>1273</v>
      </c>
      <c r="I94" s="29" t="s">
        <v>2</v>
      </c>
      <c r="J94" s="31" t="s">
        <v>1274</v>
      </c>
      <c r="K94" s="29" t="s">
        <v>1275</v>
      </c>
      <c r="L94" s="29" t="s">
        <v>3025</v>
      </c>
      <c r="M94" s="126"/>
    </row>
    <row r="95" spans="1:13" ht="15.75" thickBot="1" x14ac:dyDescent="0.3">
      <c r="A95" s="33">
        <v>45999.484826388885</v>
      </c>
      <c r="B95" s="34" t="s">
        <v>10</v>
      </c>
      <c r="C95" s="34" t="s">
        <v>14</v>
      </c>
      <c r="D95" s="34" t="s">
        <v>334</v>
      </c>
      <c r="E95" s="34" t="s">
        <v>10</v>
      </c>
      <c r="F95" s="35">
        <v>42774</v>
      </c>
      <c r="G95" s="34" t="s">
        <v>335</v>
      </c>
      <c r="H95" s="34" t="s">
        <v>336</v>
      </c>
      <c r="I95" s="34" t="s">
        <v>66</v>
      </c>
      <c r="J95" s="36" t="s">
        <v>1276</v>
      </c>
      <c r="K95" s="34" t="s">
        <v>1277</v>
      </c>
      <c r="L95" s="34" t="s">
        <v>333</v>
      </c>
      <c r="M95" s="37" t="s">
        <v>1278</v>
      </c>
    </row>
    <row r="96" spans="1:13" ht="15.75" thickBot="1" x14ac:dyDescent="0.3">
      <c r="A96" s="28">
        <v>45999.49324074074</v>
      </c>
      <c r="B96" s="29" t="s">
        <v>1153</v>
      </c>
      <c r="C96" s="29" t="s">
        <v>1260</v>
      </c>
      <c r="D96" s="29" t="s">
        <v>1279</v>
      </c>
      <c r="E96" s="29" t="s">
        <v>10</v>
      </c>
      <c r="F96" s="30">
        <v>43543</v>
      </c>
      <c r="G96" s="29" t="s">
        <v>1280</v>
      </c>
      <c r="H96" s="29" t="s">
        <v>1281</v>
      </c>
      <c r="I96" s="29" t="s">
        <v>2</v>
      </c>
      <c r="J96" s="31" t="s">
        <v>1282</v>
      </c>
      <c r="K96" s="29" t="s">
        <v>1283</v>
      </c>
      <c r="L96" s="29" t="s">
        <v>3026</v>
      </c>
      <c r="M96" s="126"/>
    </row>
    <row r="97" spans="1:13" ht="15.75" thickBot="1" x14ac:dyDescent="0.3">
      <c r="A97" s="33">
        <v>45999.499525462961</v>
      </c>
      <c r="B97" s="34" t="s">
        <v>1153</v>
      </c>
      <c r="C97" s="34" t="s">
        <v>1260</v>
      </c>
      <c r="D97" s="34" t="s">
        <v>1284</v>
      </c>
      <c r="E97" s="34" t="s">
        <v>28</v>
      </c>
      <c r="F97" s="35">
        <v>43663</v>
      </c>
      <c r="G97" s="34" t="s">
        <v>1285</v>
      </c>
      <c r="H97" s="34" t="s">
        <v>1286</v>
      </c>
      <c r="I97" s="34" t="s">
        <v>2</v>
      </c>
      <c r="J97" s="36" t="s">
        <v>1287</v>
      </c>
      <c r="K97" s="34" t="s">
        <v>1288</v>
      </c>
      <c r="L97" s="34" t="s">
        <v>3027</v>
      </c>
      <c r="M97" s="38"/>
    </row>
    <row r="98" spans="1:13" ht="15.75" thickBot="1" x14ac:dyDescent="0.3">
      <c r="A98" s="28">
        <v>45999.503854166665</v>
      </c>
      <c r="B98" s="29" t="s">
        <v>10</v>
      </c>
      <c r="C98" s="29" t="s">
        <v>342</v>
      </c>
      <c r="D98" s="29" t="s">
        <v>339</v>
      </c>
      <c r="E98" s="29" t="s">
        <v>28</v>
      </c>
      <c r="F98" s="30">
        <v>41405</v>
      </c>
      <c r="G98" s="29" t="s">
        <v>1289</v>
      </c>
      <c r="H98" s="29" t="s">
        <v>340</v>
      </c>
      <c r="I98" s="29" t="s">
        <v>66</v>
      </c>
      <c r="J98" s="31" t="s">
        <v>1290</v>
      </c>
      <c r="K98" s="29" t="s">
        <v>1291</v>
      </c>
      <c r="L98" s="29" t="s">
        <v>338</v>
      </c>
      <c r="M98" s="32" t="s">
        <v>1292</v>
      </c>
    </row>
    <row r="99" spans="1:13" ht="15.75" thickBot="1" x14ac:dyDescent="0.3">
      <c r="A99" s="33">
        <v>45999.509189814817</v>
      </c>
      <c r="B99" s="34" t="s">
        <v>10</v>
      </c>
      <c r="C99" s="34" t="s">
        <v>348</v>
      </c>
      <c r="D99" s="34" t="s">
        <v>344</v>
      </c>
      <c r="E99" s="34" t="s">
        <v>10</v>
      </c>
      <c r="F99" s="35">
        <v>43448</v>
      </c>
      <c r="G99" s="34" t="s">
        <v>345</v>
      </c>
      <c r="H99" s="34" t="s">
        <v>346</v>
      </c>
      <c r="I99" s="34" t="s">
        <v>66</v>
      </c>
      <c r="J99" s="36" t="s">
        <v>1293</v>
      </c>
      <c r="K99" s="34" t="s">
        <v>1294</v>
      </c>
      <c r="L99" s="34" t="s">
        <v>343</v>
      </c>
      <c r="M99" s="37" t="s">
        <v>1295</v>
      </c>
    </row>
    <row r="100" spans="1:13" ht="15.75" thickBot="1" x14ac:dyDescent="0.3">
      <c r="A100" s="28">
        <v>45999.523113425923</v>
      </c>
      <c r="B100" s="29" t="s">
        <v>10</v>
      </c>
      <c r="C100" s="29" t="s">
        <v>1296</v>
      </c>
      <c r="D100" s="29" t="s">
        <v>350</v>
      </c>
      <c r="E100" s="29" t="s">
        <v>10</v>
      </c>
      <c r="F100" s="30">
        <v>41951</v>
      </c>
      <c r="G100" s="29" t="s">
        <v>351</v>
      </c>
      <c r="H100" s="29" t="s">
        <v>184</v>
      </c>
      <c r="I100" s="29" t="s">
        <v>2</v>
      </c>
      <c r="J100" s="31" t="s">
        <v>1297</v>
      </c>
      <c r="K100" s="29" t="s">
        <v>1298</v>
      </c>
      <c r="L100" s="29" t="s">
        <v>349</v>
      </c>
      <c r="M100" s="32" t="s">
        <v>1299</v>
      </c>
    </row>
    <row r="101" spans="1:13" ht="15.75" thickBot="1" x14ac:dyDescent="0.3">
      <c r="A101" s="33">
        <v>45999.528321759259</v>
      </c>
      <c r="B101" s="34" t="s">
        <v>998</v>
      </c>
      <c r="C101" s="34" t="s">
        <v>319</v>
      </c>
      <c r="D101" s="34" t="s">
        <v>1300</v>
      </c>
      <c r="E101" s="34" t="s">
        <v>28</v>
      </c>
      <c r="F101" s="35">
        <v>40593</v>
      </c>
      <c r="G101" s="34" t="s">
        <v>1301</v>
      </c>
      <c r="H101" s="34" t="s">
        <v>1302</v>
      </c>
      <c r="I101" s="34" t="s">
        <v>66</v>
      </c>
      <c r="J101" s="36" t="s">
        <v>1303</v>
      </c>
      <c r="K101" s="34" t="s">
        <v>1304</v>
      </c>
      <c r="L101" s="34" t="s">
        <v>3139</v>
      </c>
      <c r="M101" s="38"/>
    </row>
    <row r="102" spans="1:13" ht="15.75" thickBot="1" x14ac:dyDescent="0.3">
      <c r="A102" s="28">
        <v>45999.559201388889</v>
      </c>
      <c r="B102" s="29" t="s">
        <v>10</v>
      </c>
      <c r="C102" s="29" t="s">
        <v>14</v>
      </c>
      <c r="D102" s="29" t="s">
        <v>354</v>
      </c>
      <c r="E102" s="29" t="s">
        <v>10</v>
      </c>
      <c r="F102" s="30">
        <v>41756</v>
      </c>
      <c r="G102" s="29" t="s">
        <v>355</v>
      </c>
      <c r="H102" s="29" t="s">
        <v>356</v>
      </c>
      <c r="I102" s="29" t="s">
        <v>66</v>
      </c>
      <c r="J102" s="31" t="s">
        <v>1305</v>
      </c>
      <c r="K102" s="29" t="s">
        <v>1306</v>
      </c>
      <c r="L102" s="29" t="s">
        <v>353</v>
      </c>
      <c r="M102" s="32" t="s">
        <v>1307</v>
      </c>
    </row>
    <row r="103" spans="1:13" ht="15.75" thickBot="1" x14ac:dyDescent="0.3">
      <c r="A103" s="33">
        <v>45999.561053240737</v>
      </c>
      <c r="B103" s="34" t="s">
        <v>10</v>
      </c>
      <c r="C103" s="34" t="s">
        <v>1296</v>
      </c>
      <c r="D103" s="34" t="s">
        <v>359</v>
      </c>
      <c r="E103" s="34" t="s">
        <v>28</v>
      </c>
      <c r="F103" s="35">
        <v>42489</v>
      </c>
      <c r="G103" s="34" t="s">
        <v>360</v>
      </c>
      <c r="H103" s="34" t="s">
        <v>361</v>
      </c>
      <c r="I103" s="34" t="s">
        <v>2</v>
      </c>
      <c r="J103" s="36" t="s">
        <v>1308</v>
      </c>
      <c r="K103" s="34" t="s">
        <v>1309</v>
      </c>
      <c r="L103" s="34" t="s">
        <v>358</v>
      </c>
      <c r="M103" s="37" t="s">
        <v>1310</v>
      </c>
    </row>
    <row r="104" spans="1:13" ht="15.75" thickBot="1" x14ac:dyDescent="0.3">
      <c r="A104" s="28">
        <v>45999.564456018517</v>
      </c>
      <c r="B104" s="29" t="s">
        <v>10</v>
      </c>
      <c r="C104" s="29" t="s">
        <v>1296</v>
      </c>
      <c r="D104" s="29" t="s">
        <v>364</v>
      </c>
      <c r="E104" s="29" t="s">
        <v>365</v>
      </c>
      <c r="F104" s="30">
        <v>42382</v>
      </c>
      <c r="G104" s="29" t="s">
        <v>366</v>
      </c>
      <c r="H104" s="29" t="s">
        <v>367</v>
      </c>
      <c r="I104" s="29" t="s">
        <v>2</v>
      </c>
      <c r="J104" s="31" t="s">
        <v>1311</v>
      </c>
      <c r="K104" s="29" t="s">
        <v>1312</v>
      </c>
      <c r="L104" s="29" t="s">
        <v>363</v>
      </c>
      <c r="M104" s="32" t="s">
        <v>1313</v>
      </c>
    </row>
    <row r="105" spans="1:13" ht="15.75" thickBot="1" x14ac:dyDescent="0.3">
      <c r="A105" s="33">
        <v>45999.568472222221</v>
      </c>
      <c r="B105" s="34" t="s">
        <v>10</v>
      </c>
      <c r="C105" s="34" t="s">
        <v>1296</v>
      </c>
      <c r="D105" s="34" t="s">
        <v>370</v>
      </c>
      <c r="E105" s="34" t="s">
        <v>28</v>
      </c>
      <c r="F105" s="35">
        <v>41019</v>
      </c>
      <c r="G105" s="34" t="s">
        <v>371</v>
      </c>
      <c r="H105" s="34" t="s">
        <v>372</v>
      </c>
      <c r="I105" s="34" t="s">
        <v>2</v>
      </c>
      <c r="J105" s="36" t="s">
        <v>1314</v>
      </c>
      <c r="K105" s="34" t="s">
        <v>1315</v>
      </c>
      <c r="L105" s="34" t="s">
        <v>369</v>
      </c>
      <c r="M105" s="37" t="s">
        <v>1316</v>
      </c>
    </row>
    <row r="106" spans="1:13" ht="15.75" thickBot="1" x14ac:dyDescent="0.3">
      <c r="A106" s="28">
        <v>45999.568807870368</v>
      </c>
      <c r="B106" s="29" t="s">
        <v>1317</v>
      </c>
      <c r="C106" s="29" t="s">
        <v>593</v>
      </c>
      <c r="D106" s="29" t="s">
        <v>1318</v>
      </c>
      <c r="E106" s="29" t="s">
        <v>10</v>
      </c>
      <c r="F106" s="30">
        <v>42281</v>
      </c>
      <c r="G106" s="29" t="s">
        <v>1319</v>
      </c>
      <c r="H106" s="29" t="s">
        <v>1320</v>
      </c>
      <c r="I106" s="29" t="s">
        <v>66</v>
      </c>
      <c r="J106" s="31" t="s">
        <v>1321</v>
      </c>
      <c r="K106" s="29" t="s">
        <v>1322</v>
      </c>
      <c r="L106" s="29" t="s">
        <v>3050</v>
      </c>
      <c r="M106" s="126"/>
    </row>
    <row r="107" spans="1:13" ht="15.75" thickBot="1" x14ac:dyDescent="0.3">
      <c r="A107" s="33">
        <v>45999.582627314812</v>
      </c>
      <c r="B107" s="34" t="s">
        <v>10</v>
      </c>
      <c r="C107" s="34" t="s">
        <v>1296</v>
      </c>
      <c r="D107" s="34" t="s">
        <v>375</v>
      </c>
      <c r="E107" s="34" t="s">
        <v>28</v>
      </c>
      <c r="F107" s="35">
        <v>42161</v>
      </c>
      <c r="G107" s="34" t="s">
        <v>376</v>
      </c>
      <c r="H107" s="34" t="s">
        <v>377</v>
      </c>
      <c r="I107" s="34" t="s">
        <v>2</v>
      </c>
      <c r="J107" s="36" t="s">
        <v>1323</v>
      </c>
      <c r="K107" s="34" t="s">
        <v>1324</v>
      </c>
      <c r="L107" s="34" t="s">
        <v>374</v>
      </c>
      <c r="M107" s="37" t="s">
        <v>1325</v>
      </c>
    </row>
    <row r="108" spans="1:13" ht="15.75" thickBot="1" x14ac:dyDescent="0.3">
      <c r="A108" s="28">
        <v>45999.586354166669</v>
      </c>
      <c r="B108" s="29" t="s">
        <v>10</v>
      </c>
      <c r="C108" s="29" t="s">
        <v>1296</v>
      </c>
      <c r="D108" s="29" t="s">
        <v>380</v>
      </c>
      <c r="E108" s="29" t="s">
        <v>28</v>
      </c>
      <c r="F108" s="30">
        <v>41601</v>
      </c>
      <c r="G108" s="29" t="s">
        <v>381</v>
      </c>
      <c r="H108" s="29" t="s">
        <v>382</v>
      </c>
      <c r="I108" s="29" t="s">
        <v>2</v>
      </c>
      <c r="J108" s="31" t="s">
        <v>1326</v>
      </c>
      <c r="K108" s="29" t="s">
        <v>1327</v>
      </c>
      <c r="L108" s="29" t="s">
        <v>379</v>
      </c>
      <c r="M108" s="32" t="s">
        <v>1328</v>
      </c>
    </row>
    <row r="109" spans="1:13" ht="15.75" thickBot="1" x14ac:dyDescent="0.3">
      <c r="A109" s="33">
        <v>45999.589317129627</v>
      </c>
      <c r="B109" s="34" t="s">
        <v>1317</v>
      </c>
      <c r="C109" s="34" t="s">
        <v>593</v>
      </c>
      <c r="D109" s="34" t="s">
        <v>1329</v>
      </c>
      <c r="E109" s="34" t="s">
        <v>1330</v>
      </c>
      <c r="F109" s="35">
        <v>42837</v>
      </c>
      <c r="G109" s="34" t="s">
        <v>1331</v>
      </c>
      <c r="H109" s="34" t="s">
        <v>1332</v>
      </c>
      <c r="I109" s="34" t="s">
        <v>66</v>
      </c>
      <c r="J109" s="36" t="s">
        <v>1333</v>
      </c>
      <c r="K109" s="34" t="s">
        <v>1334</v>
      </c>
      <c r="L109" s="34" t="s">
        <v>3051</v>
      </c>
      <c r="M109" s="38"/>
    </row>
    <row r="110" spans="1:13" ht="15.75" thickBot="1" x14ac:dyDescent="0.3">
      <c r="A110" s="28">
        <v>45999.595324074071</v>
      </c>
      <c r="B110" s="29" t="s">
        <v>10</v>
      </c>
      <c r="C110" s="29" t="s">
        <v>1296</v>
      </c>
      <c r="D110" s="29" t="s">
        <v>385</v>
      </c>
      <c r="E110" s="29" t="s">
        <v>28</v>
      </c>
      <c r="F110" s="30">
        <v>41616</v>
      </c>
      <c r="G110" s="29" t="s">
        <v>386</v>
      </c>
      <c r="H110" s="29" t="s">
        <v>387</v>
      </c>
      <c r="I110" s="29" t="s">
        <v>2</v>
      </c>
      <c r="J110" s="31" t="s">
        <v>1335</v>
      </c>
      <c r="K110" s="29" t="s">
        <v>1336</v>
      </c>
      <c r="L110" s="29" t="s">
        <v>384</v>
      </c>
      <c r="M110" s="32" t="s">
        <v>1337</v>
      </c>
    </row>
    <row r="111" spans="1:13" ht="15.75" thickBot="1" x14ac:dyDescent="0.3">
      <c r="A111" s="33">
        <v>45999.59884259259</v>
      </c>
      <c r="B111" s="34" t="s">
        <v>10</v>
      </c>
      <c r="C111" s="34" t="s">
        <v>14</v>
      </c>
      <c r="D111" s="34" t="s">
        <v>392</v>
      </c>
      <c r="E111" s="34" t="s">
        <v>10</v>
      </c>
      <c r="F111" s="35">
        <v>41889</v>
      </c>
      <c r="G111" s="34" t="s">
        <v>393</v>
      </c>
      <c r="H111" s="34" t="s">
        <v>394</v>
      </c>
      <c r="I111" s="34" t="s">
        <v>2</v>
      </c>
      <c r="J111" s="36" t="s">
        <v>1338</v>
      </c>
      <c r="K111" s="34" t="s">
        <v>1339</v>
      </c>
      <c r="L111" s="34" t="s">
        <v>391</v>
      </c>
      <c r="M111" s="37" t="s">
        <v>1340</v>
      </c>
    </row>
    <row r="112" spans="1:13" ht="15.75" thickBot="1" x14ac:dyDescent="0.3">
      <c r="A112" s="28">
        <v>45999.599537037036</v>
      </c>
      <c r="B112" s="29" t="s">
        <v>1153</v>
      </c>
      <c r="C112" s="29" t="s">
        <v>256</v>
      </c>
      <c r="D112" s="29" t="s">
        <v>1341</v>
      </c>
      <c r="E112" s="29" t="s">
        <v>1342</v>
      </c>
      <c r="F112" s="30">
        <v>40962</v>
      </c>
      <c r="G112" s="29" t="s">
        <v>1343</v>
      </c>
      <c r="H112" s="29" t="s">
        <v>1344</v>
      </c>
      <c r="I112" s="29" t="s">
        <v>66</v>
      </c>
      <c r="J112" s="31" t="s">
        <v>1345</v>
      </c>
      <c r="K112" s="29" t="s">
        <v>1346</v>
      </c>
      <c r="L112" s="29" t="s">
        <v>3028</v>
      </c>
      <c r="M112" s="126"/>
    </row>
    <row r="113" spans="1:13" ht="15.75" thickBot="1" x14ac:dyDescent="0.3">
      <c r="A113" s="33">
        <v>45999.601631944446</v>
      </c>
      <c r="B113" s="34" t="s">
        <v>1153</v>
      </c>
      <c r="C113" s="34" t="s">
        <v>5253</v>
      </c>
      <c r="D113" s="34" t="s">
        <v>1347</v>
      </c>
      <c r="E113" s="34" t="s">
        <v>10</v>
      </c>
      <c r="F113" s="35">
        <v>42540</v>
      </c>
      <c r="G113" s="34" t="s">
        <v>1348</v>
      </c>
      <c r="H113" s="34" t="s">
        <v>1349</v>
      </c>
      <c r="I113" s="34" t="s">
        <v>2</v>
      </c>
      <c r="J113" s="36" t="s">
        <v>1350</v>
      </c>
      <c r="K113" s="34" t="s">
        <v>1351</v>
      </c>
      <c r="L113" s="34" t="s">
        <v>3029</v>
      </c>
      <c r="M113" s="38"/>
    </row>
    <row r="114" spans="1:13" ht="15.75" thickBot="1" x14ac:dyDescent="0.3">
      <c r="A114" s="28">
        <v>45999.617511574077</v>
      </c>
      <c r="B114" s="29" t="s">
        <v>1153</v>
      </c>
      <c r="C114" s="29" t="s">
        <v>256</v>
      </c>
      <c r="D114" s="29" t="s">
        <v>1352</v>
      </c>
      <c r="E114" s="29" t="s">
        <v>1353</v>
      </c>
      <c r="F114" s="30">
        <v>41984</v>
      </c>
      <c r="G114" s="29" t="s">
        <v>1354</v>
      </c>
      <c r="H114" s="29" t="s">
        <v>1355</v>
      </c>
      <c r="I114" s="29" t="s">
        <v>2</v>
      </c>
      <c r="J114" s="31" t="s">
        <v>1356</v>
      </c>
      <c r="K114" s="29" t="s">
        <v>1357</v>
      </c>
      <c r="L114" s="29" t="s">
        <v>3030</v>
      </c>
      <c r="M114" s="126"/>
    </row>
    <row r="115" spans="1:13" ht="15.75" thickBot="1" x14ac:dyDescent="0.3">
      <c r="A115" s="33">
        <v>45999.62400462963</v>
      </c>
      <c r="B115" s="34" t="s">
        <v>10</v>
      </c>
      <c r="C115" s="34" t="s">
        <v>14</v>
      </c>
      <c r="D115" s="34" t="s">
        <v>397</v>
      </c>
      <c r="E115" s="34" t="s">
        <v>10</v>
      </c>
      <c r="F115" s="35">
        <v>42591</v>
      </c>
      <c r="G115" s="34" t="s">
        <v>398</v>
      </c>
      <c r="H115" s="34" t="s">
        <v>399</v>
      </c>
      <c r="I115" s="34" t="s">
        <v>2</v>
      </c>
      <c r="J115" s="36" t="s">
        <v>1358</v>
      </c>
      <c r="K115" s="34" t="s">
        <v>1359</v>
      </c>
      <c r="L115" s="34" t="s">
        <v>396</v>
      </c>
      <c r="M115" s="37" t="s">
        <v>1360</v>
      </c>
    </row>
    <row r="116" spans="1:13" ht="15.75" thickBot="1" x14ac:dyDescent="0.3">
      <c r="A116" s="28">
        <v>45999.648738425924</v>
      </c>
      <c r="B116" s="29" t="s">
        <v>10</v>
      </c>
      <c r="C116" s="29" t="s">
        <v>14</v>
      </c>
      <c r="D116" s="29" t="s">
        <v>16</v>
      </c>
      <c r="E116" s="29" t="s">
        <v>402</v>
      </c>
      <c r="F116" s="30">
        <v>41776</v>
      </c>
      <c r="G116" s="29" t="s">
        <v>403</v>
      </c>
      <c r="H116" s="29" t="s">
        <v>404</v>
      </c>
      <c r="I116" s="29" t="s">
        <v>2</v>
      </c>
      <c r="J116" s="31" t="s">
        <v>1361</v>
      </c>
      <c r="K116" s="29" t="s">
        <v>1362</v>
      </c>
      <c r="L116" s="29" t="s">
        <v>401</v>
      </c>
      <c r="M116" s="32" t="s">
        <v>1363</v>
      </c>
    </row>
    <row r="117" spans="1:13" ht="15.75" thickBot="1" x14ac:dyDescent="0.3">
      <c r="A117" s="33">
        <v>45999.650555555556</v>
      </c>
      <c r="B117" s="34" t="s">
        <v>10</v>
      </c>
      <c r="C117" s="34" t="s">
        <v>14</v>
      </c>
      <c r="D117" s="34" t="s">
        <v>407</v>
      </c>
      <c r="E117" s="34" t="s">
        <v>10</v>
      </c>
      <c r="F117" s="35">
        <v>41776</v>
      </c>
      <c r="G117" s="34" t="s">
        <v>408</v>
      </c>
      <c r="H117" s="34" t="s">
        <v>409</v>
      </c>
      <c r="I117" s="34" t="s">
        <v>2</v>
      </c>
      <c r="J117" s="36" t="s">
        <v>1364</v>
      </c>
      <c r="K117" s="34" t="s">
        <v>1365</v>
      </c>
      <c r="L117" s="34" t="s">
        <v>406</v>
      </c>
      <c r="M117" s="37" t="s">
        <v>1366</v>
      </c>
    </row>
    <row r="118" spans="1:13" ht="15.75" thickBot="1" x14ac:dyDescent="0.3">
      <c r="A118" s="28">
        <v>45999.652499999997</v>
      </c>
      <c r="B118" s="29" t="s">
        <v>10</v>
      </c>
      <c r="C118" s="29" t="s">
        <v>14</v>
      </c>
      <c r="D118" s="29" t="s">
        <v>412</v>
      </c>
      <c r="E118" s="29" t="s">
        <v>59</v>
      </c>
      <c r="F118" s="30">
        <v>41903</v>
      </c>
      <c r="G118" s="29" t="s">
        <v>413</v>
      </c>
      <c r="H118" s="29" t="s">
        <v>414</v>
      </c>
      <c r="I118" s="29" t="s">
        <v>2</v>
      </c>
      <c r="J118" s="31" t="s">
        <v>1367</v>
      </c>
      <c r="K118" s="29" t="s">
        <v>1368</v>
      </c>
      <c r="L118" s="29" t="s">
        <v>411</v>
      </c>
      <c r="M118" s="32" t="s">
        <v>1369</v>
      </c>
    </row>
    <row r="119" spans="1:13" ht="15.75" thickBot="1" x14ac:dyDescent="0.3">
      <c r="A119" s="33">
        <v>45999.653136574074</v>
      </c>
      <c r="B119" s="34" t="s">
        <v>10</v>
      </c>
      <c r="C119" s="34" t="s">
        <v>14</v>
      </c>
      <c r="D119" s="34" t="s">
        <v>417</v>
      </c>
      <c r="E119" s="34" t="s">
        <v>28</v>
      </c>
      <c r="F119" s="35">
        <v>41702</v>
      </c>
      <c r="G119" s="34" t="s">
        <v>418</v>
      </c>
      <c r="H119" s="34" t="s">
        <v>419</v>
      </c>
      <c r="I119" s="34" t="s">
        <v>2</v>
      </c>
      <c r="J119" s="36" t="s">
        <v>1370</v>
      </c>
      <c r="K119" s="34" t="s">
        <v>1371</v>
      </c>
      <c r="L119" s="34" t="s">
        <v>416</v>
      </c>
      <c r="M119" s="37" t="s">
        <v>1372</v>
      </c>
    </row>
    <row r="120" spans="1:13" ht="15.75" thickBot="1" x14ac:dyDescent="0.3">
      <c r="A120" s="28">
        <v>45999.655682870369</v>
      </c>
      <c r="B120" s="29" t="s">
        <v>10</v>
      </c>
      <c r="C120" s="29" t="s">
        <v>14</v>
      </c>
      <c r="D120" s="29" t="s">
        <v>422</v>
      </c>
      <c r="E120" s="29" t="s">
        <v>423</v>
      </c>
      <c r="F120" s="30">
        <v>41644</v>
      </c>
      <c r="G120" s="29" t="s">
        <v>297</v>
      </c>
      <c r="H120" s="29" t="s">
        <v>298</v>
      </c>
      <c r="I120" s="29" t="s">
        <v>2</v>
      </c>
      <c r="J120" s="31" t="s">
        <v>1373</v>
      </c>
      <c r="K120" s="29" t="s">
        <v>1374</v>
      </c>
      <c r="L120" s="29" t="s">
        <v>421</v>
      </c>
      <c r="M120" s="32" t="s">
        <v>1375</v>
      </c>
    </row>
    <row r="121" spans="1:13" ht="15.75" thickBot="1" x14ac:dyDescent="0.3">
      <c r="A121" s="33">
        <v>45999.659560185188</v>
      </c>
      <c r="B121" s="34" t="s">
        <v>10</v>
      </c>
      <c r="C121" s="34" t="s">
        <v>1296</v>
      </c>
      <c r="D121" s="34" t="s">
        <v>426</v>
      </c>
      <c r="E121" s="34" t="s">
        <v>28</v>
      </c>
      <c r="F121" s="35">
        <v>41634</v>
      </c>
      <c r="G121" s="34" t="s">
        <v>427</v>
      </c>
      <c r="H121" s="34" t="s">
        <v>428</v>
      </c>
      <c r="I121" s="34" t="s">
        <v>66</v>
      </c>
      <c r="J121" s="36" t="s">
        <v>1376</v>
      </c>
      <c r="K121" s="34" t="s">
        <v>1377</v>
      </c>
      <c r="L121" s="34" t="s">
        <v>425</v>
      </c>
      <c r="M121" s="37" t="s">
        <v>1378</v>
      </c>
    </row>
    <row r="122" spans="1:13" ht="15.75" thickBot="1" x14ac:dyDescent="0.3">
      <c r="A122" s="28">
        <v>45999.671435185184</v>
      </c>
      <c r="B122" s="29" t="s">
        <v>10</v>
      </c>
      <c r="C122" s="29" t="s">
        <v>435</v>
      </c>
      <c r="D122" s="29" t="s">
        <v>431</v>
      </c>
      <c r="E122" s="29" t="s">
        <v>10</v>
      </c>
      <c r="F122" s="30">
        <v>41619</v>
      </c>
      <c r="G122" s="29" t="s">
        <v>432</v>
      </c>
      <c r="H122" s="29" t="s">
        <v>433</v>
      </c>
      <c r="I122" s="29" t="s">
        <v>66</v>
      </c>
      <c r="J122" s="31" t="s">
        <v>1379</v>
      </c>
      <c r="K122" s="29" t="s">
        <v>1380</v>
      </c>
      <c r="L122" s="29" t="s">
        <v>430</v>
      </c>
      <c r="M122" s="32" t="s">
        <v>1381</v>
      </c>
    </row>
    <row r="123" spans="1:13" ht="15.75" thickBot="1" x14ac:dyDescent="0.3">
      <c r="A123" s="33">
        <v>45999.67560185185</v>
      </c>
      <c r="B123" s="34" t="s">
        <v>10</v>
      </c>
      <c r="C123" s="34" t="s">
        <v>441</v>
      </c>
      <c r="D123" s="34" t="s">
        <v>437</v>
      </c>
      <c r="E123" s="34" t="s">
        <v>28</v>
      </c>
      <c r="F123" s="35">
        <v>41900</v>
      </c>
      <c r="G123" s="34" t="s">
        <v>438</v>
      </c>
      <c r="H123" s="34" t="s">
        <v>439</v>
      </c>
      <c r="I123" s="34" t="s">
        <v>66</v>
      </c>
      <c r="J123" s="36" t="s">
        <v>1382</v>
      </c>
      <c r="K123" s="34" t="s">
        <v>1383</v>
      </c>
      <c r="L123" s="34" t="s">
        <v>436</v>
      </c>
      <c r="M123" s="37" t="s">
        <v>1384</v>
      </c>
    </row>
    <row r="124" spans="1:13" ht="15.75" thickBot="1" x14ac:dyDescent="0.3">
      <c r="A124" s="28">
        <v>45999.690312500003</v>
      </c>
      <c r="B124" s="29" t="s">
        <v>1153</v>
      </c>
      <c r="C124" s="29" t="s">
        <v>256</v>
      </c>
      <c r="D124" s="29" t="s">
        <v>1385</v>
      </c>
      <c r="E124" s="29" t="s">
        <v>10</v>
      </c>
      <c r="F124" s="30">
        <v>43194</v>
      </c>
      <c r="G124" s="29" t="s">
        <v>1386</v>
      </c>
      <c r="H124" s="29" t="s">
        <v>1387</v>
      </c>
      <c r="I124" s="29" t="s">
        <v>66</v>
      </c>
      <c r="J124" s="31" t="s">
        <v>1388</v>
      </c>
      <c r="K124" s="29" t="s">
        <v>1389</v>
      </c>
      <c r="L124" s="29" t="s">
        <v>3031</v>
      </c>
      <c r="M124" s="126"/>
    </row>
    <row r="125" spans="1:13" ht="15.75" thickBot="1" x14ac:dyDescent="0.3">
      <c r="A125" s="33">
        <v>45999.699733796297</v>
      </c>
      <c r="B125" s="34" t="s">
        <v>1153</v>
      </c>
      <c r="C125" s="34" t="s">
        <v>256</v>
      </c>
      <c r="D125" s="34" t="s">
        <v>1390</v>
      </c>
      <c r="E125" s="34" t="s">
        <v>10</v>
      </c>
      <c r="F125" s="35">
        <v>41884</v>
      </c>
      <c r="G125" s="34" t="s">
        <v>1391</v>
      </c>
      <c r="H125" s="34" t="s">
        <v>1392</v>
      </c>
      <c r="I125" s="34" t="s">
        <v>66</v>
      </c>
      <c r="J125" s="36" t="s">
        <v>1393</v>
      </c>
      <c r="K125" s="34" t="s">
        <v>1394</v>
      </c>
      <c r="L125" s="34" t="s">
        <v>3032</v>
      </c>
      <c r="M125" s="38"/>
    </row>
    <row r="126" spans="1:13" ht="15.75" thickBot="1" x14ac:dyDescent="0.3">
      <c r="A126" s="28">
        <v>45999.707453703704</v>
      </c>
      <c r="B126" s="29" t="s">
        <v>1153</v>
      </c>
      <c r="C126" s="29" t="s">
        <v>256</v>
      </c>
      <c r="D126" s="29" t="s">
        <v>1395</v>
      </c>
      <c r="E126" s="29" t="s">
        <v>10</v>
      </c>
      <c r="F126" s="30">
        <v>41789</v>
      </c>
      <c r="G126" s="29" t="s">
        <v>1396</v>
      </c>
      <c r="H126" s="29" t="s">
        <v>1397</v>
      </c>
      <c r="I126" s="29" t="s">
        <v>2</v>
      </c>
      <c r="J126" s="31" t="s">
        <v>1398</v>
      </c>
      <c r="K126" s="29" t="s">
        <v>1399</v>
      </c>
      <c r="L126" s="29" t="s">
        <v>3033</v>
      </c>
      <c r="M126" s="126"/>
    </row>
    <row r="127" spans="1:13" ht="15.75" thickBot="1" x14ac:dyDescent="0.3">
      <c r="A127" s="33">
        <v>45999.709398148145</v>
      </c>
      <c r="B127" s="34" t="s">
        <v>10</v>
      </c>
      <c r="C127" s="34" t="s">
        <v>14</v>
      </c>
      <c r="D127" s="34" t="s">
        <v>443</v>
      </c>
      <c r="E127" s="34" t="s">
        <v>315</v>
      </c>
      <c r="F127" s="35">
        <v>42181</v>
      </c>
      <c r="G127" s="34" t="s">
        <v>444</v>
      </c>
      <c r="H127" s="34" t="s">
        <v>194</v>
      </c>
      <c r="I127" s="34" t="s">
        <v>2</v>
      </c>
      <c r="J127" s="36" t="s">
        <v>1400</v>
      </c>
      <c r="K127" s="34" t="s">
        <v>1401</v>
      </c>
      <c r="L127" s="34" t="s">
        <v>442</v>
      </c>
      <c r="M127" s="37" t="s">
        <v>1402</v>
      </c>
    </row>
    <row r="128" spans="1:13" ht="15.75" thickBot="1" x14ac:dyDescent="0.3">
      <c r="A128" s="28">
        <v>45999.729201388887</v>
      </c>
      <c r="B128" s="29" t="s">
        <v>953</v>
      </c>
      <c r="C128" s="29" t="s">
        <v>268</v>
      </c>
      <c r="D128" s="29" t="s">
        <v>447</v>
      </c>
      <c r="E128" s="29" t="s">
        <v>10</v>
      </c>
      <c r="F128" s="30">
        <v>42404</v>
      </c>
      <c r="G128" s="29" t="s">
        <v>448</v>
      </c>
      <c r="H128" s="29" t="s">
        <v>449</v>
      </c>
      <c r="I128" s="29" t="s">
        <v>2</v>
      </c>
      <c r="J128" s="31" t="s">
        <v>1403</v>
      </c>
      <c r="K128" s="29" t="s">
        <v>1404</v>
      </c>
      <c r="L128" s="29" t="s">
        <v>446</v>
      </c>
      <c r="M128" s="32" t="s">
        <v>1405</v>
      </c>
    </row>
    <row r="129" spans="1:13" ht="15.75" thickBot="1" x14ac:dyDescent="0.3">
      <c r="A129" s="33">
        <v>45999.736030092594</v>
      </c>
      <c r="B129" s="34" t="s">
        <v>10</v>
      </c>
      <c r="C129" s="34" t="s">
        <v>457</v>
      </c>
      <c r="D129" s="34" t="s">
        <v>452</v>
      </c>
      <c r="E129" s="34" t="s">
        <v>453</v>
      </c>
      <c r="F129" s="35">
        <v>42703</v>
      </c>
      <c r="G129" s="34" t="s">
        <v>454</v>
      </c>
      <c r="H129" s="34" t="s">
        <v>455</v>
      </c>
      <c r="I129" s="34" t="s">
        <v>2</v>
      </c>
      <c r="J129" s="36" t="s">
        <v>1406</v>
      </c>
      <c r="K129" s="34" t="s">
        <v>1407</v>
      </c>
      <c r="L129" s="34" t="s">
        <v>451</v>
      </c>
      <c r="M129" s="37" t="s">
        <v>1408</v>
      </c>
    </row>
    <row r="130" spans="1:13" ht="15.75" thickBot="1" x14ac:dyDescent="0.3">
      <c r="A130" s="28">
        <v>45999.748252314814</v>
      </c>
      <c r="B130" s="29" t="s">
        <v>10</v>
      </c>
      <c r="C130" s="29" t="s">
        <v>14</v>
      </c>
      <c r="D130" s="29" t="s">
        <v>459</v>
      </c>
      <c r="E130" s="29" t="s">
        <v>28</v>
      </c>
      <c r="F130" s="30">
        <v>41599</v>
      </c>
      <c r="G130" s="29" t="s">
        <v>460</v>
      </c>
      <c r="H130" s="29" t="s">
        <v>461</v>
      </c>
      <c r="I130" s="29" t="s">
        <v>2</v>
      </c>
      <c r="J130" s="31" t="s">
        <v>1409</v>
      </c>
      <c r="K130" s="29" t="s">
        <v>1410</v>
      </c>
      <c r="L130" s="29" t="s">
        <v>458</v>
      </c>
      <c r="M130" s="32" t="s">
        <v>1411</v>
      </c>
    </row>
    <row r="131" spans="1:13" ht="15.75" thickBot="1" x14ac:dyDescent="0.3">
      <c r="A131" s="33">
        <v>45999.759918981479</v>
      </c>
      <c r="B131" s="34" t="s">
        <v>10</v>
      </c>
      <c r="C131" s="34" t="s">
        <v>14</v>
      </c>
      <c r="D131" s="34" t="s">
        <v>464</v>
      </c>
      <c r="E131" s="34" t="s">
        <v>28</v>
      </c>
      <c r="F131" s="35">
        <v>42256</v>
      </c>
      <c r="G131" s="34" t="s">
        <v>465</v>
      </c>
      <c r="H131" s="34" t="s">
        <v>466</v>
      </c>
      <c r="I131" s="34" t="s">
        <v>2</v>
      </c>
      <c r="J131" s="36" t="s">
        <v>1412</v>
      </c>
      <c r="K131" s="34" t="s">
        <v>1413</v>
      </c>
      <c r="L131" s="34" t="s">
        <v>463</v>
      </c>
      <c r="M131" s="37" t="s">
        <v>1414</v>
      </c>
    </row>
    <row r="132" spans="1:13" ht="15.75" thickBot="1" x14ac:dyDescent="0.3">
      <c r="A132" s="28">
        <v>45999.843460648146</v>
      </c>
      <c r="B132" s="29" t="s">
        <v>10</v>
      </c>
      <c r="C132" s="29" t="s">
        <v>473</v>
      </c>
      <c r="D132" s="29" t="s">
        <v>469</v>
      </c>
      <c r="E132" s="29" t="s">
        <v>28</v>
      </c>
      <c r="F132" s="30">
        <v>41513</v>
      </c>
      <c r="G132" s="29" t="s">
        <v>470</v>
      </c>
      <c r="H132" s="29" t="s">
        <v>471</v>
      </c>
      <c r="I132" s="29" t="s">
        <v>2</v>
      </c>
      <c r="J132" s="31" t="s">
        <v>1415</v>
      </c>
      <c r="K132" s="29" t="s">
        <v>1416</v>
      </c>
      <c r="L132" s="29" t="s">
        <v>468</v>
      </c>
      <c r="M132" s="32" t="s">
        <v>1417</v>
      </c>
    </row>
    <row r="133" spans="1:13" ht="15.75" thickBot="1" x14ac:dyDescent="0.3">
      <c r="A133" s="33">
        <v>45999.878692129627</v>
      </c>
      <c r="B133" s="34" t="s">
        <v>1153</v>
      </c>
      <c r="C133" s="34" t="s">
        <v>1260</v>
      </c>
      <c r="D133" s="34" t="s">
        <v>1418</v>
      </c>
      <c r="E133" s="34" t="s">
        <v>328</v>
      </c>
      <c r="F133" s="35">
        <v>43922</v>
      </c>
      <c r="G133" s="34" t="s">
        <v>1419</v>
      </c>
      <c r="H133" s="34" t="s">
        <v>1420</v>
      </c>
      <c r="I133" s="34" t="s">
        <v>2</v>
      </c>
      <c r="J133" s="36" t="s">
        <v>1421</v>
      </c>
      <c r="K133" s="34" t="s">
        <v>1422</v>
      </c>
      <c r="L133" s="34" t="s">
        <v>3034</v>
      </c>
      <c r="M133" s="38"/>
    </row>
    <row r="134" spans="1:13" ht="15.75" thickBot="1" x14ac:dyDescent="0.3">
      <c r="A134" s="28">
        <v>45999.893194444441</v>
      </c>
      <c r="B134" s="29" t="s">
        <v>1317</v>
      </c>
      <c r="C134" s="29" t="s">
        <v>484</v>
      </c>
      <c r="D134" s="29" t="s">
        <v>1423</v>
      </c>
      <c r="E134" s="29" t="s">
        <v>28</v>
      </c>
      <c r="F134" s="30">
        <v>41621</v>
      </c>
      <c r="G134" s="29" t="s">
        <v>1424</v>
      </c>
      <c r="H134" s="29" t="s">
        <v>1425</v>
      </c>
      <c r="I134" s="29" t="s">
        <v>66</v>
      </c>
      <c r="J134" s="31" t="s">
        <v>1426</v>
      </c>
      <c r="K134" s="29" t="s">
        <v>1427</v>
      </c>
      <c r="L134" s="29" t="s">
        <v>3052</v>
      </c>
      <c r="M134" s="126"/>
    </row>
    <row r="135" spans="1:13" ht="15.75" thickBot="1" x14ac:dyDescent="0.3">
      <c r="A135" s="33">
        <v>45999.898599537039</v>
      </c>
      <c r="B135" s="34" t="s">
        <v>998</v>
      </c>
      <c r="C135" s="34" t="s">
        <v>214</v>
      </c>
      <c r="D135" s="34" t="s">
        <v>1428</v>
      </c>
      <c r="E135" s="34" t="s">
        <v>59</v>
      </c>
      <c r="F135" s="35">
        <v>42531</v>
      </c>
      <c r="G135" s="34" t="s">
        <v>1429</v>
      </c>
      <c r="H135" s="34" t="s">
        <v>1430</v>
      </c>
      <c r="I135" s="34" t="s">
        <v>2</v>
      </c>
      <c r="J135" s="36" t="s">
        <v>1431</v>
      </c>
      <c r="K135" s="34" t="s">
        <v>1432</v>
      </c>
      <c r="L135" s="34" t="s">
        <v>3140</v>
      </c>
      <c r="M135" s="38"/>
    </row>
    <row r="136" spans="1:13" ht="15.75" thickBot="1" x14ac:dyDescent="0.3">
      <c r="A136" s="28">
        <v>45999.935717592591</v>
      </c>
      <c r="B136" s="29" t="s">
        <v>1153</v>
      </c>
      <c r="C136" s="29" t="s">
        <v>256</v>
      </c>
      <c r="D136" s="29" t="s">
        <v>1154</v>
      </c>
      <c r="E136" s="29" t="s">
        <v>1155</v>
      </c>
      <c r="F136" s="30">
        <v>42269</v>
      </c>
      <c r="G136" s="29" t="s">
        <v>1156</v>
      </c>
      <c r="H136" s="29" t="s">
        <v>1157</v>
      </c>
      <c r="I136" s="29" t="s">
        <v>2</v>
      </c>
      <c r="J136" s="31" t="s">
        <v>1433</v>
      </c>
      <c r="K136" s="29" t="s">
        <v>1434</v>
      </c>
      <c r="L136" s="29" t="s">
        <v>3035</v>
      </c>
      <c r="M136" s="126"/>
    </row>
    <row r="137" spans="1:13" ht="15.75" thickBot="1" x14ac:dyDescent="0.3">
      <c r="A137" s="33">
        <v>45999.946087962962</v>
      </c>
      <c r="B137" s="34" t="s">
        <v>953</v>
      </c>
      <c r="C137" s="34" t="s">
        <v>268</v>
      </c>
      <c r="D137" s="34" t="s">
        <v>475</v>
      </c>
      <c r="E137" s="34" t="s">
        <v>28</v>
      </c>
      <c r="F137" s="35">
        <v>41600</v>
      </c>
      <c r="G137" s="34" t="s">
        <v>476</v>
      </c>
      <c r="H137" s="34" t="s">
        <v>477</v>
      </c>
      <c r="I137" s="34" t="s">
        <v>2</v>
      </c>
      <c r="J137" s="36" t="s">
        <v>1435</v>
      </c>
      <c r="K137" s="34" t="s">
        <v>1436</v>
      </c>
      <c r="L137" s="34" t="s">
        <v>474</v>
      </c>
      <c r="M137" s="37" t="s">
        <v>1437</v>
      </c>
    </row>
    <row r="138" spans="1:13" ht="15.75" thickBot="1" x14ac:dyDescent="0.3">
      <c r="A138" s="28">
        <v>46000.236875000002</v>
      </c>
      <c r="B138" s="29" t="s">
        <v>10</v>
      </c>
      <c r="C138" s="29" t="s">
        <v>484</v>
      </c>
      <c r="D138" s="29" t="s">
        <v>480</v>
      </c>
      <c r="E138" s="29" t="s">
        <v>10</v>
      </c>
      <c r="F138" s="30">
        <v>41779</v>
      </c>
      <c r="G138" s="29" t="s">
        <v>481</v>
      </c>
      <c r="H138" s="29" t="s">
        <v>482</v>
      </c>
      <c r="I138" s="29" t="s">
        <v>66</v>
      </c>
      <c r="J138" s="31" t="s">
        <v>1438</v>
      </c>
      <c r="K138" s="29" t="s">
        <v>1439</v>
      </c>
      <c r="L138" s="29" t="s">
        <v>479</v>
      </c>
      <c r="M138" s="32" t="s">
        <v>1440</v>
      </c>
    </row>
    <row r="139" spans="1:13" ht="15.75" thickBot="1" x14ac:dyDescent="0.3">
      <c r="A139" s="33">
        <v>46000.290266203701</v>
      </c>
      <c r="B139" s="34" t="s">
        <v>10</v>
      </c>
      <c r="C139" s="34" t="s">
        <v>490</v>
      </c>
      <c r="D139" s="34" t="s">
        <v>486</v>
      </c>
      <c r="E139" s="34" t="s">
        <v>10</v>
      </c>
      <c r="F139" s="35">
        <v>42134</v>
      </c>
      <c r="G139" s="34" t="s">
        <v>487</v>
      </c>
      <c r="H139" s="34" t="s">
        <v>488</v>
      </c>
      <c r="I139" s="34" t="s">
        <v>2</v>
      </c>
      <c r="J139" s="36" t="s">
        <v>1441</v>
      </c>
      <c r="K139" s="34" t="s">
        <v>1442</v>
      </c>
      <c r="L139" s="34" t="s">
        <v>485</v>
      </c>
      <c r="M139" s="37" t="s">
        <v>1443</v>
      </c>
    </row>
    <row r="140" spans="1:13" ht="15.75" thickBot="1" x14ac:dyDescent="0.3">
      <c r="A140" s="28">
        <v>46000.299780092595</v>
      </c>
      <c r="B140" s="29" t="s">
        <v>10</v>
      </c>
      <c r="C140" s="29" t="s">
        <v>490</v>
      </c>
      <c r="D140" s="29" t="s">
        <v>492</v>
      </c>
      <c r="E140" s="29" t="s">
        <v>10</v>
      </c>
      <c r="F140" s="30">
        <v>41917</v>
      </c>
      <c r="G140" s="29" t="s">
        <v>493</v>
      </c>
      <c r="H140" s="29" t="s">
        <v>494</v>
      </c>
      <c r="I140" s="29" t="s">
        <v>66</v>
      </c>
      <c r="J140" s="31" t="s">
        <v>1444</v>
      </c>
      <c r="K140" s="29" t="s">
        <v>1445</v>
      </c>
      <c r="L140" s="29" t="s">
        <v>491</v>
      </c>
      <c r="M140" s="32" t="s">
        <v>1446</v>
      </c>
    </row>
    <row r="141" spans="1:13" ht="15.75" thickBot="1" x14ac:dyDescent="0.3">
      <c r="A141" s="33">
        <v>46000.303946759261</v>
      </c>
      <c r="B141" s="34" t="s">
        <v>1317</v>
      </c>
      <c r="C141" s="34" t="s">
        <v>511</v>
      </c>
      <c r="D141" s="34" t="s">
        <v>1447</v>
      </c>
      <c r="E141" s="34" t="s">
        <v>10</v>
      </c>
      <c r="F141" s="35">
        <v>41653</v>
      </c>
      <c r="G141" s="34" t="s">
        <v>1448</v>
      </c>
      <c r="H141" s="34" t="s">
        <v>1449</v>
      </c>
      <c r="I141" s="34" t="s">
        <v>2</v>
      </c>
      <c r="J141" s="36" t="s">
        <v>1450</v>
      </c>
      <c r="K141" s="34" t="s">
        <v>1451</v>
      </c>
      <c r="L141" s="34" t="s">
        <v>3053</v>
      </c>
      <c r="M141" s="38"/>
    </row>
    <row r="142" spans="1:13" ht="15.75" thickBot="1" x14ac:dyDescent="0.3">
      <c r="A142" s="28">
        <v>46000.304131944446</v>
      </c>
      <c r="B142" s="29" t="s">
        <v>10</v>
      </c>
      <c r="C142" s="29" t="s">
        <v>1452</v>
      </c>
      <c r="D142" s="29" t="s">
        <v>497</v>
      </c>
      <c r="E142" s="29" t="s">
        <v>365</v>
      </c>
      <c r="F142" s="30">
        <v>41407</v>
      </c>
      <c r="G142" s="29" t="s">
        <v>498</v>
      </c>
      <c r="H142" s="29" t="s">
        <v>499</v>
      </c>
      <c r="I142" s="29" t="s">
        <v>66</v>
      </c>
      <c r="J142" s="31" t="s">
        <v>1453</v>
      </c>
      <c r="K142" s="29" t="s">
        <v>1454</v>
      </c>
      <c r="L142" s="29" t="s">
        <v>496</v>
      </c>
      <c r="M142" s="32" t="s">
        <v>1455</v>
      </c>
    </row>
    <row r="143" spans="1:13" ht="15.75" thickBot="1" x14ac:dyDescent="0.3">
      <c r="A143" s="33">
        <v>46000.305312500001</v>
      </c>
      <c r="B143" s="34" t="s">
        <v>10</v>
      </c>
      <c r="C143" s="34" t="s">
        <v>490</v>
      </c>
      <c r="D143" s="34" t="s">
        <v>502</v>
      </c>
      <c r="E143" s="34" t="s">
        <v>10</v>
      </c>
      <c r="F143" s="35">
        <v>41708</v>
      </c>
      <c r="G143" s="34" t="s">
        <v>503</v>
      </c>
      <c r="H143" s="34" t="s">
        <v>504</v>
      </c>
      <c r="I143" s="34" t="s">
        <v>66</v>
      </c>
      <c r="J143" s="36" t="s">
        <v>1456</v>
      </c>
      <c r="K143" s="34" t="s">
        <v>1457</v>
      </c>
      <c r="L143" s="34" t="s">
        <v>501</v>
      </c>
      <c r="M143" s="37" t="s">
        <v>1458</v>
      </c>
    </row>
    <row r="144" spans="1:13" ht="15.75" thickBot="1" x14ac:dyDescent="0.3">
      <c r="A144" s="28">
        <v>46001.847418981481</v>
      </c>
      <c r="B144" s="29" t="s">
        <v>10</v>
      </c>
      <c r="C144" s="29" t="s">
        <v>511</v>
      </c>
      <c r="D144" s="29" t="s">
        <v>507</v>
      </c>
      <c r="E144" s="29" t="s">
        <v>116</v>
      </c>
      <c r="F144" s="30">
        <v>42541</v>
      </c>
      <c r="G144" s="29" t="s">
        <v>508</v>
      </c>
      <c r="H144" s="29" t="s">
        <v>509</v>
      </c>
      <c r="I144" s="29" t="s">
        <v>2</v>
      </c>
      <c r="J144" s="31" t="s">
        <v>1464</v>
      </c>
      <c r="K144" s="29" t="s">
        <v>1465</v>
      </c>
      <c r="L144" s="29" t="s">
        <v>506</v>
      </c>
      <c r="M144" s="32" t="s">
        <v>1466</v>
      </c>
    </row>
    <row r="145" spans="1:13" ht="15.75" thickBot="1" x14ac:dyDescent="0.3">
      <c r="A145" s="33">
        <v>46000.324421296296</v>
      </c>
      <c r="B145" s="34" t="s">
        <v>10</v>
      </c>
      <c r="C145" s="34" t="s">
        <v>1467</v>
      </c>
      <c r="D145" s="34" t="s">
        <v>513</v>
      </c>
      <c r="E145" s="34" t="s">
        <v>204</v>
      </c>
      <c r="F145" s="35">
        <v>41841</v>
      </c>
      <c r="G145" s="34" t="s">
        <v>514</v>
      </c>
      <c r="H145" s="34" t="s">
        <v>515</v>
      </c>
      <c r="I145" s="34" t="s">
        <v>66</v>
      </c>
      <c r="J145" s="36" t="s">
        <v>1468</v>
      </c>
      <c r="K145" s="34" t="s">
        <v>1469</v>
      </c>
      <c r="L145" s="34" t="s">
        <v>512</v>
      </c>
      <c r="M145" s="37" t="s">
        <v>1470</v>
      </c>
    </row>
    <row r="146" spans="1:13" ht="15.75" thickBot="1" x14ac:dyDescent="0.3">
      <c r="A146" s="28">
        <v>46000.397268518522</v>
      </c>
      <c r="B146" s="29" t="s">
        <v>10</v>
      </c>
      <c r="C146" s="29" t="s">
        <v>1467</v>
      </c>
      <c r="D146" s="29" t="s">
        <v>518</v>
      </c>
      <c r="E146" s="29" t="s">
        <v>10</v>
      </c>
      <c r="F146" s="30">
        <v>41762</v>
      </c>
      <c r="G146" s="29" t="s">
        <v>519</v>
      </c>
      <c r="H146" s="29" t="s">
        <v>520</v>
      </c>
      <c r="I146" s="29" t="s">
        <v>66</v>
      </c>
      <c r="J146" s="31" t="s">
        <v>1471</v>
      </c>
      <c r="K146" s="29" t="s">
        <v>1472</v>
      </c>
      <c r="L146" s="29" t="s">
        <v>517</v>
      </c>
      <c r="M146" s="32" t="s">
        <v>1473</v>
      </c>
    </row>
    <row r="147" spans="1:13" ht="15.75" thickBot="1" x14ac:dyDescent="0.3">
      <c r="A147" s="33">
        <v>46000.397430555553</v>
      </c>
      <c r="B147" s="34" t="s">
        <v>953</v>
      </c>
      <c r="C147" s="34" t="s">
        <v>268</v>
      </c>
      <c r="D147" s="34" t="s">
        <v>523</v>
      </c>
      <c r="E147" s="34" t="s">
        <v>402</v>
      </c>
      <c r="F147" s="35">
        <v>41460</v>
      </c>
      <c r="G147" s="34" t="s">
        <v>524</v>
      </c>
      <c r="H147" s="34" t="s">
        <v>525</v>
      </c>
      <c r="I147" s="34" t="s">
        <v>2</v>
      </c>
      <c r="J147" s="36" t="s">
        <v>1474</v>
      </c>
      <c r="K147" s="34" t="s">
        <v>1475</v>
      </c>
      <c r="L147" s="34" t="s">
        <v>522</v>
      </c>
      <c r="M147" s="37" t="s">
        <v>1476</v>
      </c>
    </row>
    <row r="148" spans="1:13" ht="15.75" thickBot="1" x14ac:dyDescent="0.3">
      <c r="A148" s="28">
        <v>46000.397615740738</v>
      </c>
      <c r="B148" s="29" t="s">
        <v>10</v>
      </c>
      <c r="C148" s="29" t="s">
        <v>1467</v>
      </c>
      <c r="D148" s="29" t="s">
        <v>528</v>
      </c>
      <c r="E148" s="29" t="s">
        <v>28</v>
      </c>
      <c r="F148" s="30">
        <v>42087</v>
      </c>
      <c r="G148" s="29" t="s">
        <v>529</v>
      </c>
      <c r="H148" s="29" t="s">
        <v>530</v>
      </c>
      <c r="I148" s="29" t="s">
        <v>66</v>
      </c>
      <c r="J148" s="31" t="s">
        <v>1477</v>
      </c>
      <c r="K148" s="29" t="s">
        <v>1478</v>
      </c>
      <c r="L148" s="29" t="s">
        <v>527</v>
      </c>
      <c r="M148" s="32" t="s">
        <v>1479</v>
      </c>
    </row>
    <row r="149" spans="1:13" ht="15.75" thickBot="1" x14ac:dyDescent="0.3">
      <c r="A149" s="33">
        <v>46000.399884259263</v>
      </c>
      <c r="B149" s="34" t="s">
        <v>10</v>
      </c>
      <c r="C149" s="34" t="s">
        <v>1296</v>
      </c>
      <c r="D149" s="34" t="s">
        <v>533</v>
      </c>
      <c r="E149" s="34" t="s">
        <v>204</v>
      </c>
      <c r="F149" s="35">
        <v>41871</v>
      </c>
      <c r="G149" s="34" t="s">
        <v>534</v>
      </c>
      <c r="H149" s="34" t="s">
        <v>535</v>
      </c>
      <c r="I149" s="34" t="s">
        <v>2</v>
      </c>
      <c r="J149" s="36" t="s">
        <v>1480</v>
      </c>
      <c r="K149" s="34" t="s">
        <v>1481</v>
      </c>
      <c r="L149" s="34" t="s">
        <v>532</v>
      </c>
      <c r="M149" s="37" t="s">
        <v>1482</v>
      </c>
    </row>
    <row r="150" spans="1:13" ht="15.75" thickBot="1" x14ac:dyDescent="0.3">
      <c r="A150" s="28">
        <v>46000.407106481478</v>
      </c>
      <c r="B150" s="29" t="s">
        <v>10</v>
      </c>
      <c r="C150" s="29" t="s">
        <v>1483</v>
      </c>
      <c r="D150" s="29" t="s">
        <v>538</v>
      </c>
      <c r="E150" s="29" t="s">
        <v>28</v>
      </c>
      <c r="F150" s="30">
        <v>41895</v>
      </c>
      <c r="G150" s="29" t="s">
        <v>539</v>
      </c>
      <c r="H150" s="29" t="s">
        <v>540</v>
      </c>
      <c r="I150" s="29" t="s">
        <v>66</v>
      </c>
      <c r="J150" s="31" t="s">
        <v>1484</v>
      </c>
      <c r="K150" s="29" t="s">
        <v>1485</v>
      </c>
      <c r="L150" s="29" t="s">
        <v>537</v>
      </c>
      <c r="M150" s="32" t="s">
        <v>1486</v>
      </c>
    </row>
    <row r="151" spans="1:13" ht="15.75" thickBot="1" x14ac:dyDescent="0.3">
      <c r="A151" s="33">
        <v>46000.410995370374</v>
      </c>
      <c r="B151" s="34" t="s">
        <v>953</v>
      </c>
      <c r="C151" s="34" t="s">
        <v>268</v>
      </c>
      <c r="D151" s="34" t="s">
        <v>475</v>
      </c>
      <c r="E151" s="34" t="s">
        <v>10</v>
      </c>
      <c r="F151" s="35">
        <v>41600</v>
      </c>
      <c r="G151" s="34" t="s">
        <v>476</v>
      </c>
      <c r="H151" s="34" t="s">
        <v>543</v>
      </c>
      <c r="I151" s="34" t="s">
        <v>2</v>
      </c>
      <c r="J151" s="36" t="s">
        <v>1487</v>
      </c>
      <c r="K151" s="34" t="s">
        <v>1488</v>
      </c>
      <c r="L151" s="34" t="s">
        <v>542</v>
      </c>
      <c r="M151" s="37" t="s">
        <v>1489</v>
      </c>
    </row>
    <row r="152" spans="1:13" ht="15.75" thickBot="1" x14ac:dyDescent="0.3">
      <c r="A152" s="28">
        <v>46000.412083333336</v>
      </c>
      <c r="B152" s="29" t="s">
        <v>10</v>
      </c>
      <c r="C152" s="29" t="s">
        <v>550</v>
      </c>
      <c r="D152" s="29" t="s">
        <v>546</v>
      </c>
      <c r="E152" s="29" t="s">
        <v>28</v>
      </c>
      <c r="F152" s="30">
        <v>43177</v>
      </c>
      <c r="G152" s="29" t="s">
        <v>547</v>
      </c>
      <c r="H152" s="29" t="s">
        <v>548</v>
      </c>
      <c r="I152" s="29" t="s">
        <v>2</v>
      </c>
      <c r="J152" s="31" t="s">
        <v>1490</v>
      </c>
      <c r="K152" s="29" t="s">
        <v>1491</v>
      </c>
      <c r="L152" s="29" t="s">
        <v>545</v>
      </c>
      <c r="M152" s="32" t="s">
        <v>1492</v>
      </c>
    </row>
    <row r="153" spans="1:13" ht="15.75" thickBot="1" x14ac:dyDescent="0.3">
      <c r="A153" s="33">
        <v>46000.413148148145</v>
      </c>
      <c r="B153" s="34" t="s">
        <v>10</v>
      </c>
      <c r="C153" s="34" t="s">
        <v>1493</v>
      </c>
      <c r="D153" s="34" t="s">
        <v>552</v>
      </c>
      <c r="E153" s="34" t="s">
        <v>553</v>
      </c>
      <c r="F153" s="35">
        <v>41574</v>
      </c>
      <c r="G153" s="34" t="s">
        <v>554</v>
      </c>
      <c r="H153" s="34" t="s">
        <v>555</v>
      </c>
      <c r="I153" s="34" t="s">
        <v>66</v>
      </c>
      <c r="J153" s="36" t="s">
        <v>1494</v>
      </c>
      <c r="K153" s="34" t="s">
        <v>1495</v>
      </c>
      <c r="L153" s="34" t="s">
        <v>551</v>
      </c>
      <c r="M153" s="37" t="s">
        <v>1496</v>
      </c>
    </row>
    <row r="154" spans="1:13" ht="15.75" thickBot="1" x14ac:dyDescent="0.3">
      <c r="A154" s="28">
        <v>46000.41777777778</v>
      </c>
      <c r="B154" s="29" t="s">
        <v>10</v>
      </c>
      <c r="C154" s="29" t="s">
        <v>1497</v>
      </c>
      <c r="D154" s="29" t="s">
        <v>558</v>
      </c>
      <c r="E154" s="29" t="s">
        <v>10</v>
      </c>
      <c r="F154" s="30">
        <v>42141</v>
      </c>
      <c r="G154" s="29" t="s">
        <v>559</v>
      </c>
      <c r="H154" s="29" t="s">
        <v>560</v>
      </c>
      <c r="I154" s="29" t="s">
        <v>2</v>
      </c>
      <c r="J154" s="31" t="s">
        <v>1498</v>
      </c>
      <c r="K154" s="29" t="s">
        <v>1499</v>
      </c>
      <c r="L154" s="29" t="s">
        <v>557</v>
      </c>
      <c r="M154" s="32" t="s">
        <v>1500</v>
      </c>
    </row>
    <row r="155" spans="1:13" ht="15.75" thickBot="1" x14ac:dyDescent="0.3">
      <c r="A155" s="33">
        <v>46000.42224537037</v>
      </c>
      <c r="B155" s="34" t="s">
        <v>1317</v>
      </c>
      <c r="C155" s="34" t="s">
        <v>484</v>
      </c>
      <c r="D155" s="34" t="s">
        <v>1501</v>
      </c>
      <c r="E155" s="34" t="s">
        <v>1502</v>
      </c>
      <c r="F155" s="35">
        <v>45722</v>
      </c>
      <c r="G155" s="34" t="s">
        <v>1503</v>
      </c>
      <c r="H155" s="34" t="s">
        <v>1504</v>
      </c>
      <c r="I155" s="34" t="s">
        <v>66</v>
      </c>
      <c r="J155" s="36" t="s">
        <v>1505</v>
      </c>
      <c r="K155" s="34" t="s">
        <v>1506</v>
      </c>
      <c r="L155" s="34" t="s">
        <v>3055</v>
      </c>
      <c r="M155" s="38"/>
    </row>
    <row r="156" spans="1:13" ht="15.75" thickBot="1" x14ac:dyDescent="0.3">
      <c r="A156" s="28">
        <v>46000.464108796295</v>
      </c>
      <c r="B156" s="29" t="s">
        <v>10</v>
      </c>
      <c r="C156" s="29" t="s">
        <v>567</v>
      </c>
      <c r="D156" s="29" t="s">
        <v>563</v>
      </c>
      <c r="E156" s="29" t="s">
        <v>10</v>
      </c>
      <c r="F156" s="30">
        <v>42621</v>
      </c>
      <c r="G156" s="29" t="s">
        <v>564</v>
      </c>
      <c r="H156" s="29" t="s">
        <v>565</v>
      </c>
      <c r="I156" s="29" t="s">
        <v>2</v>
      </c>
      <c r="J156" s="31" t="s">
        <v>1507</v>
      </c>
      <c r="K156" s="29" t="s">
        <v>1508</v>
      </c>
      <c r="L156" s="29" t="s">
        <v>562</v>
      </c>
      <c r="M156" s="32" t="s">
        <v>1509</v>
      </c>
    </row>
    <row r="157" spans="1:13" ht="15.75" thickBot="1" x14ac:dyDescent="0.3">
      <c r="A157" s="33">
        <v>46000.466643518521</v>
      </c>
      <c r="B157" s="34" t="s">
        <v>10</v>
      </c>
      <c r="C157" s="34" t="s">
        <v>567</v>
      </c>
      <c r="D157" s="34" t="s">
        <v>569</v>
      </c>
      <c r="E157" s="34" t="s">
        <v>10</v>
      </c>
      <c r="F157" s="35">
        <v>42412</v>
      </c>
      <c r="G157" s="34" t="s">
        <v>570</v>
      </c>
      <c r="H157" s="34" t="s">
        <v>571</v>
      </c>
      <c r="I157" s="34" t="s">
        <v>2</v>
      </c>
      <c r="J157" s="36" t="s">
        <v>1510</v>
      </c>
      <c r="K157" s="34" t="s">
        <v>1511</v>
      </c>
      <c r="L157" s="34" t="s">
        <v>568</v>
      </c>
      <c r="M157" s="37" t="s">
        <v>1512</v>
      </c>
    </row>
    <row r="158" spans="1:13" ht="15.75" thickBot="1" x14ac:dyDescent="0.3">
      <c r="A158" s="28">
        <v>46000.479803240742</v>
      </c>
      <c r="B158" s="29" t="s">
        <v>10</v>
      </c>
      <c r="C158" s="29" t="s">
        <v>567</v>
      </c>
      <c r="D158" s="29" t="s">
        <v>574</v>
      </c>
      <c r="E158" s="29" t="s">
        <v>10</v>
      </c>
      <c r="F158" s="30">
        <v>42543</v>
      </c>
      <c r="G158" s="29" t="s">
        <v>575</v>
      </c>
      <c r="H158" s="29" t="s">
        <v>576</v>
      </c>
      <c r="I158" s="29" t="s">
        <v>2</v>
      </c>
      <c r="J158" s="31" t="s">
        <v>1515</v>
      </c>
      <c r="K158" s="29" t="s">
        <v>1516</v>
      </c>
      <c r="L158" s="29" t="s">
        <v>573</v>
      </c>
      <c r="M158" s="32" t="s">
        <v>1517</v>
      </c>
    </row>
    <row r="159" spans="1:13" ht="15.75" thickBot="1" x14ac:dyDescent="0.3">
      <c r="A159" s="33">
        <v>46000.482233796298</v>
      </c>
      <c r="B159" s="34" t="s">
        <v>10</v>
      </c>
      <c r="C159" s="34" t="s">
        <v>567</v>
      </c>
      <c r="D159" s="34" t="s">
        <v>578</v>
      </c>
      <c r="E159" s="34" t="s">
        <v>579</v>
      </c>
      <c r="F159" s="35">
        <v>40834</v>
      </c>
      <c r="G159" s="34" t="s">
        <v>580</v>
      </c>
      <c r="H159" s="34" t="s">
        <v>581</v>
      </c>
      <c r="I159" s="34" t="s">
        <v>66</v>
      </c>
      <c r="J159" s="36" t="s">
        <v>1513</v>
      </c>
      <c r="K159" s="34" t="s">
        <v>1514</v>
      </c>
      <c r="L159" s="34" t="s">
        <v>3327</v>
      </c>
      <c r="M159" s="38"/>
    </row>
    <row r="160" spans="1:13" ht="15.75" thickBot="1" x14ac:dyDescent="0.3">
      <c r="A160" s="28">
        <v>46000.482233796298</v>
      </c>
      <c r="B160" s="29" t="s">
        <v>1153</v>
      </c>
      <c r="C160" s="29" t="s">
        <v>256</v>
      </c>
      <c r="D160" s="29" t="s">
        <v>1518</v>
      </c>
      <c r="E160" s="29" t="s">
        <v>10</v>
      </c>
      <c r="F160" s="30">
        <v>42323</v>
      </c>
      <c r="G160" s="29" t="s">
        <v>1519</v>
      </c>
      <c r="H160" s="29" t="s">
        <v>1520</v>
      </c>
      <c r="I160" s="29" t="s">
        <v>2</v>
      </c>
      <c r="J160" s="31" t="s">
        <v>1521</v>
      </c>
      <c r="K160" s="29" t="s">
        <v>1522</v>
      </c>
      <c r="L160" s="29" t="s">
        <v>3036</v>
      </c>
      <c r="M160" s="126"/>
    </row>
    <row r="161" spans="1:13" ht="15.75" thickBot="1" x14ac:dyDescent="0.3">
      <c r="A161" s="33">
        <v>46000.492789351854</v>
      </c>
      <c r="B161" s="34" t="s">
        <v>1317</v>
      </c>
      <c r="C161" s="34" t="s">
        <v>473</v>
      </c>
      <c r="D161" s="34" t="s">
        <v>1523</v>
      </c>
      <c r="E161" s="34" t="s">
        <v>10</v>
      </c>
      <c r="F161" s="35">
        <v>42364</v>
      </c>
      <c r="G161" s="34" t="s">
        <v>1524</v>
      </c>
      <c r="H161" s="34" t="s">
        <v>1525</v>
      </c>
      <c r="I161" s="34" t="s">
        <v>2</v>
      </c>
      <c r="J161" s="36" t="s">
        <v>1526</v>
      </c>
      <c r="K161" s="34" t="s">
        <v>1527</v>
      </c>
      <c r="L161" s="34" t="s">
        <v>3056</v>
      </c>
      <c r="M161" s="38"/>
    </row>
    <row r="162" spans="1:13" ht="15.75" thickBot="1" x14ac:dyDescent="0.3">
      <c r="A162" s="28">
        <v>46000.497175925928</v>
      </c>
      <c r="B162" s="29" t="s">
        <v>10</v>
      </c>
      <c r="C162" s="29" t="s">
        <v>567</v>
      </c>
      <c r="D162" s="29" t="s">
        <v>583</v>
      </c>
      <c r="E162" s="29" t="s">
        <v>28</v>
      </c>
      <c r="F162" s="30">
        <v>41261</v>
      </c>
      <c r="G162" s="29" t="s">
        <v>584</v>
      </c>
      <c r="H162" s="29" t="s">
        <v>585</v>
      </c>
      <c r="I162" s="29" t="s">
        <v>66</v>
      </c>
      <c r="J162" s="31" t="s">
        <v>1528</v>
      </c>
      <c r="K162" s="29" t="s">
        <v>1529</v>
      </c>
      <c r="L162" s="29" t="s">
        <v>582</v>
      </c>
      <c r="M162" s="32" t="s">
        <v>1530</v>
      </c>
    </row>
    <row r="163" spans="1:13" ht="15.75" thickBot="1" x14ac:dyDescent="0.3">
      <c r="A163" s="33">
        <v>46000.512731481482</v>
      </c>
      <c r="B163" s="34" t="s">
        <v>10</v>
      </c>
      <c r="C163" s="34" t="s">
        <v>593</v>
      </c>
      <c r="D163" s="34" t="s">
        <v>588</v>
      </c>
      <c r="E163" s="34" t="s">
        <v>589</v>
      </c>
      <c r="F163" s="35">
        <v>41607</v>
      </c>
      <c r="G163" s="34" t="s">
        <v>590</v>
      </c>
      <c r="H163" s="34" t="s">
        <v>591</v>
      </c>
      <c r="I163" s="34" t="s">
        <v>66</v>
      </c>
      <c r="J163" s="36" t="s">
        <v>1531</v>
      </c>
      <c r="K163" s="34" t="s">
        <v>1532</v>
      </c>
      <c r="L163" s="34" t="s">
        <v>587</v>
      </c>
      <c r="M163" s="37" t="s">
        <v>1533</v>
      </c>
    </row>
    <row r="164" spans="1:13" ht="15.75" thickBot="1" x14ac:dyDescent="0.3">
      <c r="A164" s="28">
        <v>46000.530138888891</v>
      </c>
      <c r="B164" s="29" t="s">
        <v>1153</v>
      </c>
      <c r="C164" s="29" t="s">
        <v>1534</v>
      </c>
      <c r="D164" s="29" t="s">
        <v>1535</v>
      </c>
      <c r="E164" s="29" t="s">
        <v>10</v>
      </c>
      <c r="F164" s="30">
        <v>42118</v>
      </c>
      <c r="G164" s="29" t="s">
        <v>1536</v>
      </c>
      <c r="H164" s="29" t="s">
        <v>1537</v>
      </c>
      <c r="I164" s="29" t="s">
        <v>2</v>
      </c>
      <c r="J164" s="31" t="s">
        <v>1538</v>
      </c>
      <c r="K164" s="29" t="s">
        <v>1539</v>
      </c>
      <c r="L164" s="29" t="s">
        <v>3037</v>
      </c>
      <c r="M164" s="126"/>
    </row>
    <row r="165" spans="1:13" ht="15.75" thickBot="1" x14ac:dyDescent="0.3">
      <c r="A165" s="33">
        <v>46000.535185185188</v>
      </c>
      <c r="B165" s="34" t="s">
        <v>1153</v>
      </c>
      <c r="C165" s="34" t="s">
        <v>1534</v>
      </c>
      <c r="D165" s="34" t="s">
        <v>1540</v>
      </c>
      <c r="E165" s="34" t="s">
        <v>10</v>
      </c>
      <c r="F165" s="35">
        <v>41609</v>
      </c>
      <c r="G165" s="34" t="s">
        <v>1541</v>
      </c>
      <c r="H165" s="34" t="s">
        <v>1542</v>
      </c>
      <c r="I165" s="34" t="s">
        <v>66</v>
      </c>
      <c r="J165" s="36" t="s">
        <v>1543</v>
      </c>
      <c r="K165" s="34" t="s">
        <v>1544</v>
      </c>
      <c r="L165" s="34" t="s">
        <v>3038</v>
      </c>
      <c r="M165" s="38"/>
    </row>
    <row r="166" spans="1:13" ht="15.75" thickBot="1" x14ac:dyDescent="0.3">
      <c r="A166" s="28">
        <v>46000.552129629628</v>
      </c>
      <c r="B166" s="29" t="s">
        <v>1153</v>
      </c>
      <c r="C166" s="29" t="s">
        <v>1534</v>
      </c>
      <c r="D166" s="29" t="s">
        <v>1545</v>
      </c>
      <c r="E166" s="29" t="s">
        <v>10</v>
      </c>
      <c r="F166" s="30">
        <v>42137</v>
      </c>
      <c r="G166" s="29" t="s">
        <v>1546</v>
      </c>
      <c r="H166" s="29" t="s">
        <v>1547</v>
      </c>
      <c r="I166" s="29" t="s">
        <v>2</v>
      </c>
      <c r="J166" s="31" t="s">
        <v>1548</v>
      </c>
      <c r="K166" s="29" t="s">
        <v>1549</v>
      </c>
      <c r="L166" s="29" t="s">
        <v>3039</v>
      </c>
      <c r="M166" s="126"/>
    </row>
    <row r="167" spans="1:13" ht="15.75" thickBot="1" x14ac:dyDescent="0.3">
      <c r="A167" s="33">
        <v>46000.567384259259</v>
      </c>
      <c r="B167" s="34" t="s">
        <v>10</v>
      </c>
      <c r="C167" s="34" t="s">
        <v>319</v>
      </c>
      <c r="D167" s="34" t="s">
        <v>595</v>
      </c>
      <c r="E167" s="34" t="s">
        <v>10</v>
      </c>
      <c r="F167" s="35">
        <v>40625</v>
      </c>
      <c r="G167" s="34" t="s">
        <v>596</v>
      </c>
      <c r="H167" s="34" t="s">
        <v>597</v>
      </c>
      <c r="I167" s="34" t="s">
        <v>66</v>
      </c>
      <c r="J167" s="36" t="s">
        <v>1550</v>
      </c>
      <c r="K167" s="34" t="s">
        <v>1551</v>
      </c>
      <c r="L167" s="34" t="s">
        <v>594</v>
      </c>
      <c r="M167" s="37" t="s">
        <v>1552</v>
      </c>
    </row>
    <row r="168" spans="1:13" ht="15.75" thickBot="1" x14ac:dyDescent="0.3">
      <c r="A168" s="28">
        <v>46000.567465277774</v>
      </c>
      <c r="B168" s="29" t="s">
        <v>953</v>
      </c>
      <c r="C168" s="29" t="s">
        <v>268</v>
      </c>
      <c r="D168" s="29" t="s">
        <v>600</v>
      </c>
      <c r="E168" s="29" t="s">
        <v>10</v>
      </c>
      <c r="F168" s="30">
        <v>42646</v>
      </c>
      <c r="G168" s="29" t="s">
        <v>601</v>
      </c>
      <c r="H168" s="29" t="s">
        <v>602</v>
      </c>
      <c r="I168" s="29" t="s">
        <v>2</v>
      </c>
      <c r="J168" s="31" t="s">
        <v>1553</v>
      </c>
      <c r="K168" s="29" t="s">
        <v>1554</v>
      </c>
      <c r="L168" s="29" t="s">
        <v>599</v>
      </c>
      <c r="M168" s="32" t="s">
        <v>1555</v>
      </c>
    </row>
    <row r="169" spans="1:13" ht="15.75" thickBot="1" x14ac:dyDescent="0.3">
      <c r="A169" s="33">
        <v>46000.571250000001</v>
      </c>
      <c r="B169" s="34" t="s">
        <v>953</v>
      </c>
      <c r="C169" s="34" t="s">
        <v>609</v>
      </c>
      <c r="D169" s="34" t="s">
        <v>605</v>
      </c>
      <c r="E169" s="34" t="s">
        <v>10</v>
      </c>
      <c r="F169" s="35">
        <v>42627</v>
      </c>
      <c r="G169" s="34" t="s">
        <v>606</v>
      </c>
      <c r="H169" s="34" t="s">
        <v>607</v>
      </c>
      <c r="I169" s="34" t="s">
        <v>66</v>
      </c>
      <c r="J169" s="36" t="s">
        <v>1556</v>
      </c>
      <c r="K169" s="34" t="s">
        <v>1557</v>
      </c>
      <c r="L169" s="34" t="s">
        <v>604</v>
      </c>
      <c r="M169" s="37" t="s">
        <v>1558</v>
      </c>
    </row>
    <row r="170" spans="1:13" ht="15.75" thickBot="1" x14ac:dyDescent="0.3">
      <c r="A170" s="28">
        <v>46000.617118055554</v>
      </c>
      <c r="B170" s="29" t="s">
        <v>1317</v>
      </c>
      <c r="C170" s="29" t="s">
        <v>473</v>
      </c>
      <c r="D170" s="29" t="s">
        <v>1559</v>
      </c>
      <c r="E170" s="29" t="s">
        <v>28</v>
      </c>
      <c r="F170" s="30">
        <v>42083</v>
      </c>
      <c r="G170" s="29" t="s">
        <v>1560</v>
      </c>
      <c r="H170" s="29" t="s">
        <v>1561</v>
      </c>
      <c r="I170" s="29" t="s">
        <v>66</v>
      </c>
      <c r="J170" s="31" t="s">
        <v>1562</v>
      </c>
      <c r="K170" s="29" t="s">
        <v>1563</v>
      </c>
      <c r="L170" s="29" t="s">
        <v>3057</v>
      </c>
      <c r="M170" s="126"/>
    </row>
    <row r="171" spans="1:13" ht="15.75" thickBot="1" x14ac:dyDescent="0.3">
      <c r="A171" s="33">
        <v>46000.619629629633</v>
      </c>
      <c r="B171" s="34" t="s">
        <v>953</v>
      </c>
      <c r="C171" s="34" t="s">
        <v>609</v>
      </c>
      <c r="D171" s="34" t="s">
        <v>611</v>
      </c>
      <c r="E171" s="34" t="s">
        <v>10</v>
      </c>
      <c r="F171" s="35">
        <v>42499</v>
      </c>
      <c r="G171" s="34" t="s">
        <v>612</v>
      </c>
      <c r="H171" s="34" t="s">
        <v>613</v>
      </c>
      <c r="I171" s="34" t="s">
        <v>66</v>
      </c>
      <c r="J171" s="36" t="s">
        <v>1564</v>
      </c>
      <c r="K171" s="34" t="s">
        <v>1565</v>
      </c>
      <c r="L171" s="34" t="s">
        <v>610</v>
      </c>
      <c r="M171" s="37" t="s">
        <v>1566</v>
      </c>
    </row>
    <row r="172" spans="1:13" ht="15.75" thickBot="1" x14ac:dyDescent="0.3">
      <c r="A172" s="28">
        <v>46000.621099537035</v>
      </c>
      <c r="B172" s="29" t="s">
        <v>10</v>
      </c>
      <c r="C172" s="29" t="s">
        <v>1493</v>
      </c>
      <c r="D172" s="29" t="s">
        <v>616</v>
      </c>
      <c r="E172" s="29" t="s">
        <v>28</v>
      </c>
      <c r="F172" s="30">
        <v>41586</v>
      </c>
      <c r="G172" s="29" t="s">
        <v>376</v>
      </c>
      <c r="H172" s="29" t="s">
        <v>377</v>
      </c>
      <c r="I172" s="29" t="s">
        <v>66</v>
      </c>
      <c r="J172" s="31" t="s">
        <v>1567</v>
      </c>
      <c r="K172" s="29" t="s">
        <v>1568</v>
      </c>
      <c r="L172" s="29" t="s">
        <v>615</v>
      </c>
      <c r="M172" s="32" t="s">
        <v>1569</v>
      </c>
    </row>
    <row r="173" spans="1:13" ht="15.75" thickBot="1" x14ac:dyDescent="0.3">
      <c r="A173" s="33">
        <v>46000.628287037034</v>
      </c>
      <c r="B173" s="34" t="s">
        <v>953</v>
      </c>
      <c r="C173" s="34" t="s">
        <v>609</v>
      </c>
      <c r="D173" s="34" t="s">
        <v>619</v>
      </c>
      <c r="E173" s="34" t="s">
        <v>10</v>
      </c>
      <c r="F173" s="35">
        <v>42694</v>
      </c>
      <c r="G173" s="34" t="s">
        <v>620</v>
      </c>
      <c r="H173" s="34" t="s">
        <v>621</v>
      </c>
      <c r="I173" s="34" t="s">
        <v>66</v>
      </c>
      <c r="J173" s="36" t="s">
        <v>1570</v>
      </c>
      <c r="K173" s="34" t="s">
        <v>1571</v>
      </c>
      <c r="L173" s="34" t="s">
        <v>618</v>
      </c>
      <c r="M173" s="37" t="s">
        <v>1572</v>
      </c>
    </row>
    <row r="174" spans="1:13" ht="15.75" thickBot="1" x14ac:dyDescent="0.3">
      <c r="A174" s="28">
        <v>46000.628750000003</v>
      </c>
      <c r="B174" s="29" t="s">
        <v>953</v>
      </c>
      <c r="C174" s="29" t="s">
        <v>609</v>
      </c>
      <c r="D174" s="29" t="s">
        <v>624</v>
      </c>
      <c r="E174" s="29" t="s">
        <v>10</v>
      </c>
      <c r="F174" s="30">
        <v>42252</v>
      </c>
      <c r="G174" s="29" t="s">
        <v>625</v>
      </c>
      <c r="H174" s="29" t="s">
        <v>626</v>
      </c>
      <c r="I174" s="29" t="s">
        <v>2</v>
      </c>
      <c r="J174" s="31" t="s">
        <v>1573</v>
      </c>
      <c r="K174" s="29" t="s">
        <v>1574</v>
      </c>
      <c r="L174" s="29" t="s">
        <v>623</v>
      </c>
      <c r="M174" s="32" t="s">
        <v>1575</v>
      </c>
    </row>
    <row r="175" spans="1:13" ht="15.75" thickBot="1" x14ac:dyDescent="0.3">
      <c r="A175" s="33">
        <v>46000.632384259261</v>
      </c>
      <c r="B175" s="34" t="s">
        <v>953</v>
      </c>
      <c r="C175" s="34" t="s">
        <v>609</v>
      </c>
      <c r="D175" s="34" t="s">
        <v>629</v>
      </c>
      <c r="E175" s="34" t="s">
        <v>10</v>
      </c>
      <c r="F175" s="35">
        <v>42138</v>
      </c>
      <c r="G175" s="34" t="s">
        <v>630</v>
      </c>
      <c r="H175" s="34" t="s">
        <v>631</v>
      </c>
      <c r="I175" s="34" t="s">
        <v>2</v>
      </c>
      <c r="J175" s="36" t="s">
        <v>1576</v>
      </c>
      <c r="K175" s="34" t="s">
        <v>1577</v>
      </c>
      <c r="L175" s="34" t="s">
        <v>628</v>
      </c>
      <c r="M175" s="37" t="s">
        <v>1578</v>
      </c>
    </row>
    <row r="176" spans="1:13" ht="15.75" thickBot="1" x14ac:dyDescent="0.3">
      <c r="A176" s="28">
        <v>46000.635613425926</v>
      </c>
      <c r="B176" s="29" t="s">
        <v>953</v>
      </c>
      <c r="C176" s="29" t="s">
        <v>609</v>
      </c>
      <c r="D176" s="29" t="s">
        <v>634</v>
      </c>
      <c r="E176" s="29" t="s">
        <v>10</v>
      </c>
      <c r="F176" s="30">
        <v>42640</v>
      </c>
      <c r="G176" s="29" t="s">
        <v>635</v>
      </c>
      <c r="H176" s="29" t="s">
        <v>636</v>
      </c>
      <c r="I176" s="29" t="s">
        <v>2</v>
      </c>
      <c r="J176" s="31" t="s">
        <v>1579</v>
      </c>
      <c r="K176" s="29" t="s">
        <v>1580</v>
      </c>
      <c r="L176" s="29" t="s">
        <v>633</v>
      </c>
      <c r="M176" s="32" t="s">
        <v>1581</v>
      </c>
    </row>
    <row r="177" spans="1:13" ht="15.75" thickBot="1" x14ac:dyDescent="0.3">
      <c r="A177" s="33">
        <v>46000.638437499998</v>
      </c>
      <c r="B177" s="34" t="s">
        <v>953</v>
      </c>
      <c r="C177" s="34" t="s">
        <v>609</v>
      </c>
      <c r="D177" s="34" t="s">
        <v>639</v>
      </c>
      <c r="E177" s="34" t="s">
        <v>10</v>
      </c>
      <c r="F177" s="35">
        <v>41933</v>
      </c>
      <c r="G177" s="34" t="s">
        <v>640</v>
      </c>
      <c r="H177" s="34" t="s">
        <v>641</v>
      </c>
      <c r="I177" s="34" t="s">
        <v>66</v>
      </c>
      <c r="J177" s="36" t="s">
        <v>1582</v>
      </c>
      <c r="K177" s="34" t="s">
        <v>1583</v>
      </c>
      <c r="L177" s="34" t="s">
        <v>638</v>
      </c>
      <c r="M177" s="37" t="s">
        <v>1584</v>
      </c>
    </row>
    <row r="178" spans="1:13" ht="15.75" thickBot="1" x14ac:dyDescent="0.3">
      <c r="A178" s="28">
        <v>46000.640509259261</v>
      </c>
      <c r="B178" s="29" t="s">
        <v>1317</v>
      </c>
      <c r="C178" s="29" t="s">
        <v>473</v>
      </c>
      <c r="D178" s="29" t="s">
        <v>1585</v>
      </c>
      <c r="E178" s="29" t="s">
        <v>10</v>
      </c>
      <c r="F178" s="30">
        <v>41863</v>
      </c>
      <c r="G178" s="29" t="s">
        <v>1586</v>
      </c>
      <c r="H178" s="29" t="s">
        <v>1587</v>
      </c>
      <c r="I178" s="29" t="s">
        <v>66</v>
      </c>
      <c r="J178" s="31" t="s">
        <v>1588</v>
      </c>
      <c r="K178" s="29" t="s">
        <v>1589</v>
      </c>
      <c r="L178" s="29" t="s">
        <v>3058</v>
      </c>
      <c r="M178" s="126"/>
    </row>
    <row r="179" spans="1:13" ht="15.75" thickBot="1" x14ac:dyDescent="0.3">
      <c r="A179" s="33">
        <v>46000.649259259262</v>
      </c>
      <c r="B179" s="34" t="s">
        <v>953</v>
      </c>
      <c r="C179" s="34" t="s">
        <v>609</v>
      </c>
      <c r="D179" s="34" t="s">
        <v>644</v>
      </c>
      <c r="E179" s="34" t="s">
        <v>10</v>
      </c>
      <c r="F179" s="35">
        <v>42465</v>
      </c>
      <c r="G179" s="34" t="s">
        <v>645</v>
      </c>
      <c r="H179" s="34" t="s">
        <v>646</v>
      </c>
      <c r="I179" s="34" t="s">
        <v>66</v>
      </c>
      <c r="J179" s="36" t="s">
        <v>1590</v>
      </c>
      <c r="K179" s="34" t="s">
        <v>1591</v>
      </c>
      <c r="L179" s="34" t="s">
        <v>643</v>
      </c>
      <c r="M179" s="37" t="s">
        <v>1592</v>
      </c>
    </row>
    <row r="180" spans="1:13" ht="15.75" thickBot="1" x14ac:dyDescent="0.3">
      <c r="A180" s="28">
        <v>46000.654803240737</v>
      </c>
      <c r="B180" s="29" t="s">
        <v>953</v>
      </c>
      <c r="C180" s="29" t="s">
        <v>609</v>
      </c>
      <c r="D180" s="29" t="s">
        <v>653</v>
      </c>
      <c r="E180" s="29" t="s">
        <v>10</v>
      </c>
      <c r="F180" s="30">
        <v>42056</v>
      </c>
      <c r="G180" s="29" t="s">
        <v>654</v>
      </c>
      <c r="H180" s="29" t="s">
        <v>655</v>
      </c>
      <c r="I180" s="29" t="s">
        <v>2</v>
      </c>
      <c r="J180" s="31" t="s">
        <v>1593</v>
      </c>
      <c r="K180" s="29" t="s">
        <v>1594</v>
      </c>
      <c r="L180" s="29" t="s">
        <v>3015</v>
      </c>
      <c r="M180" s="126"/>
    </row>
    <row r="181" spans="1:13" ht="15.75" thickBot="1" x14ac:dyDescent="0.3">
      <c r="A181" s="33">
        <v>46000.658587962964</v>
      </c>
      <c r="B181" s="34" t="s">
        <v>953</v>
      </c>
      <c r="C181" s="34" t="s">
        <v>609</v>
      </c>
      <c r="D181" s="34" t="s">
        <v>649</v>
      </c>
      <c r="E181" s="34" t="s">
        <v>10</v>
      </c>
      <c r="F181" s="35">
        <v>42642</v>
      </c>
      <c r="G181" s="34" t="s">
        <v>650</v>
      </c>
      <c r="H181" s="34" t="s">
        <v>651</v>
      </c>
      <c r="I181" s="34" t="s">
        <v>2</v>
      </c>
      <c r="J181" s="36" t="s">
        <v>1595</v>
      </c>
      <c r="K181" s="34" t="s">
        <v>1596</v>
      </c>
      <c r="L181" s="34" t="s">
        <v>648</v>
      </c>
      <c r="M181" s="37" t="s">
        <v>1597</v>
      </c>
    </row>
    <row r="182" spans="1:13" ht="15.75" thickBot="1" x14ac:dyDescent="0.3">
      <c r="A182" s="28">
        <v>46000.658622685187</v>
      </c>
      <c r="B182" s="29" t="s">
        <v>1317</v>
      </c>
      <c r="C182" s="29" t="s">
        <v>511</v>
      </c>
      <c r="D182" s="29" t="s">
        <v>1598</v>
      </c>
      <c r="E182" s="29" t="s">
        <v>365</v>
      </c>
      <c r="F182" s="30">
        <v>42323</v>
      </c>
      <c r="G182" s="29" t="s">
        <v>1599</v>
      </c>
      <c r="H182" s="29" t="s">
        <v>1600</v>
      </c>
      <c r="I182" s="29" t="s">
        <v>2</v>
      </c>
      <c r="J182" s="31" t="s">
        <v>1601</v>
      </c>
      <c r="K182" s="29" t="s">
        <v>1602</v>
      </c>
      <c r="L182" s="29" t="s">
        <v>3059</v>
      </c>
      <c r="M182" s="126"/>
    </row>
    <row r="183" spans="1:13" ht="15.75" thickBot="1" x14ac:dyDescent="0.3">
      <c r="A183" s="33">
        <v>46000.659247685187</v>
      </c>
      <c r="B183" s="34" t="s">
        <v>953</v>
      </c>
      <c r="C183" s="34" t="s">
        <v>609</v>
      </c>
      <c r="D183" s="34" t="s">
        <v>657</v>
      </c>
      <c r="E183" s="34" t="s">
        <v>10</v>
      </c>
      <c r="F183" s="35">
        <v>43172</v>
      </c>
      <c r="G183" s="34" t="s">
        <v>658</v>
      </c>
      <c r="H183" s="34" t="s">
        <v>659</v>
      </c>
      <c r="I183" s="34" t="s">
        <v>66</v>
      </c>
      <c r="J183" s="36" t="s">
        <v>1603</v>
      </c>
      <c r="K183" s="34" t="s">
        <v>1604</v>
      </c>
      <c r="L183" s="34" t="s">
        <v>656</v>
      </c>
      <c r="M183" s="37" t="s">
        <v>1605</v>
      </c>
    </row>
    <row r="184" spans="1:13" ht="15.75" thickBot="1" x14ac:dyDescent="0.3">
      <c r="A184" s="28">
        <v>46000.669560185182</v>
      </c>
      <c r="B184" s="29" t="s">
        <v>1317</v>
      </c>
      <c r="C184" s="29" t="s">
        <v>473</v>
      </c>
      <c r="D184" s="29" t="s">
        <v>1606</v>
      </c>
      <c r="E184" s="29" t="s">
        <v>10</v>
      </c>
      <c r="F184" s="30">
        <v>42407</v>
      </c>
      <c r="G184" s="29" t="s">
        <v>1607</v>
      </c>
      <c r="H184" s="29" t="s">
        <v>1608</v>
      </c>
      <c r="I184" s="29" t="s">
        <v>66</v>
      </c>
      <c r="J184" s="31" t="s">
        <v>1609</v>
      </c>
      <c r="K184" s="29" t="s">
        <v>1610</v>
      </c>
      <c r="L184" s="29" t="s">
        <v>3060</v>
      </c>
      <c r="M184" s="126"/>
    </row>
    <row r="185" spans="1:13" ht="15.75" thickBot="1" x14ac:dyDescent="0.3">
      <c r="A185" s="33">
        <v>46000.670185185183</v>
      </c>
      <c r="B185" s="34" t="s">
        <v>953</v>
      </c>
      <c r="C185" s="34" t="s">
        <v>609</v>
      </c>
      <c r="D185" s="34" t="s">
        <v>662</v>
      </c>
      <c r="E185" s="34" t="s">
        <v>10</v>
      </c>
      <c r="F185" s="35">
        <v>42792</v>
      </c>
      <c r="G185" s="34" t="s">
        <v>663</v>
      </c>
      <c r="H185" s="34" t="s">
        <v>664</v>
      </c>
      <c r="I185" s="34" t="s">
        <v>2</v>
      </c>
      <c r="J185" s="36" t="s">
        <v>1611</v>
      </c>
      <c r="K185" s="34" t="s">
        <v>1612</v>
      </c>
      <c r="L185" s="34" t="s">
        <v>661</v>
      </c>
      <c r="M185" s="37" t="s">
        <v>1613</v>
      </c>
    </row>
    <row r="186" spans="1:13" ht="15.75" thickBot="1" x14ac:dyDescent="0.3">
      <c r="A186" s="28">
        <v>46000.672025462962</v>
      </c>
      <c r="B186" s="29" t="s">
        <v>1317</v>
      </c>
      <c r="C186" s="29" t="s">
        <v>473</v>
      </c>
      <c r="D186" s="29" t="s">
        <v>1614</v>
      </c>
      <c r="E186" s="29" t="s">
        <v>10</v>
      </c>
      <c r="F186" s="30">
        <v>41804</v>
      </c>
      <c r="G186" s="29" t="s">
        <v>1615</v>
      </c>
      <c r="H186" s="29" t="s">
        <v>1616</v>
      </c>
      <c r="I186" s="29" t="s">
        <v>2</v>
      </c>
      <c r="J186" s="31" t="s">
        <v>1617</v>
      </c>
      <c r="K186" s="29" t="s">
        <v>1618</v>
      </c>
      <c r="L186" s="29" t="s">
        <v>3061</v>
      </c>
      <c r="M186" s="126"/>
    </row>
    <row r="187" spans="1:13" ht="15.75" thickBot="1" x14ac:dyDescent="0.3">
      <c r="A187" s="33">
        <v>46000.674074074072</v>
      </c>
      <c r="B187" s="34" t="s">
        <v>10</v>
      </c>
      <c r="C187" s="34" t="s">
        <v>671</v>
      </c>
      <c r="D187" s="34" t="s">
        <v>667</v>
      </c>
      <c r="E187" s="34" t="s">
        <v>28</v>
      </c>
      <c r="F187" s="35">
        <v>42464</v>
      </c>
      <c r="G187" s="34" t="s">
        <v>668</v>
      </c>
      <c r="H187" s="34" t="s">
        <v>669</v>
      </c>
      <c r="I187" s="34" t="s">
        <v>2</v>
      </c>
      <c r="J187" s="36" t="s">
        <v>1619</v>
      </c>
      <c r="K187" s="34" t="s">
        <v>1620</v>
      </c>
      <c r="L187" s="34" t="s">
        <v>666</v>
      </c>
      <c r="M187" s="37" t="s">
        <v>1621</v>
      </c>
    </row>
    <row r="188" spans="1:13" ht="15.75" thickBot="1" x14ac:dyDescent="0.3">
      <c r="A188" s="28">
        <v>46000.681655092594</v>
      </c>
      <c r="B188" s="29" t="s">
        <v>1317</v>
      </c>
      <c r="C188" s="29" t="s">
        <v>742</v>
      </c>
      <c r="D188" s="29" t="s">
        <v>1622</v>
      </c>
      <c r="E188" s="29" t="s">
        <v>10</v>
      </c>
      <c r="F188" s="30">
        <v>41982</v>
      </c>
      <c r="G188" s="29" t="s">
        <v>1623</v>
      </c>
      <c r="H188" s="29" t="s">
        <v>1624</v>
      </c>
      <c r="I188" s="29" t="s">
        <v>2</v>
      </c>
      <c r="J188" s="31" t="s">
        <v>1625</v>
      </c>
      <c r="K188" s="29" t="s">
        <v>1626</v>
      </c>
      <c r="L188" s="29" t="s">
        <v>3062</v>
      </c>
      <c r="M188" s="126"/>
    </row>
    <row r="189" spans="1:13" ht="15.75" thickBot="1" x14ac:dyDescent="0.3">
      <c r="A189" s="33">
        <v>46000.683182870373</v>
      </c>
      <c r="B189" s="34" t="s">
        <v>1317</v>
      </c>
      <c r="C189" s="34" t="s">
        <v>473</v>
      </c>
      <c r="D189" s="34" t="s">
        <v>1627</v>
      </c>
      <c r="E189" s="34" t="s">
        <v>10</v>
      </c>
      <c r="F189" s="35">
        <v>42193</v>
      </c>
      <c r="G189" s="34" t="s">
        <v>1628</v>
      </c>
      <c r="H189" s="34" t="s">
        <v>1629</v>
      </c>
      <c r="I189" s="34" t="s">
        <v>2</v>
      </c>
      <c r="J189" s="36" t="s">
        <v>1630</v>
      </c>
      <c r="K189" s="34" t="s">
        <v>1631</v>
      </c>
      <c r="L189" s="34" t="s">
        <v>3063</v>
      </c>
      <c r="M189" s="38"/>
    </row>
    <row r="190" spans="1:13" ht="15.75" thickBot="1" x14ac:dyDescent="0.3">
      <c r="A190" s="28">
        <v>46000.685787037037</v>
      </c>
      <c r="B190" s="29" t="s">
        <v>953</v>
      </c>
      <c r="C190" s="29" t="s">
        <v>677</v>
      </c>
      <c r="D190" s="29" t="s">
        <v>673</v>
      </c>
      <c r="E190" s="29" t="s">
        <v>28</v>
      </c>
      <c r="F190" s="30">
        <v>42683</v>
      </c>
      <c r="G190" s="29" t="s">
        <v>674</v>
      </c>
      <c r="H190" s="29" t="s">
        <v>675</v>
      </c>
      <c r="I190" s="29" t="s">
        <v>2</v>
      </c>
      <c r="J190" s="31" t="s">
        <v>1632</v>
      </c>
      <c r="K190" s="29" t="s">
        <v>1633</v>
      </c>
      <c r="L190" s="29" t="s">
        <v>672</v>
      </c>
      <c r="M190" s="32" t="s">
        <v>1634</v>
      </c>
    </row>
    <row r="191" spans="1:13" ht="15.75" thickBot="1" x14ac:dyDescent="0.3">
      <c r="A191" s="33">
        <v>46000.687164351853</v>
      </c>
      <c r="B191" s="34" t="s">
        <v>953</v>
      </c>
      <c r="C191" s="34" t="s">
        <v>677</v>
      </c>
      <c r="D191" s="34" t="s">
        <v>679</v>
      </c>
      <c r="E191" s="34" t="s">
        <v>365</v>
      </c>
      <c r="F191" s="35">
        <v>42773</v>
      </c>
      <c r="G191" s="34" t="s">
        <v>680</v>
      </c>
      <c r="H191" s="34" t="s">
        <v>681</v>
      </c>
      <c r="I191" s="34" t="s">
        <v>2</v>
      </c>
      <c r="J191" s="36" t="s">
        <v>1635</v>
      </c>
      <c r="K191" s="34" t="s">
        <v>1636</v>
      </c>
      <c r="L191" s="34" t="s">
        <v>678</v>
      </c>
      <c r="M191" s="37" t="s">
        <v>1637</v>
      </c>
    </row>
    <row r="192" spans="1:13" ht="15.75" thickBot="1" x14ac:dyDescent="0.3">
      <c r="A192" s="28">
        <v>46000.687222222223</v>
      </c>
      <c r="B192" s="29" t="s">
        <v>953</v>
      </c>
      <c r="C192" s="29" t="s">
        <v>609</v>
      </c>
      <c r="D192" s="29" t="s">
        <v>684</v>
      </c>
      <c r="E192" s="29" t="s">
        <v>10</v>
      </c>
      <c r="F192" s="30">
        <v>42555</v>
      </c>
      <c r="G192" s="29" t="s">
        <v>685</v>
      </c>
      <c r="H192" s="29" t="s">
        <v>686</v>
      </c>
      <c r="I192" s="29" t="s">
        <v>66</v>
      </c>
      <c r="J192" s="31" t="s">
        <v>1638</v>
      </c>
      <c r="K192" s="29" t="s">
        <v>1639</v>
      </c>
      <c r="L192" s="29" t="s">
        <v>683</v>
      </c>
      <c r="M192" s="32" t="s">
        <v>1640</v>
      </c>
    </row>
    <row r="193" spans="1:13" ht="15.75" thickBot="1" x14ac:dyDescent="0.3">
      <c r="A193" s="33">
        <v>46000.687523148146</v>
      </c>
      <c r="B193" s="34" t="s">
        <v>953</v>
      </c>
      <c r="C193" s="34" t="s">
        <v>677</v>
      </c>
      <c r="D193" s="34" t="s">
        <v>689</v>
      </c>
      <c r="E193" s="34" t="s">
        <v>59</v>
      </c>
      <c r="F193" s="35">
        <v>42689</v>
      </c>
      <c r="G193" s="34" t="s">
        <v>690</v>
      </c>
      <c r="H193" s="34" t="s">
        <v>691</v>
      </c>
      <c r="I193" s="34" t="s">
        <v>2</v>
      </c>
      <c r="J193" s="36" t="s">
        <v>1641</v>
      </c>
      <c r="K193" s="34" t="s">
        <v>1642</v>
      </c>
      <c r="L193" s="34" t="s">
        <v>688</v>
      </c>
      <c r="M193" s="37" t="s">
        <v>1643</v>
      </c>
    </row>
    <row r="194" spans="1:13" ht="15.75" thickBot="1" x14ac:dyDescent="0.3">
      <c r="A194" s="28">
        <v>46000.687858796293</v>
      </c>
      <c r="B194" s="29" t="s">
        <v>10</v>
      </c>
      <c r="C194" s="29" t="s">
        <v>699</v>
      </c>
      <c r="D194" s="29" t="s">
        <v>694</v>
      </c>
      <c r="E194" s="29" t="s">
        <v>695</v>
      </c>
      <c r="F194" s="30">
        <v>41905</v>
      </c>
      <c r="G194" s="29" t="s">
        <v>696</v>
      </c>
      <c r="H194" s="29" t="s">
        <v>697</v>
      </c>
      <c r="I194" s="29" t="s">
        <v>2</v>
      </c>
      <c r="J194" s="31" t="s">
        <v>1644</v>
      </c>
      <c r="K194" s="29" t="s">
        <v>1645</v>
      </c>
      <c r="L194" s="29" t="s">
        <v>693</v>
      </c>
      <c r="M194" s="32" t="s">
        <v>1646</v>
      </c>
    </row>
    <row r="195" spans="1:13" ht="15.75" thickBot="1" x14ac:dyDescent="0.3">
      <c r="A195" s="33">
        <v>46000.688819444447</v>
      </c>
      <c r="B195" s="34" t="s">
        <v>953</v>
      </c>
      <c r="C195" s="34" t="s">
        <v>677</v>
      </c>
      <c r="D195" s="34" t="s">
        <v>701</v>
      </c>
      <c r="E195" s="34" t="s">
        <v>10</v>
      </c>
      <c r="F195" s="35">
        <v>42950</v>
      </c>
      <c r="G195" s="34" t="s">
        <v>702</v>
      </c>
      <c r="H195" s="34" t="s">
        <v>703</v>
      </c>
      <c r="I195" s="34" t="s">
        <v>2</v>
      </c>
      <c r="J195" s="36" t="s">
        <v>1647</v>
      </c>
      <c r="K195" s="34" t="s">
        <v>1648</v>
      </c>
      <c r="L195" s="34" t="s">
        <v>700</v>
      </c>
      <c r="M195" s="37" t="s">
        <v>1649</v>
      </c>
    </row>
    <row r="196" spans="1:13" ht="15.75" thickBot="1" x14ac:dyDescent="0.3">
      <c r="A196" s="28">
        <v>46000.690092592595</v>
      </c>
      <c r="B196" s="29" t="s">
        <v>953</v>
      </c>
      <c r="C196" s="29" t="s">
        <v>725</v>
      </c>
      <c r="D196" s="29" t="s">
        <v>1650</v>
      </c>
      <c r="E196" s="29" t="s">
        <v>28</v>
      </c>
      <c r="F196" s="30">
        <v>41945</v>
      </c>
      <c r="G196" s="29" t="s">
        <v>1651</v>
      </c>
      <c r="H196" s="29" t="s">
        <v>1652</v>
      </c>
      <c r="I196" s="29" t="s">
        <v>2</v>
      </c>
      <c r="J196" s="31" t="s">
        <v>1653</v>
      </c>
      <c r="K196" s="29" t="s">
        <v>1654</v>
      </c>
      <c r="L196" s="29" t="s">
        <v>1655</v>
      </c>
      <c r="M196" s="32" t="s">
        <v>1656</v>
      </c>
    </row>
    <row r="197" spans="1:13" ht="15.75" thickBot="1" x14ac:dyDescent="0.3">
      <c r="A197" s="33">
        <v>46000.690381944441</v>
      </c>
      <c r="B197" s="34" t="s">
        <v>953</v>
      </c>
      <c r="C197" s="34" t="s">
        <v>677</v>
      </c>
      <c r="D197" s="34" t="s">
        <v>706</v>
      </c>
      <c r="E197" s="34" t="s">
        <v>10</v>
      </c>
      <c r="F197" s="35">
        <v>42855</v>
      </c>
      <c r="G197" s="34" t="s">
        <v>707</v>
      </c>
      <c r="H197" s="34" t="s">
        <v>708</v>
      </c>
      <c r="I197" s="34" t="s">
        <v>2</v>
      </c>
      <c r="J197" s="36" t="s">
        <v>1657</v>
      </c>
      <c r="K197" s="34" t="s">
        <v>1658</v>
      </c>
      <c r="L197" s="34" t="s">
        <v>705</v>
      </c>
      <c r="M197" s="37" t="s">
        <v>1659</v>
      </c>
    </row>
    <row r="198" spans="1:13" ht="15.75" thickBot="1" x14ac:dyDescent="0.3">
      <c r="A198" s="28">
        <v>46000.690879629627</v>
      </c>
      <c r="B198" s="29" t="s">
        <v>1317</v>
      </c>
      <c r="C198" s="29" t="s">
        <v>742</v>
      </c>
      <c r="D198" s="29" t="s">
        <v>1660</v>
      </c>
      <c r="E198" s="29" t="s">
        <v>10</v>
      </c>
      <c r="F198" s="30">
        <v>41537</v>
      </c>
      <c r="G198" s="29" t="s">
        <v>1661</v>
      </c>
      <c r="H198" s="29" t="s">
        <v>1662</v>
      </c>
      <c r="I198" s="29" t="s">
        <v>2</v>
      </c>
      <c r="J198" s="31" t="s">
        <v>1663</v>
      </c>
      <c r="K198" s="29" t="s">
        <v>1664</v>
      </c>
      <c r="L198" s="29" t="s">
        <v>3064</v>
      </c>
      <c r="M198" s="126"/>
    </row>
    <row r="199" spans="1:13" ht="15.75" thickBot="1" x14ac:dyDescent="0.3">
      <c r="A199" s="33">
        <v>46000.692060185182</v>
      </c>
      <c r="B199" s="34" t="s">
        <v>1153</v>
      </c>
      <c r="C199" s="34" t="s">
        <v>1665</v>
      </c>
      <c r="D199" s="34" t="s">
        <v>1666</v>
      </c>
      <c r="E199" s="34" t="s">
        <v>28</v>
      </c>
      <c r="F199" s="35">
        <v>41545</v>
      </c>
      <c r="G199" s="34" t="s">
        <v>1667</v>
      </c>
      <c r="H199" s="34" t="s">
        <v>1668</v>
      </c>
      <c r="I199" s="34" t="s">
        <v>2</v>
      </c>
      <c r="J199" s="36" t="s">
        <v>1669</v>
      </c>
      <c r="K199" s="34" t="s">
        <v>1670</v>
      </c>
      <c r="L199" s="34" t="s">
        <v>3040</v>
      </c>
      <c r="M199" s="38"/>
    </row>
    <row r="200" spans="1:13" ht="15.75" thickBot="1" x14ac:dyDescent="0.3">
      <c r="A200" s="28">
        <v>46000.692685185182</v>
      </c>
      <c r="B200" s="29" t="s">
        <v>1153</v>
      </c>
      <c r="C200" s="29" t="s">
        <v>1534</v>
      </c>
      <c r="D200" s="29" t="s">
        <v>1671</v>
      </c>
      <c r="E200" s="29" t="s">
        <v>10</v>
      </c>
      <c r="F200" s="30">
        <v>41436</v>
      </c>
      <c r="G200" s="29" t="s">
        <v>1672</v>
      </c>
      <c r="H200" s="29" t="s">
        <v>1673</v>
      </c>
      <c r="I200" s="29" t="s">
        <v>2</v>
      </c>
      <c r="J200" s="31" t="s">
        <v>1674</v>
      </c>
      <c r="K200" s="29" t="s">
        <v>1675</v>
      </c>
      <c r="L200" s="29" t="s">
        <v>3041</v>
      </c>
      <c r="M200" s="126"/>
    </row>
    <row r="201" spans="1:13" ht="15.75" thickBot="1" x14ac:dyDescent="0.3">
      <c r="A201" s="33">
        <v>46000.692881944444</v>
      </c>
      <c r="B201" s="34" t="s">
        <v>1153</v>
      </c>
      <c r="C201" s="34" t="s">
        <v>1665</v>
      </c>
      <c r="D201" s="34" t="s">
        <v>1676</v>
      </c>
      <c r="E201" s="34" t="s">
        <v>28</v>
      </c>
      <c r="F201" s="35">
        <v>42087</v>
      </c>
      <c r="G201" s="34" t="s">
        <v>1677</v>
      </c>
      <c r="H201" s="34" t="s">
        <v>1678</v>
      </c>
      <c r="I201" s="34" t="s">
        <v>66</v>
      </c>
      <c r="J201" s="36" t="s">
        <v>1679</v>
      </c>
      <c r="K201" s="34" t="s">
        <v>1680</v>
      </c>
      <c r="L201" s="34" t="s">
        <v>3042</v>
      </c>
      <c r="M201" s="38"/>
    </row>
    <row r="202" spans="1:13" ht="15.75" thickBot="1" x14ac:dyDescent="0.3">
      <c r="A202" s="28">
        <v>46000.693333333336</v>
      </c>
      <c r="B202" s="29" t="s">
        <v>953</v>
      </c>
      <c r="C202" s="29" t="s">
        <v>677</v>
      </c>
      <c r="D202" s="29" t="s">
        <v>711</v>
      </c>
      <c r="E202" s="29" t="s">
        <v>10</v>
      </c>
      <c r="F202" s="30">
        <v>42884</v>
      </c>
      <c r="G202" s="29" t="s">
        <v>712</v>
      </c>
      <c r="H202" s="29" t="s">
        <v>713</v>
      </c>
      <c r="I202" s="29" t="s">
        <v>66</v>
      </c>
      <c r="J202" s="31" t="s">
        <v>1681</v>
      </c>
      <c r="K202" s="29" t="s">
        <v>1682</v>
      </c>
      <c r="L202" s="29" t="s">
        <v>710</v>
      </c>
      <c r="M202" s="32" t="s">
        <v>1683</v>
      </c>
    </row>
    <row r="203" spans="1:13" ht="15.75" thickBot="1" x14ac:dyDescent="0.3">
      <c r="A203" s="33">
        <v>46000.694398148145</v>
      </c>
      <c r="B203" s="34" t="s">
        <v>1317</v>
      </c>
      <c r="C203" s="34" t="s">
        <v>742</v>
      </c>
      <c r="D203" s="34" t="s">
        <v>1684</v>
      </c>
      <c r="E203" s="34" t="s">
        <v>10</v>
      </c>
      <c r="F203" s="35">
        <v>41739</v>
      </c>
      <c r="G203" s="34" t="s">
        <v>1685</v>
      </c>
      <c r="H203" s="34" t="s">
        <v>1686</v>
      </c>
      <c r="I203" s="34" t="s">
        <v>2</v>
      </c>
      <c r="J203" s="36" t="s">
        <v>1687</v>
      </c>
      <c r="K203" s="34" t="s">
        <v>1688</v>
      </c>
      <c r="L203" s="34" t="s">
        <v>3065</v>
      </c>
      <c r="M203" s="38"/>
    </row>
    <row r="204" spans="1:13" ht="15.75" thickBot="1" x14ac:dyDescent="0.3">
      <c r="A204" s="28">
        <v>46000.69462962963</v>
      </c>
      <c r="B204" s="29" t="s">
        <v>953</v>
      </c>
      <c r="C204" s="29" t="s">
        <v>677</v>
      </c>
      <c r="D204" s="29" t="s">
        <v>716</v>
      </c>
      <c r="E204" s="29" t="s">
        <v>10</v>
      </c>
      <c r="F204" s="30">
        <v>42948</v>
      </c>
      <c r="G204" s="29" t="s">
        <v>717</v>
      </c>
      <c r="H204" s="29" t="s">
        <v>718</v>
      </c>
      <c r="I204" s="29" t="s">
        <v>2</v>
      </c>
      <c r="J204" s="31" t="s">
        <v>1689</v>
      </c>
      <c r="K204" s="29" t="s">
        <v>1690</v>
      </c>
      <c r="L204" s="29" t="s">
        <v>715</v>
      </c>
      <c r="M204" s="32" t="s">
        <v>1691</v>
      </c>
    </row>
    <row r="205" spans="1:13" ht="15.75" thickBot="1" x14ac:dyDescent="0.3">
      <c r="A205" s="33">
        <v>46000.698379629626</v>
      </c>
      <c r="B205" s="34" t="s">
        <v>953</v>
      </c>
      <c r="C205" s="34" t="s">
        <v>725</v>
      </c>
      <c r="D205" s="34" t="s">
        <v>721</v>
      </c>
      <c r="E205" s="34" t="s">
        <v>28</v>
      </c>
      <c r="F205" s="35">
        <v>41969</v>
      </c>
      <c r="G205" s="34" t="s">
        <v>722</v>
      </c>
      <c r="H205" s="34" t="s">
        <v>723</v>
      </c>
      <c r="I205" s="34" t="s">
        <v>2</v>
      </c>
      <c r="J205" s="36" t="s">
        <v>1692</v>
      </c>
      <c r="K205" s="34" t="s">
        <v>1693</v>
      </c>
      <c r="L205" s="34" t="s">
        <v>720</v>
      </c>
      <c r="M205" s="37" t="s">
        <v>1694</v>
      </c>
    </row>
    <row r="206" spans="1:13" ht="15.75" thickBot="1" x14ac:dyDescent="0.3">
      <c r="A206" s="28">
        <v>46000.69971064815</v>
      </c>
      <c r="B206" s="29" t="s">
        <v>953</v>
      </c>
      <c r="C206" s="29" t="s">
        <v>725</v>
      </c>
      <c r="D206" s="29" t="s">
        <v>727</v>
      </c>
      <c r="E206" s="29" t="s">
        <v>28</v>
      </c>
      <c r="F206" s="30">
        <v>42316</v>
      </c>
      <c r="G206" s="29" t="s">
        <v>729</v>
      </c>
      <c r="H206" s="29" t="s">
        <v>730</v>
      </c>
      <c r="I206" s="29" t="s">
        <v>728</v>
      </c>
      <c r="J206" s="31" t="s">
        <v>1695</v>
      </c>
      <c r="K206" s="29" t="s">
        <v>1696</v>
      </c>
      <c r="L206" s="29" t="s">
        <v>726</v>
      </c>
      <c r="M206" s="32" t="s">
        <v>1697</v>
      </c>
    </row>
    <row r="207" spans="1:13" ht="15.75" thickBot="1" x14ac:dyDescent="0.3">
      <c r="A207" s="33">
        <v>46000.70039351852</v>
      </c>
      <c r="B207" s="34" t="s">
        <v>953</v>
      </c>
      <c r="C207" s="34" t="s">
        <v>677</v>
      </c>
      <c r="D207" s="34" t="s">
        <v>733</v>
      </c>
      <c r="E207" s="34" t="s">
        <v>28</v>
      </c>
      <c r="F207" s="35">
        <v>42702</v>
      </c>
      <c r="G207" s="34" t="s">
        <v>734</v>
      </c>
      <c r="H207" s="34" t="s">
        <v>735</v>
      </c>
      <c r="I207" s="34" t="s">
        <v>2</v>
      </c>
      <c r="J207" s="36" t="s">
        <v>1698</v>
      </c>
      <c r="K207" s="34" t="s">
        <v>1699</v>
      </c>
      <c r="L207" s="34" t="s">
        <v>732</v>
      </c>
      <c r="M207" s="37" t="s">
        <v>1700</v>
      </c>
    </row>
    <row r="208" spans="1:13" ht="15.75" thickBot="1" x14ac:dyDescent="0.3">
      <c r="A208" s="28">
        <v>46000.70103009259</v>
      </c>
      <c r="B208" s="29" t="s">
        <v>1153</v>
      </c>
      <c r="C208" s="29" t="s">
        <v>1665</v>
      </c>
      <c r="D208" s="29" t="s">
        <v>1701</v>
      </c>
      <c r="E208" s="29" t="s">
        <v>28</v>
      </c>
      <c r="F208" s="30">
        <v>42748</v>
      </c>
      <c r="G208" s="29" t="s">
        <v>1702</v>
      </c>
      <c r="H208" s="29" t="s">
        <v>1703</v>
      </c>
      <c r="I208" s="29" t="s">
        <v>2</v>
      </c>
      <c r="J208" s="31" t="s">
        <v>1704</v>
      </c>
      <c r="K208" s="29" t="s">
        <v>1705</v>
      </c>
      <c r="L208" s="29" t="s">
        <v>3043</v>
      </c>
      <c r="M208" s="126"/>
    </row>
    <row r="209" spans="1:13" ht="15.75" thickBot="1" x14ac:dyDescent="0.3">
      <c r="A209" s="33">
        <v>46000.702627314815</v>
      </c>
      <c r="B209" s="34" t="s">
        <v>10</v>
      </c>
      <c r="C209" s="34" t="s">
        <v>742</v>
      </c>
      <c r="D209" s="34" t="s">
        <v>738</v>
      </c>
      <c r="E209" s="34" t="s">
        <v>10</v>
      </c>
      <c r="F209" s="35">
        <v>43228</v>
      </c>
      <c r="G209" s="34" t="s">
        <v>739</v>
      </c>
      <c r="H209" s="34" t="s">
        <v>740</v>
      </c>
      <c r="I209" s="34" t="s">
        <v>66</v>
      </c>
      <c r="J209" s="36" t="s">
        <v>1706</v>
      </c>
      <c r="K209" s="34" t="s">
        <v>1707</v>
      </c>
      <c r="L209" s="34" t="s">
        <v>737</v>
      </c>
      <c r="M209" s="37" t="s">
        <v>1708</v>
      </c>
    </row>
    <row r="210" spans="1:13" ht="15.75" thickBot="1" x14ac:dyDescent="0.3">
      <c r="A210" s="28">
        <v>46000.703761574077</v>
      </c>
      <c r="B210" s="29" t="s">
        <v>1317</v>
      </c>
      <c r="C210" s="29" t="s">
        <v>742</v>
      </c>
      <c r="D210" s="29" t="s">
        <v>1709</v>
      </c>
      <c r="E210" s="29" t="s">
        <v>10</v>
      </c>
      <c r="F210" s="30">
        <v>42708</v>
      </c>
      <c r="G210" s="29" t="s">
        <v>1710</v>
      </c>
      <c r="H210" s="29" t="s">
        <v>1711</v>
      </c>
      <c r="I210" s="29" t="s">
        <v>2</v>
      </c>
      <c r="J210" s="31" t="s">
        <v>1712</v>
      </c>
      <c r="K210" s="29" t="s">
        <v>1713</v>
      </c>
      <c r="L210" s="29" t="s">
        <v>3066</v>
      </c>
      <c r="M210" s="126"/>
    </row>
    <row r="211" spans="1:13" ht="15.75" thickBot="1" x14ac:dyDescent="0.3">
      <c r="A211" s="33">
        <v>46000.704768518517</v>
      </c>
      <c r="B211" s="34" t="s">
        <v>1153</v>
      </c>
      <c r="C211" s="34" t="s">
        <v>1665</v>
      </c>
      <c r="D211" s="34" t="s">
        <v>1714</v>
      </c>
      <c r="E211" s="34" t="s">
        <v>10</v>
      </c>
      <c r="F211" s="35">
        <v>42239</v>
      </c>
      <c r="G211" s="34" t="s">
        <v>1715</v>
      </c>
      <c r="H211" s="34" t="s">
        <v>1716</v>
      </c>
      <c r="I211" s="34" t="s">
        <v>2</v>
      </c>
      <c r="J211" s="36" t="s">
        <v>1717</v>
      </c>
      <c r="K211" s="34" t="s">
        <v>1718</v>
      </c>
      <c r="L211" s="34" t="s">
        <v>3044</v>
      </c>
      <c r="M211" s="38"/>
    </row>
    <row r="212" spans="1:13" ht="15.75" thickBot="1" x14ac:dyDescent="0.3">
      <c r="A212" s="28">
        <v>46000.706250000003</v>
      </c>
      <c r="B212" s="29" t="s">
        <v>1317</v>
      </c>
      <c r="C212" s="29" t="s">
        <v>742</v>
      </c>
      <c r="D212" s="29" t="s">
        <v>1719</v>
      </c>
      <c r="E212" s="29" t="s">
        <v>116</v>
      </c>
      <c r="F212" s="30">
        <v>42374</v>
      </c>
      <c r="G212" s="29" t="s">
        <v>1720</v>
      </c>
      <c r="H212" s="29" t="s">
        <v>1721</v>
      </c>
      <c r="I212" s="29" t="s">
        <v>2</v>
      </c>
      <c r="J212" s="31" t="s">
        <v>1722</v>
      </c>
      <c r="K212" s="29" t="s">
        <v>1723</v>
      </c>
      <c r="L212" s="29" t="s">
        <v>3067</v>
      </c>
      <c r="M212" s="126"/>
    </row>
    <row r="213" spans="1:13" ht="15.75" thickBot="1" x14ac:dyDescent="0.3">
      <c r="A213" s="33">
        <v>46000.708784722221</v>
      </c>
      <c r="B213" s="34" t="s">
        <v>1317</v>
      </c>
      <c r="C213" s="34" t="s">
        <v>742</v>
      </c>
      <c r="D213" s="34" t="s">
        <v>1724</v>
      </c>
      <c r="E213" s="34" t="s">
        <v>10</v>
      </c>
      <c r="F213" s="35">
        <v>42152</v>
      </c>
      <c r="G213" s="34" t="s">
        <v>1725</v>
      </c>
      <c r="H213" s="34" t="s">
        <v>1726</v>
      </c>
      <c r="I213" s="34" t="s">
        <v>2</v>
      </c>
      <c r="J213" s="36" t="s">
        <v>1727</v>
      </c>
      <c r="K213" s="34" t="s">
        <v>1728</v>
      </c>
      <c r="L213" s="34" t="s">
        <v>3068</v>
      </c>
      <c r="M213" s="38"/>
    </row>
    <row r="214" spans="1:13" ht="15.75" thickBot="1" x14ac:dyDescent="0.3">
      <c r="A214" s="28">
        <v>46000.712094907409</v>
      </c>
      <c r="B214" s="29" t="s">
        <v>1317</v>
      </c>
      <c r="C214" s="29" t="s">
        <v>742</v>
      </c>
      <c r="D214" s="29" t="s">
        <v>1729</v>
      </c>
      <c r="E214" s="29" t="s">
        <v>116</v>
      </c>
      <c r="F214" s="30">
        <v>42437</v>
      </c>
      <c r="G214" s="29" t="s">
        <v>1730</v>
      </c>
      <c r="H214" s="29" t="s">
        <v>1731</v>
      </c>
      <c r="I214" s="29" t="s">
        <v>2</v>
      </c>
      <c r="J214" s="31" t="s">
        <v>1732</v>
      </c>
      <c r="K214" s="29" t="s">
        <v>1733</v>
      </c>
      <c r="L214" s="29" t="s">
        <v>3069</v>
      </c>
      <c r="M214" s="126"/>
    </row>
    <row r="215" spans="1:13" ht="15.75" thickBot="1" x14ac:dyDescent="0.3">
      <c r="A215" s="33">
        <v>46000.715462962966</v>
      </c>
      <c r="B215" s="34" t="s">
        <v>1317</v>
      </c>
      <c r="C215" s="34" t="s">
        <v>742</v>
      </c>
      <c r="D215" s="34" t="s">
        <v>1734</v>
      </c>
      <c r="E215" s="34" t="s">
        <v>10</v>
      </c>
      <c r="F215" s="35">
        <v>42007</v>
      </c>
      <c r="G215" s="34" t="s">
        <v>1735</v>
      </c>
      <c r="H215" s="34" t="s">
        <v>1736</v>
      </c>
      <c r="I215" s="34" t="s">
        <v>66</v>
      </c>
      <c r="J215" s="36" t="s">
        <v>1737</v>
      </c>
      <c r="K215" s="34" t="s">
        <v>1738</v>
      </c>
      <c r="L215" s="34" t="s">
        <v>3070</v>
      </c>
      <c r="M215" s="38"/>
    </row>
    <row r="216" spans="1:13" ht="15.75" thickBot="1" x14ac:dyDescent="0.3">
      <c r="A216" s="28">
        <v>46000.717569444445</v>
      </c>
      <c r="B216" s="29" t="s">
        <v>953</v>
      </c>
      <c r="C216" s="29" t="s">
        <v>725</v>
      </c>
      <c r="D216" s="29" t="s">
        <v>744</v>
      </c>
      <c r="E216" s="29" t="s">
        <v>28</v>
      </c>
      <c r="F216" s="30">
        <v>41824</v>
      </c>
      <c r="G216" s="29" t="s">
        <v>745</v>
      </c>
      <c r="H216" s="29" t="s">
        <v>746</v>
      </c>
      <c r="I216" s="29" t="s">
        <v>2</v>
      </c>
      <c r="J216" s="31" t="s">
        <v>1739</v>
      </c>
      <c r="K216" s="29" t="s">
        <v>1740</v>
      </c>
      <c r="L216" s="29" t="s">
        <v>743</v>
      </c>
      <c r="M216" s="32" t="s">
        <v>1741</v>
      </c>
    </row>
    <row r="217" spans="1:13" ht="15.75" thickBot="1" x14ac:dyDescent="0.3">
      <c r="A217" s="33">
        <v>46000.717858796299</v>
      </c>
      <c r="B217" s="34" t="s">
        <v>1317</v>
      </c>
      <c r="C217" s="34" t="s">
        <v>742</v>
      </c>
      <c r="D217" s="34" t="s">
        <v>1742</v>
      </c>
      <c r="E217" s="34" t="s">
        <v>10</v>
      </c>
      <c r="F217" s="35">
        <v>42613</v>
      </c>
      <c r="G217" s="34" t="s">
        <v>1743</v>
      </c>
      <c r="H217" s="34" t="s">
        <v>1744</v>
      </c>
      <c r="I217" s="34" t="s">
        <v>2</v>
      </c>
      <c r="J217" s="36" t="s">
        <v>1745</v>
      </c>
      <c r="K217" s="34" t="s">
        <v>1746</v>
      </c>
      <c r="L217" s="34" t="s">
        <v>3071</v>
      </c>
      <c r="M217" s="38"/>
    </row>
    <row r="218" spans="1:13" ht="15.75" thickBot="1" x14ac:dyDescent="0.3">
      <c r="A218" s="28">
        <v>46000.718611111108</v>
      </c>
      <c r="B218" s="29" t="s">
        <v>1317</v>
      </c>
      <c r="C218" s="29" t="s">
        <v>742</v>
      </c>
      <c r="D218" s="29" t="s">
        <v>1747</v>
      </c>
      <c r="E218" s="29" t="s">
        <v>10</v>
      </c>
      <c r="F218" s="30">
        <v>42007</v>
      </c>
      <c r="G218" s="29" t="s">
        <v>1735</v>
      </c>
      <c r="H218" s="29" t="s">
        <v>1736</v>
      </c>
      <c r="I218" s="29" t="s">
        <v>66</v>
      </c>
      <c r="J218" s="31" t="s">
        <v>1748</v>
      </c>
      <c r="K218" s="29" t="s">
        <v>1749</v>
      </c>
      <c r="L218" s="29" t="s">
        <v>3072</v>
      </c>
      <c r="M218" s="126"/>
    </row>
    <row r="219" spans="1:13" ht="15.75" thickBot="1" x14ac:dyDescent="0.3">
      <c r="A219" s="33">
        <v>46000.721597222226</v>
      </c>
      <c r="B219" s="34" t="s">
        <v>953</v>
      </c>
      <c r="C219" s="34" t="s">
        <v>753</v>
      </c>
      <c r="D219" s="34" t="s">
        <v>749</v>
      </c>
      <c r="E219" s="34" t="s">
        <v>28</v>
      </c>
      <c r="F219" s="35">
        <v>42478</v>
      </c>
      <c r="G219" s="34" t="s">
        <v>750</v>
      </c>
      <c r="H219" s="34" t="s">
        <v>751</v>
      </c>
      <c r="I219" s="34" t="s">
        <v>66</v>
      </c>
      <c r="J219" s="36" t="s">
        <v>1750</v>
      </c>
      <c r="K219" s="34" t="s">
        <v>1751</v>
      </c>
      <c r="L219" s="34" t="s">
        <v>748</v>
      </c>
      <c r="M219" s="37" t="s">
        <v>1752</v>
      </c>
    </row>
    <row r="220" spans="1:13" ht="15.75" thickBot="1" x14ac:dyDescent="0.3">
      <c r="A220" s="28">
        <v>46000.721689814818</v>
      </c>
      <c r="B220" s="29" t="s">
        <v>1317</v>
      </c>
      <c r="C220" s="29" t="s">
        <v>742</v>
      </c>
      <c r="D220" s="29" t="s">
        <v>1753</v>
      </c>
      <c r="E220" s="29" t="s">
        <v>10</v>
      </c>
      <c r="F220" s="30">
        <v>41774</v>
      </c>
      <c r="G220" s="29" t="s">
        <v>1754</v>
      </c>
      <c r="H220" s="29" t="s">
        <v>1755</v>
      </c>
      <c r="I220" s="29" t="s">
        <v>66</v>
      </c>
      <c r="J220" s="31" t="s">
        <v>1756</v>
      </c>
      <c r="K220" s="29" t="s">
        <v>1757</v>
      </c>
      <c r="L220" s="29" t="s">
        <v>3073</v>
      </c>
      <c r="M220" s="126"/>
    </row>
    <row r="221" spans="1:13" ht="15.75" thickBot="1" x14ac:dyDescent="0.3">
      <c r="A221" s="33">
        <v>46000.721817129626</v>
      </c>
      <c r="B221" s="34" t="s">
        <v>1317</v>
      </c>
      <c r="C221" s="34" t="s">
        <v>473</v>
      </c>
      <c r="D221" s="34" t="s">
        <v>1758</v>
      </c>
      <c r="E221" s="34" t="s">
        <v>10</v>
      </c>
      <c r="F221" s="35">
        <v>41780</v>
      </c>
      <c r="G221" s="34" t="s">
        <v>1759</v>
      </c>
      <c r="H221" s="34" t="s">
        <v>1760</v>
      </c>
      <c r="I221" s="34" t="s">
        <v>66</v>
      </c>
      <c r="J221" s="36" t="s">
        <v>1761</v>
      </c>
      <c r="K221" s="34" t="s">
        <v>1762</v>
      </c>
      <c r="L221" s="34" t="s">
        <v>3074</v>
      </c>
      <c r="M221" s="38"/>
    </row>
    <row r="222" spans="1:13" ht="15.75" thickBot="1" x14ac:dyDescent="0.3">
      <c r="A222" s="28">
        <v>46000.728715277779</v>
      </c>
      <c r="B222" s="29" t="s">
        <v>1317</v>
      </c>
      <c r="C222" s="29" t="s">
        <v>473</v>
      </c>
      <c r="D222" s="29" t="s">
        <v>1763</v>
      </c>
      <c r="E222" s="29" t="s">
        <v>28</v>
      </c>
      <c r="F222" s="30">
        <v>41651</v>
      </c>
      <c r="G222" s="29" t="s">
        <v>1764</v>
      </c>
      <c r="H222" s="29" t="s">
        <v>1765</v>
      </c>
      <c r="I222" s="29" t="s">
        <v>66</v>
      </c>
      <c r="J222" s="31" t="s">
        <v>1766</v>
      </c>
      <c r="K222" s="29" t="s">
        <v>1767</v>
      </c>
      <c r="L222" s="29" t="s">
        <v>3075</v>
      </c>
      <c r="M222" s="126"/>
    </row>
    <row r="223" spans="1:13" ht="15.75" thickBot="1" x14ac:dyDescent="0.3">
      <c r="A223" s="33">
        <v>46000.735069444447</v>
      </c>
      <c r="B223" s="34" t="s">
        <v>1317</v>
      </c>
      <c r="C223" s="34" t="s">
        <v>511</v>
      </c>
      <c r="D223" s="34" t="s">
        <v>1768</v>
      </c>
      <c r="E223" s="34" t="s">
        <v>116</v>
      </c>
      <c r="F223" s="35">
        <v>41792</v>
      </c>
      <c r="G223" s="34" t="s">
        <v>1769</v>
      </c>
      <c r="H223" s="34" t="s">
        <v>1770</v>
      </c>
      <c r="I223" s="34" t="s">
        <v>66</v>
      </c>
      <c r="J223" s="36" t="s">
        <v>1771</v>
      </c>
      <c r="K223" s="34" t="s">
        <v>1772</v>
      </c>
      <c r="L223" s="34" t="s">
        <v>3076</v>
      </c>
      <c r="M223" s="38"/>
    </row>
    <row r="224" spans="1:13" ht="15.75" thickBot="1" x14ac:dyDescent="0.3">
      <c r="A224" s="28">
        <v>46000.735729166663</v>
      </c>
      <c r="B224" s="29" t="s">
        <v>10</v>
      </c>
      <c r="C224" s="29" t="s">
        <v>435</v>
      </c>
      <c r="D224" s="29" t="s">
        <v>755</v>
      </c>
      <c r="E224" s="29" t="s">
        <v>10</v>
      </c>
      <c r="F224" s="30">
        <v>41860</v>
      </c>
      <c r="G224" s="29" t="s">
        <v>756</v>
      </c>
      <c r="H224" s="29" t="s">
        <v>757</v>
      </c>
      <c r="I224" s="29" t="s">
        <v>66</v>
      </c>
      <c r="J224" s="31" t="s">
        <v>1773</v>
      </c>
      <c r="K224" s="29" t="s">
        <v>1774</v>
      </c>
      <c r="L224" s="29" t="s">
        <v>754</v>
      </c>
      <c r="M224" s="32" t="s">
        <v>1775</v>
      </c>
    </row>
    <row r="225" spans="1:13" ht="15.75" thickBot="1" x14ac:dyDescent="0.3">
      <c r="A225" s="33">
        <v>46000.740162037036</v>
      </c>
      <c r="B225" s="34" t="s">
        <v>10</v>
      </c>
      <c r="C225" s="34" t="s">
        <v>435</v>
      </c>
      <c r="D225" s="34" t="s">
        <v>760</v>
      </c>
      <c r="E225" s="34" t="s">
        <v>10</v>
      </c>
      <c r="F225" s="35">
        <v>42697</v>
      </c>
      <c r="G225" s="34" t="s">
        <v>761</v>
      </c>
      <c r="H225" s="34" t="s">
        <v>762</v>
      </c>
      <c r="I225" s="34" t="s">
        <v>2</v>
      </c>
      <c r="J225" s="36" t="s">
        <v>1776</v>
      </c>
      <c r="K225" s="34" t="s">
        <v>1777</v>
      </c>
      <c r="L225" s="34" t="s">
        <v>759</v>
      </c>
      <c r="M225" s="37" t="s">
        <v>1778</v>
      </c>
    </row>
    <row r="226" spans="1:13" ht="15.75" thickBot="1" x14ac:dyDescent="0.3">
      <c r="A226" s="28">
        <v>46000.743472222224</v>
      </c>
      <c r="B226" s="29" t="s">
        <v>1317</v>
      </c>
      <c r="C226" s="29" t="s">
        <v>511</v>
      </c>
      <c r="D226" s="29" t="s">
        <v>1779</v>
      </c>
      <c r="E226" s="29" t="s">
        <v>10</v>
      </c>
      <c r="F226" s="30">
        <v>41947</v>
      </c>
      <c r="G226" s="29" t="s">
        <v>1780</v>
      </c>
      <c r="H226" s="29" t="s">
        <v>1781</v>
      </c>
      <c r="I226" s="29" t="s">
        <v>66</v>
      </c>
      <c r="J226" s="31" t="s">
        <v>1782</v>
      </c>
      <c r="K226" s="29" t="s">
        <v>1783</v>
      </c>
      <c r="L226" s="29" t="s">
        <v>3077</v>
      </c>
      <c r="M226" s="126"/>
    </row>
    <row r="227" spans="1:13" ht="15.75" thickBot="1" x14ac:dyDescent="0.3">
      <c r="A227" s="33">
        <v>46000.745462962965</v>
      </c>
      <c r="B227" s="34" t="s">
        <v>10</v>
      </c>
      <c r="C227" s="34" t="s">
        <v>435</v>
      </c>
      <c r="D227" s="34" t="s">
        <v>765</v>
      </c>
      <c r="E227" s="34" t="s">
        <v>10</v>
      </c>
      <c r="F227" s="35">
        <v>42049</v>
      </c>
      <c r="G227" s="34" t="s">
        <v>766</v>
      </c>
      <c r="H227" s="34" t="s">
        <v>767</v>
      </c>
      <c r="I227" s="34" t="s">
        <v>2</v>
      </c>
      <c r="J227" s="36" t="s">
        <v>1784</v>
      </c>
      <c r="K227" s="34" t="s">
        <v>1785</v>
      </c>
      <c r="L227" s="34" t="s">
        <v>764</v>
      </c>
      <c r="M227" s="37" t="s">
        <v>1786</v>
      </c>
    </row>
    <row r="228" spans="1:13" ht="15.75" thickBot="1" x14ac:dyDescent="0.3">
      <c r="A228" s="28">
        <v>46000.74722222222</v>
      </c>
      <c r="B228" s="29" t="s">
        <v>1317</v>
      </c>
      <c r="C228" s="29" t="s">
        <v>742</v>
      </c>
      <c r="D228" s="29" t="s">
        <v>667</v>
      </c>
      <c r="E228" s="29" t="s">
        <v>28</v>
      </c>
      <c r="F228" s="30">
        <v>42464</v>
      </c>
      <c r="G228" s="29" t="s">
        <v>668</v>
      </c>
      <c r="H228" s="29" t="s">
        <v>669</v>
      </c>
      <c r="I228" s="29" t="s">
        <v>2</v>
      </c>
      <c r="J228" s="31" t="s">
        <v>1787</v>
      </c>
      <c r="K228" s="29" t="s">
        <v>1788</v>
      </c>
      <c r="L228" s="29" t="s">
        <v>3078</v>
      </c>
      <c r="M228" s="126"/>
    </row>
    <row r="229" spans="1:13" ht="15.75" thickBot="1" x14ac:dyDescent="0.3">
      <c r="A229" s="33">
        <v>46000.748229166667</v>
      </c>
      <c r="B229" s="34" t="s">
        <v>10</v>
      </c>
      <c r="C229" s="34" t="s">
        <v>435</v>
      </c>
      <c r="D229" s="34" t="s">
        <v>770</v>
      </c>
      <c r="E229" s="34" t="s">
        <v>10</v>
      </c>
      <c r="F229" s="35">
        <v>41953</v>
      </c>
      <c r="G229" s="34" t="s">
        <v>771</v>
      </c>
      <c r="H229" s="34" t="s">
        <v>772</v>
      </c>
      <c r="I229" s="34" t="s">
        <v>2</v>
      </c>
      <c r="J229" s="36" t="s">
        <v>1789</v>
      </c>
      <c r="K229" s="34" t="s">
        <v>1790</v>
      </c>
      <c r="L229" s="34" t="s">
        <v>769</v>
      </c>
      <c r="M229" s="37" t="s">
        <v>1791</v>
      </c>
    </row>
    <row r="230" spans="1:13" ht="15.75" thickBot="1" x14ac:dyDescent="0.3">
      <c r="A230" s="28">
        <v>46000.753287037034</v>
      </c>
      <c r="B230" s="29" t="s">
        <v>10</v>
      </c>
      <c r="C230" s="29" t="s">
        <v>435</v>
      </c>
      <c r="D230" s="29" t="s">
        <v>775</v>
      </c>
      <c r="E230" s="29" t="s">
        <v>10</v>
      </c>
      <c r="F230" s="30">
        <v>46000</v>
      </c>
      <c r="G230" s="29" t="s">
        <v>776</v>
      </c>
      <c r="H230" s="29" t="s">
        <v>777</v>
      </c>
      <c r="I230" s="29" t="s">
        <v>66</v>
      </c>
      <c r="J230" s="31" t="s">
        <v>1792</v>
      </c>
      <c r="K230" s="29" t="s">
        <v>1793</v>
      </c>
      <c r="L230" s="29" t="s">
        <v>774</v>
      </c>
      <c r="M230" s="32" t="s">
        <v>1794</v>
      </c>
    </row>
    <row r="231" spans="1:13" ht="15.75" thickBot="1" x14ac:dyDescent="0.3">
      <c r="A231" s="33">
        <v>46000.755162037036</v>
      </c>
      <c r="B231" s="34" t="s">
        <v>953</v>
      </c>
      <c r="C231" s="34" t="s">
        <v>725</v>
      </c>
      <c r="D231" s="34" t="s">
        <v>780</v>
      </c>
      <c r="E231" s="34" t="s">
        <v>10</v>
      </c>
      <c r="F231" s="35">
        <v>43091</v>
      </c>
      <c r="G231" s="34" t="s">
        <v>781</v>
      </c>
      <c r="H231" s="34" t="s">
        <v>782</v>
      </c>
      <c r="I231" s="34" t="s">
        <v>2</v>
      </c>
      <c r="J231" s="36" t="s">
        <v>1795</v>
      </c>
      <c r="K231" s="34" t="s">
        <v>1796</v>
      </c>
      <c r="L231" s="34" t="s">
        <v>779</v>
      </c>
      <c r="M231" s="37" t="s">
        <v>1797</v>
      </c>
    </row>
    <row r="232" spans="1:13" ht="15.75" thickBot="1" x14ac:dyDescent="0.3">
      <c r="A232" s="28">
        <v>46000.755462962959</v>
      </c>
      <c r="B232" s="29" t="s">
        <v>10</v>
      </c>
      <c r="C232" s="29" t="s">
        <v>435</v>
      </c>
      <c r="D232" s="29" t="s">
        <v>785</v>
      </c>
      <c r="E232" s="29" t="s">
        <v>10</v>
      </c>
      <c r="F232" s="30">
        <v>41682</v>
      </c>
      <c r="G232" s="29" t="s">
        <v>786</v>
      </c>
      <c r="H232" s="29" t="s">
        <v>787</v>
      </c>
      <c r="I232" s="29" t="s">
        <v>66</v>
      </c>
      <c r="J232" s="31" t="s">
        <v>1798</v>
      </c>
      <c r="K232" s="29" t="s">
        <v>1799</v>
      </c>
      <c r="L232" s="29" t="s">
        <v>784</v>
      </c>
      <c r="M232" s="32" t="s">
        <v>1800</v>
      </c>
    </row>
    <row r="233" spans="1:13" ht="15.75" thickBot="1" x14ac:dyDescent="0.3">
      <c r="A233" s="33">
        <v>46000.757488425923</v>
      </c>
      <c r="B233" s="34" t="s">
        <v>10</v>
      </c>
      <c r="C233" s="34" t="s">
        <v>435</v>
      </c>
      <c r="D233" s="34" t="s">
        <v>790</v>
      </c>
      <c r="E233" s="34" t="s">
        <v>10</v>
      </c>
      <c r="F233" s="35">
        <v>42228</v>
      </c>
      <c r="G233" s="34" t="s">
        <v>791</v>
      </c>
      <c r="H233" s="34" t="s">
        <v>792</v>
      </c>
      <c r="I233" s="34" t="s">
        <v>66</v>
      </c>
      <c r="J233" s="36" t="s">
        <v>1801</v>
      </c>
      <c r="K233" s="34" t="s">
        <v>1802</v>
      </c>
      <c r="L233" s="34" t="s">
        <v>789</v>
      </c>
      <c r="M233" s="37" t="s">
        <v>1803</v>
      </c>
    </row>
    <row r="234" spans="1:13" ht="15.75" thickBot="1" x14ac:dyDescent="0.3">
      <c r="A234" s="28">
        <v>46000.759699074071</v>
      </c>
      <c r="B234" s="29" t="s">
        <v>953</v>
      </c>
      <c r="C234" s="29" t="s">
        <v>725</v>
      </c>
      <c r="D234" s="29" t="s">
        <v>795</v>
      </c>
      <c r="E234" s="29" t="s">
        <v>10</v>
      </c>
      <c r="F234" s="30">
        <v>42977</v>
      </c>
      <c r="G234" s="29" t="s">
        <v>796</v>
      </c>
      <c r="H234" s="29" t="s">
        <v>797</v>
      </c>
      <c r="I234" s="29" t="s">
        <v>2</v>
      </c>
      <c r="J234" s="31" t="s">
        <v>1804</v>
      </c>
      <c r="K234" s="29" t="s">
        <v>1805</v>
      </c>
      <c r="L234" s="29" t="s">
        <v>794</v>
      </c>
      <c r="M234" s="32" t="s">
        <v>1806</v>
      </c>
    </row>
    <row r="235" spans="1:13" ht="15.75" thickBot="1" x14ac:dyDescent="0.3">
      <c r="A235" s="33">
        <v>46000.761250000003</v>
      </c>
      <c r="B235" s="34" t="s">
        <v>1317</v>
      </c>
      <c r="C235" s="34" t="s">
        <v>1807</v>
      </c>
      <c r="D235" s="34" t="s">
        <v>1808</v>
      </c>
      <c r="E235" s="34" t="s">
        <v>116</v>
      </c>
      <c r="F235" s="35">
        <v>42439</v>
      </c>
      <c r="G235" s="34" t="s">
        <v>1809</v>
      </c>
      <c r="H235" s="34" t="s">
        <v>1810</v>
      </c>
      <c r="I235" s="34" t="s">
        <v>2</v>
      </c>
      <c r="J235" s="36" t="s">
        <v>1811</v>
      </c>
      <c r="K235" s="34" t="s">
        <v>1812</v>
      </c>
      <c r="L235" s="34" t="s">
        <v>3079</v>
      </c>
      <c r="M235" s="38"/>
    </row>
    <row r="236" spans="1:13" ht="15.75" thickBot="1" x14ac:dyDescent="0.3">
      <c r="A236" s="28">
        <v>46000.764398148145</v>
      </c>
      <c r="B236" s="29" t="s">
        <v>10</v>
      </c>
      <c r="C236" s="29" t="s">
        <v>435</v>
      </c>
      <c r="D236" s="29" t="s">
        <v>785</v>
      </c>
      <c r="E236" s="29" t="s">
        <v>10</v>
      </c>
      <c r="F236" s="30">
        <v>41682</v>
      </c>
      <c r="G236" s="29" t="s">
        <v>786</v>
      </c>
      <c r="H236" s="29" t="s">
        <v>787</v>
      </c>
      <c r="I236" s="29" t="s">
        <v>66</v>
      </c>
      <c r="J236" s="31" t="s">
        <v>1813</v>
      </c>
      <c r="K236" s="29" t="s">
        <v>1814</v>
      </c>
      <c r="L236" s="29" t="s">
        <v>799</v>
      </c>
      <c r="M236" s="32" t="s">
        <v>1815</v>
      </c>
    </row>
    <row r="237" spans="1:13" ht="15.75" thickBot="1" x14ac:dyDescent="0.3">
      <c r="A237" s="33">
        <v>46000.766504629632</v>
      </c>
      <c r="B237" s="34" t="s">
        <v>1153</v>
      </c>
      <c r="C237" s="34" t="s">
        <v>1534</v>
      </c>
      <c r="D237" s="34" t="s">
        <v>1816</v>
      </c>
      <c r="E237" s="34" t="s">
        <v>10</v>
      </c>
      <c r="F237" s="35">
        <v>43085</v>
      </c>
      <c r="G237" s="34" t="s">
        <v>1536</v>
      </c>
      <c r="H237" s="34" t="s">
        <v>1537</v>
      </c>
      <c r="I237" s="34" t="s">
        <v>2</v>
      </c>
      <c r="J237" s="36" t="s">
        <v>1817</v>
      </c>
      <c r="K237" s="34" t="s">
        <v>1818</v>
      </c>
      <c r="L237" s="34" t="s">
        <v>3045</v>
      </c>
      <c r="M237" s="38"/>
    </row>
    <row r="238" spans="1:13" ht="15.75" thickBot="1" x14ac:dyDescent="0.3">
      <c r="A238" s="28">
        <v>46000.767754629633</v>
      </c>
      <c r="B238" s="29" t="s">
        <v>10</v>
      </c>
      <c r="C238" s="29" t="s">
        <v>435</v>
      </c>
      <c r="D238" s="29" t="s">
        <v>790</v>
      </c>
      <c r="E238" s="29" t="s">
        <v>10</v>
      </c>
      <c r="F238" s="30">
        <v>42228</v>
      </c>
      <c r="G238" s="29" t="s">
        <v>791</v>
      </c>
      <c r="H238" s="29" t="s">
        <v>792</v>
      </c>
      <c r="I238" s="29" t="s">
        <v>66</v>
      </c>
      <c r="J238" s="31" t="s">
        <v>1819</v>
      </c>
      <c r="K238" s="29" t="s">
        <v>1820</v>
      </c>
      <c r="L238" s="29" t="s">
        <v>801</v>
      </c>
      <c r="M238" s="32" t="s">
        <v>1821</v>
      </c>
    </row>
    <row r="239" spans="1:13" ht="15.75" thickBot="1" x14ac:dyDescent="0.3">
      <c r="A239" s="33">
        <v>46000.769074074073</v>
      </c>
      <c r="B239" s="34" t="s">
        <v>1153</v>
      </c>
      <c r="C239" s="34" t="s">
        <v>1534</v>
      </c>
      <c r="D239" s="34" t="s">
        <v>1822</v>
      </c>
      <c r="E239" s="34" t="s">
        <v>10</v>
      </c>
      <c r="F239" s="35">
        <v>42055</v>
      </c>
      <c r="G239" s="34" t="s">
        <v>1823</v>
      </c>
      <c r="H239" s="34" t="s">
        <v>1824</v>
      </c>
      <c r="I239" s="34" t="s">
        <v>2</v>
      </c>
      <c r="J239" s="36" t="s">
        <v>1825</v>
      </c>
      <c r="K239" s="34" t="s">
        <v>1826</v>
      </c>
      <c r="L239" s="34" t="s">
        <v>3046</v>
      </c>
      <c r="M239" s="38"/>
    </row>
    <row r="240" spans="1:13" ht="15.75" thickBot="1" x14ac:dyDescent="0.3">
      <c r="A240" s="28">
        <v>46000.773125</v>
      </c>
      <c r="B240" s="29" t="s">
        <v>1317</v>
      </c>
      <c r="C240" s="29" t="s">
        <v>473</v>
      </c>
      <c r="D240" s="29" t="s">
        <v>1827</v>
      </c>
      <c r="E240" s="29" t="s">
        <v>10</v>
      </c>
      <c r="F240" s="30">
        <v>42195</v>
      </c>
      <c r="G240" s="29" t="s">
        <v>1828</v>
      </c>
      <c r="H240" s="29" t="s">
        <v>1829</v>
      </c>
      <c r="I240" s="29" t="s">
        <v>2</v>
      </c>
      <c r="J240" s="31" t="s">
        <v>1830</v>
      </c>
      <c r="K240" s="29" t="s">
        <v>1831</v>
      </c>
      <c r="L240" s="29" t="s">
        <v>3080</v>
      </c>
      <c r="M240" s="126"/>
    </row>
    <row r="241" spans="1:13" ht="15.75" thickBot="1" x14ac:dyDescent="0.3">
      <c r="A241" s="33">
        <v>46000.774039351854</v>
      </c>
      <c r="B241" s="34" t="s">
        <v>10</v>
      </c>
      <c r="C241" s="34" t="s">
        <v>435</v>
      </c>
      <c r="D241" s="34" t="s">
        <v>804</v>
      </c>
      <c r="E241" s="34" t="s">
        <v>10</v>
      </c>
      <c r="F241" s="35">
        <v>41602</v>
      </c>
      <c r="G241" s="34" t="s">
        <v>805</v>
      </c>
      <c r="H241" s="34" t="s">
        <v>806</v>
      </c>
      <c r="I241" s="34" t="s">
        <v>2</v>
      </c>
      <c r="J241" s="36" t="s">
        <v>1832</v>
      </c>
      <c r="K241" s="34" t="s">
        <v>1833</v>
      </c>
      <c r="L241" s="34" t="s">
        <v>803</v>
      </c>
      <c r="M241" s="37" t="s">
        <v>1834</v>
      </c>
    </row>
    <row r="242" spans="1:13" ht="15.75" thickBot="1" x14ac:dyDescent="0.3">
      <c r="A242" s="28">
        <v>46000.778449074074</v>
      </c>
      <c r="B242" s="29" t="s">
        <v>1317</v>
      </c>
      <c r="C242" s="29" t="s">
        <v>484</v>
      </c>
      <c r="D242" s="29" t="s">
        <v>1835</v>
      </c>
      <c r="E242" s="29" t="s">
        <v>10</v>
      </c>
      <c r="F242" s="30">
        <v>41629</v>
      </c>
      <c r="G242" s="29" t="s">
        <v>1836</v>
      </c>
      <c r="H242" s="29" t="s">
        <v>1837</v>
      </c>
      <c r="I242" s="29" t="s">
        <v>66</v>
      </c>
      <c r="J242" s="31" t="s">
        <v>1838</v>
      </c>
      <c r="K242" s="29" t="s">
        <v>1839</v>
      </c>
      <c r="L242" s="29" t="s">
        <v>3081</v>
      </c>
      <c r="M242" s="126"/>
    </row>
    <row r="243" spans="1:13" ht="15.75" thickBot="1" x14ac:dyDescent="0.3">
      <c r="A243" s="33">
        <v>46000.77915509259</v>
      </c>
      <c r="B243" s="34" t="s">
        <v>1153</v>
      </c>
      <c r="C243" s="34" t="s">
        <v>1534</v>
      </c>
      <c r="D243" s="34" t="s">
        <v>1840</v>
      </c>
      <c r="E243" s="34" t="s">
        <v>10</v>
      </c>
      <c r="F243" s="35">
        <v>42420</v>
      </c>
      <c r="G243" s="34" t="s">
        <v>1541</v>
      </c>
      <c r="H243" s="34" t="s">
        <v>1542</v>
      </c>
      <c r="I243" s="34" t="s">
        <v>66</v>
      </c>
      <c r="J243" s="36" t="s">
        <v>1841</v>
      </c>
      <c r="K243" s="34" t="s">
        <v>1842</v>
      </c>
      <c r="L243" s="34" t="s">
        <v>3047</v>
      </c>
      <c r="M243" s="38"/>
    </row>
    <row r="244" spans="1:13" ht="15.75" thickBot="1" x14ac:dyDescent="0.3">
      <c r="A244" s="28">
        <v>46000.781458333331</v>
      </c>
      <c r="B244" s="29" t="s">
        <v>1317</v>
      </c>
      <c r="C244" s="29" t="s">
        <v>511</v>
      </c>
      <c r="D244" s="29" t="s">
        <v>1843</v>
      </c>
      <c r="E244" s="29" t="s">
        <v>116</v>
      </c>
      <c r="F244" s="30">
        <v>41770</v>
      </c>
      <c r="G244" s="29" t="s">
        <v>1844</v>
      </c>
      <c r="H244" s="29" t="s">
        <v>1845</v>
      </c>
      <c r="I244" s="29" t="s">
        <v>2</v>
      </c>
      <c r="J244" s="31" t="s">
        <v>1846</v>
      </c>
      <c r="K244" s="29" t="s">
        <v>1847</v>
      </c>
      <c r="L244" s="29" t="s">
        <v>3082</v>
      </c>
      <c r="M244" s="126"/>
    </row>
    <row r="245" spans="1:13" ht="15.75" thickBot="1" x14ac:dyDescent="0.3">
      <c r="A245" s="33">
        <v>46000.79109953704</v>
      </c>
      <c r="B245" s="34" t="s">
        <v>1317</v>
      </c>
      <c r="C245" s="34" t="s">
        <v>473</v>
      </c>
      <c r="D245" s="34" t="s">
        <v>1848</v>
      </c>
      <c r="E245" s="34" t="s">
        <v>28</v>
      </c>
      <c r="F245" s="35">
        <v>42326</v>
      </c>
      <c r="G245" s="34" t="s">
        <v>1849</v>
      </c>
      <c r="H245" s="34" t="s">
        <v>1850</v>
      </c>
      <c r="I245" s="34" t="s">
        <v>2</v>
      </c>
      <c r="J245" s="36" t="s">
        <v>1851</v>
      </c>
      <c r="K245" s="34" t="s">
        <v>1852</v>
      </c>
      <c r="L245" s="34" t="s">
        <v>3083</v>
      </c>
      <c r="M245" s="38"/>
    </row>
    <row r="246" spans="1:13" ht="15.75" thickBot="1" x14ac:dyDescent="0.3">
      <c r="A246" s="28">
        <v>46000.794652777775</v>
      </c>
      <c r="B246" s="29" t="s">
        <v>10</v>
      </c>
      <c r="C246" s="29" t="s">
        <v>699</v>
      </c>
      <c r="D246" s="29" t="s">
        <v>809</v>
      </c>
      <c r="E246" s="29" t="s">
        <v>10</v>
      </c>
      <c r="F246" s="30">
        <v>41632</v>
      </c>
      <c r="G246" s="29" t="s">
        <v>810</v>
      </c>
      <c r="H246" s="29" t="s">
        <v>811</v>
      </c>
      <c r="I246" s="29" t="s">
        <v>2</v>
      </c>
      <c r="J246" s="31" t="s">
        <v>1853</v>
      </c>
      <c r="K246" s="29" t="s">
        <v>1854</v>
      </c>
      <c r="L246" s="29" t="s">
        <v>808</v>
      </c>
      <c r="M246" s="32" t="s">
        <v>1855</v>
      </c>
    </row>
    <row r="247" spans="1:13" ht="15.75" thickBot="1" x14ac:dyDescent="0.3">
      <c r="A247" s="33">
        <v>46000.797337962962</v>
      </c>
      <c r="B247" s="34" t="s">
        <v>1317</v>
      </c>
      <c r="C247" s="34" t="s">
        <v>473</v>
      </c>
      <c r="D247" s="34" t="s">
        <v>1856</v>
      </c>
      <c r="E247" s="34" t="s">
        <v>10</v>
      </c>
      <c r="F247" s="35">
        <v>41819</v>
      </c>
      <c r="G247" s="34" t="s">
        <v>1857</v>
      </c>
      <c r="H247" s="34" t="s">
        <v>1858</v>
      </c>
      <c r="I247" s="34" t="s">
        <v>2</v>
      </c>
      <c r="J247" s="36" t="s">
        <v>1859</v>
      </c>
      <c r="K247" s="34" t="s">
        <v>1860</v>
      </c>
      <c r="L247" s="34" t="s">
        <v>3084</v>
      </c>
      <c r="M247" s="38"/>
    </row>
    <row r="248" spans="1:13" ht="15.75" thickBot="1" x14ac:dyDescent="0.3">
      <c r="A248" s="28">
        <v>46000.799085648148</v>
      </c>
      <c r="B248" s="29" t="s">
        <v>1153</v>
      </c>
      <c r="C248" s="29" t="s">
        <v>1534</v>
      </c>
      <c r="D248" s="29" t="s">
        <v>1861</v>
      </c>
      <c r="E248" s="29" t="s">
        <v>116</v>
      </c>
      <c r="F248" s="30">
        <v>42864</v>
      </c>
      <c r="G248" s="29" t="s">
        <v>1862</v>
      </c>
      <c r="H248" s="29" t="s">
        <v>1863</v>
      </c>
      <c r="I248" s="29" t="s">
        <v>2</v>
      </c>
      <c r="J248" s="31" t="s">
        <v>1864</v>
      </c>
      <c r="K248" s="29" t="s">
        <v>1865</v>
      </c>
      <c r="L248" s="29" t="s">
        <v>3048</v>
      </c>
      <c r="M248" s="126"/>
    </row>
    <row r="249" spans="1:13" ht="15.75" thickBot="1" x14ac:dyDescent="0.3">
      <c r="A249" s="33">
        <v>46000.800347222219</v>
      </c>
      <c r="B249" s="34" t="s">
        <v>10</v>
      </c>
      <c r="C249" s="34" t="s">
        <v>699</v>
      </c>
      <c r="D249" s="34" t="s">
        <v>814</v>
      </c>
      <c r="E249" s="34" t="s">
        <v>815</v>
      </c>
      <c r="F249" s="35">
        <v>42005</v>
      </c>
      <c r="G249" s="34" t="s">
        <v>816</v>
      </c>
      <c r="H249" s="34" t="s">
        <v>817</v>
      </c>
      <c r="I249" s="34" t="s">
        <v>2</v>
      </c>
      <c r="J249" s="36" t="s">
        <v>1866</v>
      </c>
      <c r="K249" s="34" t="s">
        <v>1867</v>
      </c>
      <c r="L249" s="34" t="s">
        <v>813</v>
      </c>
      <c r="M249" s="37" t="s">
        <v>1868</v>
      </c>
    </row>
    <row r="250" spans="1:13" ht="15.75" thickBot="1" x14ac:dyDescent="0.3">
      <c r="A250" s="28">
        <v>46000.802824074075</v>
      </c>
      <c r="B250" s="29" t="s">
        <v>10</v>
      </c>
      <c r="C250" s="29" t="s">
        <v>435</v>
      </c>
      <c r="D250" s="29" t="s">
        <v>820</v>
      </c>
      <c r="E250" s="29" t="s">
        <v>10</v>
      </c>
      <c r="F250" s="30">
        <v>42102</v>
      </c>
      <c r="G250" s="29" t="s">
        <v>821</v>
      </c>
      <c r="H250" s="29" t="s">
        <v>822</v>
      </c>
      <c r="I250" s="29" t="s">
        <v>2</v>
      </c>
      <c r="J250" s="31" t="s">
        <v>1869</v>
      </c>
      <c r="K250" s="29" t="s">
        <v>1870</v>
      </c>
      <c r="L250" s="29" t="s">
        <v>819</v>
      </c>
      <c r="M250" s="32" t="s">
        <v>1871</v>
      </c>
    </row>
    <row r="251" spans="1:13" ht="15.75" thickBot="1" x14ac:dyDescent="0.3">
      <c r="A251" s="33">
        <v>46000.805555555555</v>
      </c>
      <c r="B251" s="34" t="s">
        <v>1317</v>
      </c>
      <c r="C251" s="34" t="s">
        <v>593</v>
      </c>
      <c r="D251" s="34" t="s">
        <v>1872</v>
      </c>
      <c r="E251" s="34" t="s">
        <v>1873</v>
      </c>
      <c r="F251" s="35">
        <v>42198</v>
      </c>
      <c r="G251" s="34" t="s">
        <v>1874</v>
      </c>
      <c r="H251" s="34" t="s">
        <v>1875</v>
      </c>
      <c r="I251" s="34" t="s">
        <v>66</v>
      </c>
      <c r="J251" s="36" t="s">
        <v>1876</v>
      </c>
      <c r="K251" s="34" t="s">
        <v>1877</v>
      </c>
      <c r="L251" s="34" t="s">
        <v>3085</v>
      </c>
      <c r="M251" s="38"/>
    </row>
    <row r="252" spans="1:13" ht="15.75" thickBot="1" x14ac:dyDescent="0.3">
      <c r="A252" s="28">
        <v>46000.808298611111</v>
      </c>
      <c r="B252" s="29" t="s">
        <v>1317</v>
      </c>
      <c r="C252" s="29" t="s">
        <v>473</v>
      </c>
      <c r="D252" s="29" t="s">
        <v>1878</v>
      </c>
      <c r="E252" s="29" t="s">
        <v>10</v>
      </c>
      <c r="F252" s="30">
        <v>41631</v>
      </c>
      <c r="G252" s="29" t="s">
        <v>1879</v>
      </c>
      <c r="H252" s="29" t="s">
        <v>1880</v>
      </c>
      <c r="I252" s="29" t="s">
        <v>2</v>
      </c>
      <c r="J252" s="31" t="s">
        <v>1881</v>
      </c>
      <c r="K252" s="29" t="s">
        <v>1882</v>
      </c>
      <c r="L252" s="29" t="s">
        <v>3086</v>
      </c>
      <c r="M252" s="126"/>
    </row>
    <row r="253" spans="1:13" ht="15.75" thickBot="1" x14ac:dyDescent="0.3">
      <c r="A253" s="33">
        <v>46000.829386574071</v>
      </c>
      <c r="B253" s="34" t="s">
        <v>10</v>
      </c>
      <c r="C253" s="34" t="s">
        <v>609</v>
      </c>
      <c r="D253" s="34" t="s">
        <v>825</v>
      </c>
      <c r="E253" s="34" t="s">
        <v>10</v>
      </c>
      <c r="F253" s="35">
        <v>41714</v>
      </c>
      <c r="G253" s="34" t="s">
        <v>826</v>
      </c>
      <c r="H253" s="34" t="s">
        <v>827</v>
      </c>
      <c r="I253" s="34" t="s">
        <v>2</v>
      </c>
      <c r="J253" s="36" t="s">
        <v>1883</v>
      </c>
      <c r="K253" s="34" t="s">
        <v>1884</v>
      </c>
      <c r="L253" s="34" t="s">
        <v>824</v>
      </c>
      <c r="M253" s="37" t="s">
        <v>1885</v>
      </c>
    </row>
    <row r="254" spans="1:13" ht="15.75" thickBot="1" x14ac:dyDescent="0.3">
      <c r="A254" s="28">
        <v>46000.83048611111</v>
      </c>
      <c r="B254" s="29" t="s">
        <v>10</v>
      </c>
      <c r="C254" s="29" t="s">
        <v>435</v>
      </c>
      <c r="D254" s="29" t="s">
        <v>830</v>
      </c>
      <c r="E254" s="29" t="s">
        <v>402</v>
      </c>
      <c r="F254" s="30">
        <v>42101</v>
      </c>
      <c r="G254" s="29" t="s">
        <v>831</v>
      </c>
      <c r="H254" s="29" t="s">
        <v>832</v>
      </c>
      <c r="I254" s="29" t="s">
        <v>2</v>
      </c>
      <c r="J254" s="31" t="s">
        <v>1886</v>
      </c>
      <c r="K254" s="29" t="s">
        <v>1887</v>
      </c>
      <c r="L254" s="29" t="s">
        <v>829</v>
      </c>
      <c r="M254" s="32" t="s">
        <v>1888</v>
      </c>
    </row>
    <row r="255" spans="1:13" ht="15.75" thickBot="1" x14ac:dyDescent="0.3">
      <c r="A255" s="33">
        <v>46000.833020833335</v>
      </c>
      <c r="B255" s="34" t="s">
        <v>10</v>
      </c>
      <c r="C255" s="34" t="s">
        <v>435</v>
      </c>
      <c r="D255" s="34" t="s">
        <v>835</v>
      </c>
      <c r="E255" s="34" t="s">
        <v>10</v>
      </c>
      <c r="F255" s="35">
        <v>42233</v>
      </c>
      <c r="G255" s="34" t="s">
        <v>836</v>
      </c>
      <c r="H255" s="34" t="s">
        <v>837</v>
      </c>
      <c r="I255" s="34" t="s">
        <v>2</v>
      </c>
      <c r="J255" s="36" t="s">
        <v>1889</v>
      </c>
      <c r="K255" s="34" t="s">
        <v>1890</v>
      </c>
      <c r="L255" s="34" t="s">
        <v>834</v>
      </c>
      <c r="M255" s="37" t="s">
        <v>1891</v>
      </c>
    </row>
    <row r="256" spans="1:13" ht="15.75" thickBot="1" x14ac:dyDescent="0.3">
      <c r="A256" s="28">
        <v>46000.835879629631</v>
      </c>
      <c r="B256" s="29" t="s">
        <v>1153</v>
      </c>
      <c r="C256" s="29" t="s">
        <v>256</v>
      </c>
      <c r="D256" s="29" t="s">
        <v>1892</v>
      </c>
      <c r="E256" s="29" t="s">
        <v>1893</v>
      </c>
      <c r="F256" s="30">
        <v>42609</v>
      </c>
      <c r="G256" s="29" t="s">
        <v>1894</v>
      </c>
      <c r="H256" s="29" t="s">
        <v>1895</v>
      </c>
      <c r="I256" s="29" t="s">
        <v>2</v>
      </c>
      <c r="J256" s="31" t="s">
        <v>1896</v>
      </c>
      <c r="K256" s="29" t="s">
        <v>1897</v>
      </c>
      <c r="L256" s="29" t="s">
        <v>3049</v>
      </c>
      <c r="M256" s="126"/>
    </row>
    <row r="257" spans="1:13" ht="15.75" thickBot="1" x14ac:dyDescent="0.3">
      <c r="A257" s="33">
        <v>46000.837939814817</v>
      </c>
      <c r="B257" s="34" t="s">
        <v>10</v>
      </c>
      <c r="C257" s="34" t="s">
        <v>435</v>
      </c>
      <c r="D257" s="34" t="s">
        <v>840</v>
      </c>
      <c r="E257" s="34" t="s">
        <v>10</v>
      </c>
      <c r="F257" s="35">
        <v>42101</v>
      </c>
      <c r="G257" s="34" t="s">
        <v>841</v>
      </c>
      <c r="H257" s="34" t="s">
        <v>842</v>
      </c>
      <c r="I257" s="34" t="s">
        <v>2</v>
      </c>
      <c r="J257" s="36" t="s">
        <v>1898</v>
      </c>
      <c r="K257" s="34" t="s">
        <v>1899</v>
      </c>
      <c r="L257" s="34" t="s">
        <v>839</v>
      </c>
      <c r="M257" s="37" t="s">
        <v>1900</v>
      </c>
    </row>
    <row r="258" spans="1:13" ht="15.75" thickBot="1" x14ac:dyDescent="0.3">
      <c r="A258" s="28">
        <v>46000.85355324074</v>
      </c>
      <c r="B258" s="29" t="s">
        <v>10</v>
      </c>
      <c r="C258" s="29" t="s">
        <v>484</v>
      </c>
      <c r="D258" s="29" t="s">
        <v>845</v>
      </c>
      <c r="E258" s="29" t="s">
        <v>10</v>
      </c>
      <c r="F258" s="30">
        <v>41548</v>
      </c>
      <c r="G258" s="29" t="s">
        <v>846</v>
      </c>
      <c r="H258" s="29" t="s">
        <v>847</v>
      </c>
      <c r="I258" s="29" t="s">
        <v>2</v>
      </c>
      <c r="J258" s="31" t="s">
        <v>1901</v>
      </c>
      <c r="K258" s="29" t="s">
        <v>1902</v>
      </c>
      <c r="L258" s="29" t="s">
        <v>844</v>
      </c>
      <c r="M258" s="32" t="s">
        <v>1903</v>
      </c>
    </row>
    <row r="259" spans="1:13" ht="15.75" thickBot="1" x14ac:dyDescent="0.3">
      <c r="A259" s="33">
        <v>46000.866840277777</v>
      </c>
      <c r="B259" s="34" t="s">
        <v>10</v>
      </c>
      <c r="C259" s="34" t="s">
        <v>854</v>
      </c>
      <c r="D259" s="34" t="s">
        <v>850</v>
      </c>
      <c r="E259" s="34" t="s">
        <v>10</v>
      </c>
      <c r="F259" s="35">
        <v>41531</v>
      </c>
      <c r="G259" s="34" t="s">
        <v>851</v>
      </c>
      <c r="H259" s="34" t="s">
        <v>852</v>
      </c>
      <c r="I259" s="34" t="s">
        <v>2</v>
      </c>
      <c r="J259" s="36" t="s">
        <v>1904</v>
      </c>
      <c r="K259" s="34" t="s">
        <v>1905</v>
      </c>
      <c r="L259" s="34" t="s">
        <v>849</v>
      </c>
      <c r="M259" s="37" t="s">
        <v>1906</v>
      </c>
    </row>
    <row r="260" spans="1:13" ht="15.75" thickBot="1" x14ac:dyDescent="0.3">
      <c r="A260" s="28">
        <v>46000.867546296293</v>
      </c>
      <c r="B260" s="29" t="s">
        <v>1317</v>
      </c>
      <c r="C260" s="29" t="s">
        <v>1907</v>
      </c>
      <c r="D260" s="29" t="s">
        <v>1908</v>
      </c>
      <c r="E260" s="29" t="s">
        <v>10</v>
      </c>
      <c r="F260" s="30">
        <v>42783</v>
      </c>
      <c r="G260" s="29" t="s">
        <v>1909</v>
      </c>
      <c r="H260" s="29" t="s">
        <v>1910</v>
      </c>
      <c r="I260" s="29" t="s">
        <v>2</v>
      </c>
      <c r="J260" s="31" t="s">
        <v>1911</v>
      </c>
      <c r="K260" s="29" t="s">
        <v>1912</v>
      </c>
      <c r="L260" s="29" t="s">
        <v>3087</v>
      </c>
      <c r="M260" s="126"/>
    </row>
    <row r="261" spans="1:13" ht="15.75" thickBot="1" x14ac:dyDescent="0.3">
      <c r="A261" s="33">
        <v>46000.869942129626</v>
      </c>
      <c r="B261" s="34" t="s">
        <v>10</v>
      </c>
      <c r="C261" s="34" t="s">
        <v>342</v>
      </c>
      <c r="D261" s="34" t="s">
        <v>856</v>
      </c>
      <c r="E261" s="34" t="s">
        <v>204</v>
      </c>
      <c r="F261" s="35">
        <v>42456</v>
      </c>
      <c r="G261" s="34" t="s">
        <v>857</v>
      </c>
      <c r="H261" s="34" t="s">
        <v>858</v>
      </c>
      <c r="I261" s="34" t="s">
        <v>2</v>
      </c>
      <c r="J261" s="36" t="s">
        <v>1913</v>
      </c>
      <c r="K261" s="34" t="s">
        <v>1914</v>
      </c>
      <c r="L261" s="34" t="s">
        <v>855</v>
      </c>
      <c r="M261" s="37" t="s">
        <v>1915</v>
      </c>
    </row>
    <row r="262" spans="1:13" ht="15.75" thickBot="1" x14ac:dyDescent="0.3">
      <c r="A262" s="28">
        <v>46000.870185185187</v>
      </c>
      <c r="B262" s="29" t="s">
        <v>1317</v>
      </c>
      <c r="C262" s="29" t="s">
        <v>1807</v>
      </c>
      <c r="D262" s="29" t="s">
        <v>1916</v>
      </c>
      <c r="E262" s="29" t="s">
        <v>116</v>
      </c>
      <c r="F262" s="30">
        <v>42208</v>
      </c>
      <c r="G262" s="29" t="s">
        <v>1917</v>
      </c>
      <c r="H262" s="29" t="s">
        <v>1918</v>
      </c>
      <c r="I262" s="29" t="s">
        <v>2</v>
      </c>
      <c r="J262" s="31" t="s">
        <v>1919</v>
      </c>
      <c r="K262" s="29" t="s">
        <v>1920</v>
      </c>
      <c r="L262" s="29" t="s">
        <v>3088</v>
      </c>
      <c r="M262" s="126"/>
    </row>
    <row r="263" spans="1:13" ht="15.75" thickBot="1" x14ac:dyDescent="0.3">
      <c r="A263" s="33">
        <v>46000.888472222221</v>
      </c>
      <c r="B263" s="34" t="s">
        <v>1317</v>
      </c>
      <c r="C263" s="34" t="s">
        <v>1907</v>
      </c>
      <c r="D263" s="34" t="s">
        <v>1921</v>
      </c>
      <c r="E263" s="34" t="s">
        <v>116</v>
      </c>
      <c r="F263" s="35">
        <v>42852</v>
      </c>
      <c r="G263" s="34" t="s">
        <v>1922</v>
      </c>
      <c r="H263" s="34" t="s">
        <v>1923</v>
      </c>
      <c r="I263" s="34" t="s">
        <v>2</v>
      </c>
      <c r="J263" s="36" t="s">
        <v>1924</v>
      </c>
      <c r="K263" s="34" t="s">
        <v>1925</v>
      </c>
      <c r="L263" s="34" t="s">
        <v>3089</v>
      </c>
      <c r="M263" s="38"/>
    </row>
    <row r="264" spans="1:13" ht="15.75" thickBot="1" x14ac:dyDescent="0.3">
      <c r="A264" s="28">
        <v>46000.888969907406</v>
      </c>
      <c r="B264" s="29" t="s">
        <v>1317</v>
      </c>
      <c r="C264" s="29" t="s">
        <v>742</v>
      </c>
      <c r="D264" s="29" t="s">
        <v>1926</v>
      </c>
      <c r="E264" s="29" t="s">
        <v>10</v>
      </c>
      <c r="F264" s="30">
        <v>42839</v>
      </c>
      <c r="G264" s="29" t="s">
        <v>1927</v>
      </c>
      <c r="H264" s="29" t="s">
        <v>1928</v>
      </c>
      <c r="I264" s="29" t="s">
        <v>2</v>
      </c>
      <c r="J264" s="31" t="s">
        <v>1929</v>
      </c>
      <c r="K264" s="29" t="s">
        <v>1930</v>
      </c>
      <c r="L264" s="29" t="s">
        <v>3090</v>
      </c>
      <c r="M264" s="126"/>
    </row>
    <row r="265" spans="1:13" ht="15.75" thickBot="1" x14ac:dyDescent="0.3">
      <c r="A265" s="33">
        <v>46000.890462962961</v>
      </c>
      <c r="B265" s="34" t="s">
        <v>1317</v>
      </c>
      <c r="C265" s="34" t="s">
        <v>1907</v>
      </c>
      <c r="D265" s="34" t="s">
        <v>1931</v>
      </c>
      <c r="E265" s="34" t="s">
        <v>10</v>
      </c>
      <c r="F265" s="35">
        <v>42556</v>
      </c>
      <c r="G265" s="34" t="s">
        <v>1932</v>
      </c>
      <c r="H265" s="34" t="s">
        <v>1933</v>
      </c>
      <c r="I265" s="34" t="s">
        <v>2</v>
      </c>
      <c r="J265" s="36" t="s">
        <v>1934</v>
      </c>
      <c r="K265" s="34" t="s">
        <v>1935</v>
      </c>
      <c r="L265" s="34" t="s">
        <v>3091</v>
      </c>
      <c r="M265" s="38"/>
    </row>
    <row r="266" spans="1:13" ht="15.75" thickBot="1" x14ac:dyDescent="0.3">
      <c r="A266" s="28">
        <v>46000.893240740741</v>
      </c>
      <c r="B266" s="29" t="s">
        <v>1317</v>
      </c>
      <c r="C266" s="29" t="s">
        <v>1907</v>
      </c>
      <c r="D266" s="29" t="s">
        <v>1936</v>
      </c>
      <c r="E266" s="29" t="s">
        <v>365</v>
      </c>
      <c r="F266" s="30">
        <v>42922</v>
      </c>
      <c r="G266" s="29" t="s">
        <v>1937</v>
      </c>
      <c r="H266" s="29" t="s">
        <v>1938</v>
      </c>
      <c r="I266" s="29" t="s">
        <v>2</v>
      </c>
      <c r="J266" s="31" t="s">
        <v>1939</v>
      </c>
      <c r="K266" s="29" t="s">
        <v>1940</v>
      </c>
      <c r="L266" s="29" t="s">
        <v>3092</v>
      </c>
      <c r="M266" s="126"/>
    </row>
    <row r="267" spans="1:13" ht="15.75" thickBot="1" x14ac:dyDescent="0.3">
      <c r="A267" s="33">
        <v>46000.899050925924</v>
      </c>
      <c r="B267" s="34" t="s">
        <v>1317</v>
      </c>
      <c r="C267" s="34" t="s">
        <v>484</v>
      </c>
      <c r="D267" s="34" t="s">
        <v>1941</v>
      </c>
      <c r="E267" s="34" t="s">
        <v>10</v>
      </c>
      <c r="F267" s="35">
        <v>41515</v>
      </c>
      <c r="G267" s="34" t="s">
        <v>1942</v>
      </c>
      <c r="H267" s="34" t="s">
        <v>1943</v>
      </c>
      <c r="I267" s="34" t="s">
        <v>2</v>
      </c>
      <c r="J267" s="36" t="s">
        <v>1944</v>
      </c>
      <c r="K267" s="34" t="s">
        <v>1945</v>
      </c>
      <c r="L267" s="34" t="s">
        <v>3093</v>
      </c>
      <c r="M267" s="38"/>
    </row>
    <row r="268" spans="1:13" ht="15.75" thickBot="1" x14ac:dyDescent="0.3">
      <c r="A268" s="28">
        <v>46000.90084490741</v>
      </c>
      <c r="B268" s="29" t="s">
        <v>1317</v>
      </c>
      <c r="C268" s="29" t="s">
        <v>1907</v>
      </c>
      <c r="D268" s="29" t="s">
        <v>1946</v>
      </c>
      <c r="E268" s="29" t="s">
        <v>1155</v>
      </c>
      <c r="F268" s="30">
        <v>43152</v>
      </c>
      <c r="G268" s="29" t="s">
        <v>1947</v>
      </c>
      <c r="H268" s="29" t="s">
        <v>1948</v>
      </c>
      <c r="I268" s="29" t="s">
        <v>2</v>
      </c>
      <c r="J268" s="31" t="s">
        <v>1949</v>
      </c>
      <c r="K268" s="29" t="s">
        <v>1950</v>
      </c>
      <c r="L268" s="29" t="s">
        <v>3094</v>
      </c>
      <c r="M268" s="126"/>
    </row>
    <row r="269" spans="1:13" ht="15.75" thickBot="1" x14ac:dyDescent="0.3">
      <c r="A269" s="33">
        <v>46000.906574074077</v>
      </c>
      <c r="B269" s="34" t="s">
        <v>10</v>
      </c>
      <c r="C269" s="34" t="s">
        <v>435</v>
      </c>
      <c r="D269" s="34" t="s">
        <v>861</v>
      </c>
      <c r="E269" s="34" t="s">
        <v>28</v>
      </c>
      <c r="F269" s="35">
        <v>42220</v>
      </c>
      <c r="G269" s="34" t="s">
        <v>862</v>
      </c>
      <c r="H269" s="34" t="s">
        <v>863</v>
      </c>
      <c r="I269" s="34" t="s">
        <v>66</v>
      </c>
      <c r="J269" s="36" t="s">
        <v>1951</v>
      </c>
      <c r="K269" s="34" t="s">
        <v>1952</v>
      </c>
      <c r="L269" s="34" t="s">
        <v>860</v>
      </c>
      <c r="M269" s="37" t="s">
        <v>1953</v>
      </c>
    </row>
    <row r="270" spans="1:13" ht="15.75" thickBot="1" x14ac:dyDescent="0.3">
      <c r="A270" s="28">
        <v>46000.914768518516</v>
      </c>
      <c r="B270" s="29" t="s">
        <v>10</v>
      </c>
      <c r="C270" s="29" t="s">
        <v>435</v>
      </c>
      <c r="D270" s="29" t="s">
        <v>866</v>
      </c>
      <c r="E270" s="29" t="s">
        <v>10</v>
      </c>
      <c r="F270" s="30">
        <v>42267</v>
      </c>
      <c r="G270" s="29" t="s">
        <v>867</v>
      </c>
      <c r="H270" s="29" t="s">
        <v>868</v>
      </c>
      <c r="I270" s="29" t="s">
        <v>2</v>
      </c>
      <c r="J270" s="31" t="s">
        <v>1954</v>
      </c>
      <c r="K270" s="29" t="s">
        <v>1955</v>
      </c>
      <c r="L270" s="29" t="s">
        <v>865</v>
      </c>
      <c r="M270" s="32" t="s">
        <v>1956</v>
      </c>
    </row>
    <row r="271" spans="1:13" ht="15.75" thickBot="1" x14ac:dyDescent="0.3">
      <c r="A271" s="33">
        <v>46000.936342592591</v>
      </c>
      <c r="B271" s="34" t="s">
        <v>10</v>
      </c>
      <c r="C271" s="34" t="s">
        <v>567</v>
      </c>
      <c r="D271" s="34" t="s">
        <v>871</v>
      </c>
      <c r="E271" s="34" t="s">
        <v>10</v>
      </c>
      <c r="F271" s="35">
        <v>42921</v>
      </c>
      <c r="G271" s="34" t="s">
        <v>872</v>
      </c>
      <c r="H271" s="34" t="s">
        <v>873</v>
      </c>
      <c r="I271" s="34" t="s">
        <v>2</v>
      </c>
      <c r="J271" s="36" t="s">
        <v>1957</v>
      </c>
      <c r="K271" s="34" t="s">
        <v>1958</v>
      </c>
      <c r="L271" s="34" t="s">
        <v>870</v>
      </c>
      <c r="M271" s="37" t="s">
        <v>1959</v>
      </c>
    </row>
    <row r="272" spans="1:13" ht="15.75" thickBot="1" x14ac:dyDescent="0.3">
      <c r="A272" s="28">
        <v>46001.211157407408</v>
      </c>
      <c r="B272" s="29" t="s">
        <v>10</v>
      </c>
      <c r="C272" s="29" t="s">
        <v>484</v>
      </c>
      <c r="D272" s="29" t="s">
        <v>876</v>
      </c>
      <c r="E272" s="29" t="s">
        <v>10</v>
      </c>
      <c r="F272" s="30">
        <v>45935</v>
      </c>
      <c r="G272" s="29" t="s">
        <v>877</v>
      </c>
      <c r="H272" s="29" t="s">
        <v>878</v>
      </c>
      <c r="I272" s="29" t="s">
        <v>2</v>
      </c>
      <c r="J272" s="31" t="s">
        <v>1960</v>
      </c>
      <c r="K272" s="29" t="s">
        <v>1961</v>
      </c>
      <c r="L272" s="29" t="s">
        <v>875</v>
      </c>
      <c r="M272" s="32" t="s">
        <v>1962</v>
      </c>
    </row>
    <row r="273" spans="1:13" ht="15.75" thickBot="1" x14ac:dyDescent="0.3">
      <c r="A273" s="33">
        <v>46001.217962962961</v>
      </c>
      <c r="B273" s="34" t="s">
        <v>1317</v>
      </c>
      <c r="C273" s="34" t="s">
        <v>484</v>
      </c>
      <c r="D273" s="34" t="s">
        <v>1963</v>
      </c>
      <c r="E273" s="34" t="s">
        <v>10</v>
      </c>
      <c r="F273" s="35">
        <v>46017</v>
      </c>
      <c r="G273" s="34" t="s">
        <v>1964</v>
      </c>
      <c r="H273" s="34" t="s">
        <v>1965</v>
      </c>
      <c r="I273" s="34" t="s">
        <v>2</v>
      </c>
      <c r="J273" s="36" t="s">
        <v>1966</v>
      </c>
      <c r="K273" s="34" t="s">
        <v>1967</v>
      </c>
      <c r="L273" s="34" t="s">
        <v>3095</v>
      </c>
      <c r="M273" s="38"/>
    </row>
    <row r="274" spans="1:13" ht="15.75" thickBot="1" x14ac:dyDescent="0.3">
      <c r="A274" s="28">
        <v>46001.224050925928</v>
      </c>
      <c r="B274" s="29" t="s">
        <v>10</v>
      </c>
      <c r="C274" s="29" t="s">
        <v>699</v>
      </c>
      <c r="D274" s="29" t="s">
        <v>881</v>
      </c>
      <c r="E274" s="29" t="s">
        <v>10</v>
      </c>
      <c r="F274" s="30">
        <v>42066</v>
      </c>
      <c r="G274" s="29" t="s">
        <v>882</v>
      </c>
      <c r="H274" s="29" t="s">
        <v>883</v>
      </c>
      <c r="I274" s="29" t="s">
        <v>2</v>
      </c>
      <c r="J274" s="31" t="s">
        <v>1968</v>
      </c>
      <c r="K274" s="29" t="s">
        <v>1969</v>
      </c>
      <c r="L274" s="29" t="s">
        <v>880</v>
      </c>
      <c r="M274" s="32" t="s">
        <v>1970</v>
      </c>
    </row>
    <row r="275" spans="1:13" ht="15.75" thickBot="1" x14ac:dyDescent="0.3">
      <c r="A275" s="33">
        <v>46001.23033564815</v>
      </c>
      <c r="B275" s="34" t="s">
        <v>10</v>
      </c>
      <c r="C275" s="34" t="s">
        <v>484</v>
      </c>
      <c r="D275" s="34" t="s">
        <v>886</v>
      </c>
      <c r="E275" s="34" t="s">
        <v>10</v>
      </c>
      <c r="F275" s="35">
        <v>41552</v>
      </c>
      <c r="G275" s="34" t="s">
        <v>887</v>
      </c>
      <c r="H275" s="34" t="s">
        <v>878</v>
      </c>
      <c r="I275" s="34" t="s">
        <v>2</v>
      </c>
      <c r="J275" s="36" t="s">
        <v>1971</v>
      </c>
      <c r="K275" s="34" t="s">
        <v>1972</v>
      </c>
      <c r="L275" s="34" t="s">
        <v>885</v>
      </c>
      <c r="M275" s="37" t="s">
        <v>1973</v>
      </c>
    </row>
    <row r="276" spans="1:13" ht="15.75" thickBot="1" x14ac:dyDescent="0.3">
      <c r="A276" s="28">
        <v>46001.231782407405</v>
      </c>
      <c r="B276" s="29" t="s">
        <v>1317</v>
      </c>
      <c r="C276" s="29" t="s">
        <v>484</v>
      </c>
      <c r="D276" s="29" t="s">
        <v>1974</v>
      </c>
      <c r="E276" s="29" t="s">
        <v>28</v>
      </c>
      <c r="F276" s="30">
        <v>41704</v>
      </c>
      <c r="G276" s="29" t="s">
        <v>1503</v>
      </c>
      <c r="H276" s="29" t="s">
        <v>1504</v>
      </c>
      <c r="I276" s="29" t="s">
        <v>66</v>
      </c>
      <c r="J276" s="31" t="s">
        <v>1975</v>
      </c>
      <c r="K276" s="29" t="s">
        <v>1976</v>
      </c>
      <c r="L276" s="29" t="s">
        <v>3096</v>
      </c>
      <c r="M276" s="126"/>
    </row>
    <row r="277" spans="1:13" ht="15.75" thickBot="1" x14ac:dyDescent="0.3">
      <c r="A277" s="33">
        <v>46001.243449074071</v>
      </c>
      <c r="B277" s="34" t="s">
        <v>10</v>
      </c>
      <c r="C277" s="34" t="s">
        <v>484</v>
      </c>
      <c r="D277" s="34" t="s">
        <v>890</v>
      </c>
      <c r="E277" s="34" t="s">
        <v>10</v>
      </c>
      <c r="F277" s="35">
        <v>41752</v>
      </c>
      <c r="G277" s="34" t="s">
        <v>891</v>
      </c>
      <c r="H277" s="34" t="s">
        <v>892</v>
      </c>
      <c r="I277" s="34" t="s">
        <v>66</v>
      </c>
      <c r="J277" s="36" t="s">
        <v>1977</v>
      </c>
      <c r="K277" s="34" t="s">
        <v>1978</v>
      </c>
      <c r="L277" s="34" t="s">
        <v>889</v>
      </c>
      <c r="M277" s="37" t="s">
        <v>1979</v>
      </c>
    </row>
    <row r="278" spans="1:13" ht="15.75" thickBot="1" x14ac:dyDescent="0.3">
      <c r="A278" s="28">
        <v>46001.243900462963</v>
      </c>
      <c r="B278" s="29" t="s">
        <v>10</v>
      </c>
      <c r="C278" s="29" t="s">
        <v>484</v>
      </c>
      <c r="D278" s="29" t="s">
        <v>890</v>
      </c>
      <c r="E278" s="29" t="s">
        <v>10</v>
      </c>
      <c r="F278" s="30">
        <v>41752</v>
      </c>
      <c r="G278" s="29" t="s">
        <v>891</v>
      </c>
      <c r="H278" s="29" t="s">
        <v>895</v>
      </c>
      <c r="I278" s="29" t="s">
        <v>66</v>
      </c>
      <c r="J278" s="31" t="s">
        <v>1980</v>
      </c>
      <c r="K278" s="29" t="s">
        <v>1981</v>
      </c>
      <c r="L278" s="29" t="s">
        <v>894</v>
      </c>
      <c r="M278" s="32" t="s">
        <v>1982</v>
      </c>
    </row>
    <row r="279" spans="1:13" ht="15.75" thickBot="1" x14ac:dyDescent="0.3">
      <c r="A279" s="33">
        <v>46001.253275462965</v>
      </c>
      <c r="B279" s="34" t="s">
        <v>10</v>
      </c>
      <c r="C279" s="34" t="s">
        <v>435</v>
      </c>
      <c r="D279" s="34" t="s">
        <v>898</v>
      </c>
      <c r="E279" s="34" t="s">
        <v>28</v>
      </c>
      <c r="F279" s="35">
        <v>42228</v>
      </c>
      <c r="G279" s="34" t="s">
        <v>899</v>
      </c>
      <c r="H279" s="34" t="s">
        <v>900</v>
      </c>
      <c r="I279" s="34" t="s">
        <v>66</v>
      </c>
      <c r="J279" s="36" t="s">
        <v>1983</v>
      </c>
      <c r="K279" s="34" t="s">
        <v>1984</v>
      </c>
      <c r="L279" s="34" t="s">
        <v>897</v>
      </c>
      <c r="M279" s="37" t="s">
        <v>1985</v>
      </c>
    </row>
    <row r="280" spans="1:13" ht="15.75" thickBot="1" x14ac:dyDescent="0.3">
      <c r="A280" s="28">
        <v>46001.319745370369</v>
      </c>
      <c r="B280" s="29" t="s">
        <v>10</v>
      </c>
      <c r="C280" s="29" t="s">
        <v>342</v>
      </c>
      <c r="D280" s="29" t="s">
        <v>1986</v>
      </c>
      <c r="E280" s="29" t="s">
        <v>10</v>
      </c>
      <c r="F280" s="30">
        <v>45992</v>
      </c>
      <c r="G280" s="29" t="s">
        <v>1987</v>
      </c>
      <c r="H280" s="29" t="s">
        <v>1988</v>
      </c>
      <c r="I280" s="29" t="s">
        <v>66</v>
      </c>
      <c r="J280" s="31" t="s">
        <v>1989</v>
      </c>
      <c r="K280" s="29" t="s">
        <v>1990</v>
      </c>
      <c r="L280" s="29" t="s">
        <v>1991</v>
      </c>
      <c r="M280" s="32" t="s">
        <v>1992</v>
      </c>
    </row>
    <row r="281" spans="1:13" ht="15.75" thickBot="1" x14ac:dyDescent="0.3">
      <c r="A281" s="33">
        <v>46001.351076388892</v>
      </c>
      <c r="B281" s="34" t="s">
        <v>905</v>
      </c>
      <c r="C281" s="34" t="s">
        <v>1993</v>
      </c>
      <c r="D281" s="34" t="s">
        <v>1228</v>
      </c>
      <c r="E281" s="34" t="s">
        <v>10</v>
      </c>
      <c r="F281" s="35">
        <v>45937</v>
      </c>
      <c r="G281" s="34" t="s">
        <v>1987</v>
      </c>
      <c r="H281" s="34" t="s">
        <v>1988</v>
      </c>
      <c r="I281" s="34" t="s">
        <v>66</v>
      </c>
      <c r="J281" s="36" t="s">
        <v>1994</v>
      </c>
      <c r="K281" s="34" t="s">
        <v>1995</v>
      </c>
      <c r="L281" s="34" t="s">
        <v>1996</v>
      </c>
      <c r="M281" s="37" t="s">
        <v>1997</v>
      </c>
    </row>
    <row r="282" spans="1:13" ht="15.75" thickBot="1" x14ac:dyDescent="0.3">
      <c r="A282" s="28">
        <v>46001.361597222225</v>
      </c>
      <c r="B282" s="29" t="s">
        <v>10</v>
      </c>
      <c r="C282" s="29" t="s">
        <v>342</v>
      </c>
      <c r="D282" s="29" t="s">
        <v>1228</v>
      </c>
      <c r="E282" s="29" t="s">
        <v>10</v>
      </c>
      <c r="F282" s="30">
        <v>41618</v>
      </c>
      <c r="G282" s="29" t="s">
        <v>1987</v>
      </c>
      <c r="H282" s="29" t="s">
        <v>1988</v>
      </c>
      <c r="I282" s="29" t="s">
        <v>66</v>
      </c>
      <c r="J282" s="31" t="s">
        <v>1998</v>
      </c>
      <c r="K282" s="29" t="s">
        <v>1995</v>
      </c>
      <c r="L282" s="29" t="s">
        <v>1999</v>
      </c>
      <c r="M282" s="32" t="s">
        <v>2000</v>
      </c>
    </row>
    <row r="283" spans="1:13" ht="15.75" thickBot="1" x14ac:dyDescent="0.3">
      <c r="A283" s="33">
        <v>46001.362905092596</v>
      </c>
      <c r="B283" s="34" t="s">
        <v>10</v>
      </c>
      <c r="C283" s="34" t="s">
        <v>435</v>
      </c>
      <c r="D283" s="34" t="s">
        <v>898</v>
      </c>
      <c r="E283" s="34" t="s">
        <v>28</v>
      </c>
      <c r="F283" s="35">
        <v>42346</v>
      </c>
      <c r="G283" s="34" t="s">
        <v>899</v>
      </c>
      <c r="H283" s="34" t="s">
        <v>900</v>
      </c>
      <c r="I283" s="34" t="s">
        <v>66</v>
      </c>
      <c r="J283" s="36" t="s">
        <v>2001</v>
      </c>
      <c r="K283" s="34" t="s">
        <v>2002</v>
      </c>
      <c r="L283" s="34" t="s">
        <v>2003</v>
      </c>
      <c r="M283" s="37" t="s">
        <v>2004</v>
      </c>
    </row>
    <row r="284" spans="1:13" ht="15.75" thickBot="1" x14ac:dyDescent="0.3">
      <c r="A284" s="28">
        <v>46001.398194444446</v>
      </c>
      <c r="B284" s="29" t="s">
        <v>10</v>
      </c>
      <c r="C284" s="29" t="s">
        <v>342</v>
      </c>
      <c r="D284" s="29" t="s">
        <v>856</v>
      </c>
      <c r="E284" s="29" t="s">
        <v>204</v>
      </c>
      <c r="F284" s="30">
        <v>42456</v>
      </c>
      <c r="G284" s="29" t="s">
        <v>857</v>
      </c>
      <c r="H284" s="29" t="s">
        <v>858</v>
      </c>
      <c r="I284" s="29" t="s">
        <v>2</v>
      </c>
      <c r="J284" s="31" t="s">
        <v>2005</v>
      </c>
      <c r="K284" s="29" t="s">
        <v>1914</v>
      </c>
      <c r="L284" s="29" t="s">
        <v>2006</v>
      </c>
      <c r="M284" s="32" t="s">
        <v>2007</v>
      </c>
    </row>
    <row r="285" spans="1:13" ht="15.75" thickBot="1" x14ac:dyDescent="0.3">
      <c r="A285" s="33">
        <v>46001.400092592594</v>
      </c>
      <c r="B285" s="34" t="s">
        <v>10</v>
      </c>
      <c r="C285" s="34" t="s">
        <v>2008</v>
      </c>
      <c r="D285" s="34" t="s">
        <v>2009</v>
      </c>
      <c r="E285" s="34" t="s">
        <v>28</v>
      </c>
      <c r="F285" s="35">
        <v>42131</v>
      </c>
      <c r="G285" s="34" t="s">
        <v>2010</v>
      </c>
      <c r="H285" s="34" t="s">
        <v>2011</v>
      </c>
      <c r="I285" s="34" t="s">
        <v>2</v>
      </c>
      <c r="J285" s="36" t="s">
        <v>2012</v>
      </c>
      <c r="K285" s="34" t="s">
        <v>2013</v>
      </c>
      <c r="L285" s="34" t="s">
        <v>2014</v>
      </c>
      <c r="M285" s="37" t="s">
        <v>2015</v>
      </c>
    </row>
    <row r="286" spans="1:13" ht="15.75" thickBot="1" x14ac:dyDescent="0.3">
      <c r="A286" s="28">
        <v>46001.405439814815</v>
      </c>
      <c r="B286" s="29" t="s">
        <v>10</v>
      </c>
      <c r="C286" s="29" t="s">
        <v>441</v>
      </c>
      <c r="D286" s="29" t="s">
        <v>2016</v>
      </c>
      <c r="E286" s="29" t="s">
        <v>10</v>
      </c>
      <c r="F286" s="30">
        <v>42460</v>
      </c>
      <c r="G286" s="29" t="s">
        <v>2017</v>
      </c>
      <c r="H286" s="29" t="s">
        <v>2018</v>
      </c>
      <c r="I286" s="29" t="s">
        <v>66</v>
      </c>
      <c r="J286" s="31" t="s">
        <v>2019</v>
      </c>
      <c r="K286" s="29" t="s">
        <v>2020</v>
      </c>
      <c r="L286" s="29" t="s">
        <v>2021</v>
      </c>
      <c r="M286" s="32" t="s">
        <v>2022</v>
      </c>
    </row>
    <row r="287" spans="1:13" ht="15.75" thickBot="1" x14ac:dyDescent="0.3">
      <c r="A287" s="33">
        <v>46001.442372685182</v>
      </c>
      <c r="B287" s="34" t="s">
        <v>10</v>
      </c>
      <c r="C287" s="34" t="s">
        <v>441</v>
      </c>
      <c r="D287" s="34" t="s">
        <v>2023</v>
      </c>
      <c r="E287" s="34" t="s">
        <v>10</v>
      </c>
      <c r="F287" s="35">
        <v>42294</v>
      </c>
      <c r="G287" s="34" t="s">
        <v>2024</v>
      </c>
      <c r="H287" s="34" t="s">
        <v>2025</v>
      </c>
      <c r="I287" s="34" t="s">
        <v>66</v>
      </c>
      <c r="J287" s="36" t="s">
        <v>2026</v>
      </c>
      <c r="K287" s="34" t="s">
        <v>2020</v>
      </c>
      <c r="L287" s="34" t="s">
        <v>2027</v>
      </c>
      <c r="M287" s="37" t="s">
        <v>2028</v>
      </c>
    </row>
    <row r="288" spans="1:13" ht="15.75" thickBot="1" x14ac:dyDescent="0.3">
      <c r="A288" s="28">
        <v>46001.448622685188</v>
      </c>
      <c r="B288" s="29" t="s">
        <v>1317</v>
      </c>
      <c r="C288" s="29" t="s">
        <v>484</v>
      </c>
      <c r="D288" s="29" t="s">
        <v>1501</v>
      </c>
      <c r="E288" s="29" t="s">
        <v>28</v>
      </c>
      <c r="F288" s="30">
        <v>41704</v>
      </c>
      <c r="G288" s="29" t="s">
        <v>1503</v>
      </c>
      <c r="H288" s="29" t="s">
        <v>1504</v>
      </c>
      <c r="I288" s="29" t="s">
        <v>66</v>
      </c>
      <c r="J288" s="31" t="s">
        <v>2029</v>
      </c>
      <c r="K288" s="29" t="s">
        <v>1506</v>
      </c>
      <c r="L288" s="29" t="s">
        <v>3097</v>
      </c>
      <c r="M288" s="126"/>
    </row>
    <row r="289" spans="1:13" ht="15.75" thickBot="1" x14ac:dyDescent="0.3">
      <c r="A289" s="33">
        <v>46001.448773148149</v>
      </c>
      <c r="B289" s="34" t="s">
        <v>10</v>
      </c>
      <c r="C289" s="34" t="s">
        <v>441</v>
      </c>
      <c r="D289" s="34" t="s">
        <v>2030</v>
      </c>
      <c r="E289" s="34" t="s">
        <v>10</v>
      </c>
      <c r="F289" s="35">
        <v>42746</v>
      </c>
      <c r="G289" s="34" t="s">
        <v>2031</v>
      </c>
      <c r="H289" s="34" t="s">
        <v>2032</v>
      </c>
      <c r="I289" s="34" t="s">
        <v>66</v>
      </c>
      <c r="J289" s="36" t="s">
        <v>2033</v>
      </c>
      <c r="K289" s="34" t="s">
        <v>1383</v>
      </c>
      <c r="L289" s="34" t="s">
        <v>2034</v>
      </c>
      <c r="M289" s="37" t="s">
        <v>2035</v>
      </c>
    </row>
    <row r="290" spans="1:13" ht="15.75" thickBot="1" x14ac:dyDescent="0.3">
      <c r="A290" s="28">
        <v>46001.452418981484</v>
      </c>
      <c r="B290" s="29" t="s">
        <v>10</v>
      </c>
      <c r="C290" s="29" t="s">
        <v>484</v>
      </c>
      <c r="D290" s="29" t="s">
        <v>2036</v>
      </c>
      <c r="E290" s="29" t="s">
        <v>2037</v>
      </c>
      <c r="F290" s="30">
        <v>46017</v>
      </c>
      <c r="G290" s="29" t="s">
        <v>1964</v>
      </c>
      <c r="H290" s="29" t="s">
        <v>1965</v>
      </c>
      <c r="I290" s="29" t="s">
        <v>2</v>
      </c>
      <c r="J290" s="31" t="s">
        <v>2038</v>
      </c>
      <c r="K290" s="29" t="s">
        <v>1967</v>
      </c>
      <c r="L290" s="29" t="s">
        <v>2039</v>
      </c>
      <c r="M290" s="32" t="s">
        <v>2040</v>
      </c>
    </row>
    <row r="291" spans="1:13" ht="15.75" thickBot="1" x14ac:dyDescent="0.3">
      <c r="A291" s="33">
        <v>46001.455011574071</v>
      </c>
      <c r="B291" s="34" t="s">
        <v>1317</v>
      </c>
      <c r="C291" s="34" t="s">
        <v>473</v>
      </c>
      <c r="D291" s="34" t="s">
        <v>2041</v>
      </c>
      <c r="E291" s="34" t="s">
        <v>10</v>
      </c>
      <c r="F291" s="35">
        <v>42278</v>
      </c>
      <c r="G291" s="34" t="s">
        <v>2042</v>
      </c>
      <c r="H291" s="34" t="s">
        <v>2043</v>
      </c>
      <c r="I291" s="34" t="s">
        <v>2</v>
      </c>
      <c r="J291" s="36" t="s">
        <v>2044</v>
      </c>
      <c r="K291" s="34" t="s">
        <v>2045</v>
      </c>
      <c r="L291" s="34" t="s">
        <v>3098</v>
      </c>
      <c r="M291" s="38"/>
    </row>
    <row r="292" spans="1:13" ht="15.75" thickBot="1" x14ac:dyDescent="0.3">
      <c r="A292" s="28">
        <v>46001.455462962964</v>
      </c>
      <c r="B292" s="29" t="s">
        <v>1317</v>
      </c>
      <c r="C292" s="29" t="s">
        <v>484</v>
      </c>
      <c r="D292" s="29" t="s">
        <v>1501</v>
      </c>
      <c r="E292" s="29" t="s">
        <v>28</v>
      </c>
      <c r="F292" s="30">
        <v>41704</v>
      </c>
      <c r="G292" s="29" t="s">
        <v>1503</v>
      </c>
      <c r="H292" s="29" t="s">
        <v>1504</v>
      </c>
      <c r="I292" s="29" t="s">
        <v>66</v>
      </c>
      <c r="J292" s="31" t="s">
        <v>2046</v>
      </c>
      <c r="K292" s="29" t="s">
        <v>1506</v>
      </c>
      <c r="L292" s="29" t="s">
        <v>3099</v>
      </c>
      <c r="M292" s="126"/>
    </row>
    <row r="293" spans="1:13" ht="15.75" thickBot="1" x14ac:dyDescent="0.3">
      <c r="A293" s="33">
        <v>46001.457858796297</v>
      </c>
      <c r="B293" s="34" t="s">
        <v>10</v>
      </c>
      <c r="C293" s="34" t="s">
        <v>441</v>
      </c>
      <c r="D293" s="34" t="s">
        <v>2047</v>
      </c>
      <c r="E293" s="34" t="s">
        <v>59</v>
      </c>
      <c r="F293" s="35">
        <v>42358</v>
      </c>
      <c r="G293" s="34" t="s">
        <v>2048</v>
      </c>
      <c r="H293" s="34" t="s">
        <v>2049</v>
      </c>
      <c r="I293" s="34" t="s">
        <v>2</v>
      </c>
      <c r="J293" s="36" t="s">
        <v>2050</v>
      </c>
      <c r="K293" s="34" t="s">
        <v>1383</v>
      </c>
      <c r="L293" s="34" t="s">
        <v>2051</v>
      </c>
      <c r="M293" s="37" t="s">
        <v>2052</v>
      </c>
    </row>
    <row r="294" spans="1:13" ht="15.75" thickBot="1" x14ac:dyDescent="0.3">
      <c r="A294" s="28">
        <v>46001.458761574075</v>
      </c>
      <c r="B294" s="29" t="s">
        <v>10</v>
      </c>
      <c r="C294" s="29" t="s">
        <v>441</v>
      </c>
      <c r="D294" s="29" t="s">
        <v>2053</v>
      </c>
      <c r="E294" s="29" t="s">
        <v>10</v>
      </c>
      <c r="F294" s="30">
        <v>41646</v>
      </c>
      <c r="G294" s="29" t="s">
        <v>2054</v>
      </c>
      <c r="H294" s="29" t="s">
        <v>2055</v>
      </c>
      <c r="I294" s="29" t="s">
        <v>66</v>
      </c>
      <c r="J294" s="31" t="s">
        <v>2056</v>
      </c>
      <c r="K294" s="29" t="s">
        <v>1383</v>
      </c>
      <c r="L294" s="29" t="s">
        <v>2057</v>
      </c>
      <c r="M294" s="32" t="s">
        <v>2058</v>
      </c>
    </row>
    <row r="295" spans="1:13" ht="15.75" thickBot="1" x14ac:dyDescent="0.3">
      <c r="A295" s="33">
        <v>46001.463229166664</v>
      </c>
      <c r="B295" s="34" t="s">
        <v>10</v>
      </c>
      <c r="C295" s="34" t="s">
        <v>484</v>
      </c>
      <c r="D295" s="34" t="s">
        <v>2036</v>
      </c>
      <c r="E295" s="34" t="s">
        <v>10</v>
      </c>
      <c r="F295" s="35">
        <v>46017</v>
      </c>
      <c r="G295" s="34" t="s">
        <v>1964</v>
      </c>
      <c r="H295" s="34" t="s">
        <v>1965</v>
      </c>
      <c r="I295" s="34" t="s">
        <v>2</v>
      </c>
      <c r="J295" s="36" t="s">
        <v>2059</v>
      </c>
      <c r="K295" s="34" t="s">
        <v>1967</v>
      </c>
      <c r="L295" s="34" t="s">
        <v>2060</v>
      </c>
      <c r="M295" s="37" t="s">
        <v>2061</v>
      </c>
    </row>
    <row r="296" spans="1:13" ht="15.75" thickBot="1" x14ac:dyDescent="0.3">
      <c r="A296" s="28">
        <v>46001.471331018518</v>
      </c>
      <c r="B296" s="29" t="s">
        <v>1317</v>
      </c>
      <c r="C296" s="29" t="s">
        <v>484</v>
      </c>
      <c r="D296" s="29" t="s">
        <v>2062</v>
      </c>
      <c r="E296" s="29" t="s">
        <v>10</v>
      </c>
      <c r="F296" s="30">
        <v>41792</v>
      </c>
      <c r="G296" s="29" t="s">
        <v>2063</v>
      </c>
      <c r="H296" s="29" t="s">
        <v>2064</v>
      </c>
      <c r="I296" s="29" t="s">
        <v>2</v>
      </c>
      <c r="J296" s="31" t="s">
        <v>2065</v>
      </c>
      <c r="K296" s="29" t="s">
        <v>2066</v>
      </c>
      <c r="L296" s="29" t="s">
        <v>3100</v>
      </c>
      <c r="M296" s="126"/>
    </row>
    <row r="297" spans="1:13" ht="15.75" thickBot="1" x14ac:dyDescent="0.3">
      <c r="A297" s="33">
        <v>46001.472743055558</v>
      </c>
      <c r="B297" s="34" t="s">
        <v>10</v>
      </c>
      <c r="C297" s="34" t="s">
        <v>484</v>
      </c>
      <c r="D297" s="34" t="s">
        <v>2036</v>
      </c>
      <c r="E297" s="34" t="s">
        <v>10</v>
      </c>
      <c r="F297" s="35">
        <v>46017</v>
      </c>
      <c r="G297" s="34" t="s">
        <v>1964</v>
      </c>
      <c r="H297" s="34" t="s">
        <v>1965</v>
      </c>
      <c r="I297" s="34" t="s">
        <v>2</v>
      </c>
      <c r="J297" s="36" t="s">
        <v>2067</v>
      </c>
      <c r="K297" s="34" t="s">
        <v>1967</v>
      </c>
      <c r="L297" s="34" t="s">
        <v>2068</v>
      </c>
      <c r="M297" s="37" t="s">
        <v>2069</v>
      </c>
    </row>
    <row r="298" spans="1:13" ht="15.75" thickBot="1" x14ac:dyDescent="0.3">
      <c r="A298" s="28">
        <v>46001.473749999997</v>
      </c>
      <c r="B298" s="29" t="s">
        <v>10</v>
      </c>
      <c r="C298" s="29" t="s">
        <v>484</v>
      </c>
      <c r="D298" s="29" t="s">
        <v>2036</v>
      </c>
      <c r="E298" s="29" t="s">
        <v>10</v>
      </c>
      <c r="F298" s="30">
        <v>46017</v>
      </c>
      <c r="G298" s="29" t="s">
        <v>1964</v>
      </c>
      <c r="H298" s="29" t="s">
        <v>1965</v>
      </c>
      <c r="I298" s="29" t="s">
        <v>2</v>
      </c>
      <c r="J298" s="31" t="s">
        <v>2070</v>
      </c>
      <c r="K298" s="29" t="s">
        <v>1967</v>
      </c>
      <c r="L298" s="29" t="s">
        <v>2071</v>
      </c>
      <c r="M298" s="32" t="s">
        <v>2072</v>
      </c>
    </row>
    <row r="299" spans="1:13" ht="15.75" thickBot="1" x14ac:dyDescent="0.3">
      <c r="A299" s="33">
        <v>46001.477083333331</v>
      </c>
      <c r="B299" s="34" t="s">
        <v>10</v>
      </c>
      <c r="C299" s="34" t="s">
        <v>2073</v>
      </c>
      <c r="D299" s="34" t="s">
        <v>2036</v>
      </c>
      <c r="E299" s="34" t="s">
        <v>10</v>
      </c>
      <c r="F299" s="35">
        <v>46017</v>
      </c>
      <c r="G299" s="34" t="s">
        <v>1964</v>
      </c>
      <c r="H299" s="34" t="s">
        <v>1965</v>
      </c>
      <c r="I299" s="34" t="s">
        <v>2</v>
      </c>
      <c r="J299" s="36" t="s">
        <v>2074</v>
      </c>
      <c r="K299" s="34" t="s">
        <v>1967</v>
      </c>
      <c r="L299" s="34" t="s">
        <v>2075</v>
      </c>
      <c r="M299" s="37" t="s">
        <v>2076</v>
      </c>
    </row>
    <row r="300" spans="1:13" ht="15.75" thickBot="1" x14ac:dyDescent="0.3">
      <c r="A300" s="28">
        <v>46001.48033564815</v>
      </c>
      <c r="B300" s="29" t="s">
        <v>10</v>
      </c>
      <c r="C300" s="29" t="s">
        <v>484</v>
      </c>
      <c r="D300" s="29" t="s">
        <v>2036</v>
      </c>
      <c r="E300" s="29" t="s">
        <v>10</v>
      </c>
      <c r="F300" s="30">
        <v>46017</v>
      </c>
      <c r="G300" s="29" t="s">
        <v>1964</v>
      </c>
      <c r="H300" s="29" t="s">
        <v>1965</v>
      </c>
      <c r="I300" s="29" t="s">
        <v>2</v>
      </c>
      <c r="J300" s="31" t="s">
        <v>2077</v>
      </c>
      <c r="K300" s="29" t="s">
        <v>1967</v>
      </c>
      <c r="L300" s="29" t="s">
        <v>2078</v>
      </c>
      <c r="M300" s="32" t="s">
        <v>2079</v>
      </c>
    </row>
    <row r="301" spans="1:13" ht="15.75" thickBot="1" x14ac:dyDescent="0.3">
      <c r="A301" s="33">
        <v>46001.481342592589</v>
      </c>
      <c r="B301" s="34" t="s">
        <v>1317</v>
      </c>
      <c r="C301" s="34" t="s">
        <v>1907</v>
      </c>
      <c r="D301" s="34" t="s">
        <v>2080</v>
      </c>
      <c r="E301" s="34" t="s">
        <v>28</v>
      </c>
      <c r="F301" s="35">
        <v>41646</v>
      </c>
      <c r="G301" s="34" t="s">
        <v>2081</v>
      </c>
      <c r="H301" s="34" t="s">
        <v>2082</v>
      </c>
      <c r="I301" s="34" t="s">
        <v>2</v>
      </c>
      <c r="J301" s="36" t="s">
        <v>2083</v>
      </c>
      <c r="K301" s="34" t="s">
        <v>2084</v>
      </c>
      <c r="L301" s="34" t="s">
        <v>3101</v>
      </c>
      <c r="M301" s="38"/>
    </row>
    <row r="302" spans="1:13" ht="15.75" thickBot="1" x14ac:dyDescent="0.3">
      <c r="A302" s="28">
        <v>46001.484456018516</v>
      </c>
      <c r="B302" s="29" t="s">
        <v>1317</v>
      </c>
      <c r="C302" s="29" t="s">
        <v>742</v>
      </c>
      <c r="D302" s="29" t="s">
        <v>2085</v>
      </c>
      <c r="E302" s="29" t="s">
        <v>2086</v>
      </c>
      <c r="F302" s="30">
        <v>42148</v>
      </c>
      <c r="G302" s="29" t="s">
        <v>2087</v>
      </c>
      <c r="H302" s="29" t="s">
        <v>2088</v>
      </c>
      <c r="I302" s="29" t="s">
        <v>66</v>
      </c>
      <c r="J302" s="31" t="s">
        <v>2089</v>
      </c>
      <c r="K302" s="29" t="s">
        <v>2090</v>
      </c>
      <c r="L302" s="29" t="s">
        <v>3102</v>
      </c>
      <c r="M302" s="126"/>
    </row>
    <row r="303" spans="1:13" ht="15.75" thickBot="1" x14ac:dyDescent="0.3">
      <c r="A303" s="33">
        <v>46001.492939814816</v>
      </c>
      <c r="B303" s="34" t="s">
        <v>10</v>
      </c>
      <c r="C303" s="34" t="s">
        <v>484</v>
      </c>
      <c r="D303" s="34" t="s">
        <v>2091</v>
      </c>
      <c r="E303" s="34" t="s">
        <v>2092</v>
      </c>
      <c r="F303" s="35">
        <v>41604</v>
      </c>
      <c r="G303" s="34" t="s">
        <v>2093</v>
      </c>
      <c r="H303" s="34" t="s">
        <v>2094</v>
      </c>
      <c r="I303" s="34" t="s">
        <v>2</v>
      </c>
      <c r="J303" s="36" t="s">
        <v>2095</v>
      </c>
      <c r="K303" s="34" t="s">
        <v>1967</v>
      </c>
      <c r="L303" s="34" t="s">
        <v>2096</v>
      </c>
      <c r="M303" s="37" t="s">
        <v>2097</v>
      </c>
    </row>
    <row r="304" spans="1:13" ht="15.75" thickBot="1" x14ac:dyDescent="0.3">
      <c r="A304" s="28">
        <v>46001.495173611111</v>
      </c>
      <c r="B304" s="29" t="s">
        <v>1317</v>
      </c>
      <c r="C304" s="29" t="s">
        <v>484</v>
      </c>
      <c r="D304" s="29" t="s">
        <v>2036</v>
      </c>
      <c r="E304" s="29" t="s">
        <v>10</v>
      </c>
      <c r="F304" s="30">
        <v>41604</v>
      </c>
      <c r="G304" s="29" t="s">
        <v>2093</v>
      </c>
      <c r="H304" s="29" t="s">
        <v>2094</v>
      </c>
      <c r="I304" s="29" t="s">
        <v>2</v>
      </c>
      <c r="J304" s="31" t="s">
        <v>2098</v>
      </c>
      <c r="K304" s="29" t="s">
        <v>1967</v>
      </c>
      <c r="L304" s="29" t="s">
        <v>3103</v>
      </c>
      <c r="M304" s="126"/>
    </row>
    <row r="305" spans="1:13" ht="15.75" thickBot="1" x14ac:dyDescent="0.3">
      <c r="A305" s="33">
        <v>46001.497824074075</v>
      </c>
      <c r="B305" s="34" t="s">
        <v>10</v>
      </c>
      <c r="C305" s="34" t="s">
        <v>441</v>
      </c>
      <c r="D305" s="34" t="s">
        <v>2099</v>
      </c>
      <c r="E305" s="34" t="s">
        <v>10</v>
      </c>
      <c r="F305" s="35">
        <v>42265</v>
      </c>
      <c r="G305" s="34" t="s">
        <v>2100</v>
      </c>
      <c r="H305" s="34" t="s">
        <v>2101</v>
      </c>
      <c r="I305" s="34" t="s">
        <v>66</v>
      </c>
      <c r="J305" s="36" t="s">
        <v>2102</v>
      </c>
      <c r="K305" s="34" t="s">
        <v>1383</v>
      </c>
      <c r="L305" s="34" t="s">
        <v>2103</v>
      </c>
      <c r="M305" s="37" t="s">
        <v>2104</v>
      </c>
    </row>
    <row r="306" spans="1:13" ht="15.75" thickBot="1" x14ac:dyDescent="0.3">
      <c r="A306" s="28">
        <v>46001.49894675926</v>
      </c>
      <c r="B306" s="29" t="s">
        <v>1317</v>
      </c>
      <c r="C306" s="29" t="s">
        <v>484</v>
      </c>
      <c r="D306" s="29" t="s">
        <v>2091</v>
      </c>
      <c r="E306" s="29" t="s">
        <v>28</v>
      </c>
      <c r="F306" s="30">
        <v>41604</v>
      </c>
      <c r="G306" s="29" t="s">
        <v>2093</v>
      </c>
      <c r="H306" s="29" t="s">
        <v>2094</v>
      </c>
      <c r="I306" s="29" t="s">
        <v>2</v>
      </c>
      <c r="J306" s="31" t="s">
        <v>2105</v>
      </c>
      <c r="K306" s="29" t="s">
        <v>1967</v>
      </c>
      <c r="L306" s="29" t="s">
        <v>3104</v>
      </c>
      <c r="M306" s="126"/>
    </row>
    <row r="307" spans="1:13" ht="15.75" thickBot="1" x14ac:dyDescent="0.3">
      <c r="A307" s="33">
        <v>46001.501307870371</v>
      </c>
      <c r="B307" s="34" t="s">
        <v>10</v>
      </c>
      <c r="C307" s="34" t="s">
        <v>441</v>
      </c>
      <c r="D307" s="34" t="s">
        <v>2106</v>
      </c>
      <c r="E307" s="34" t="s">
        <v>2107</v>
      </c>
      <c r="F307" s="35">
        <v>41420</v>
      </c>
      <c r="G307" s="34" t="s">
        <v>2108</v>
      </c>
      <c r="H307" s="34" t="s">
        <v>2109</v>
      </c>
      <c r="I307" s="34" t="s">
        <v>66</v>
      </c>
      <c r="J307" s="36" t="s">
        <v>2110</v>
      </c>
      <c r="K307" s="34" t="s">
        <v>1383</v>
      </c>
      <c r="L307" s="34" t="s">
        <v>2111</v>
      </c>
      <c r="M307" s="37" t="s">
        <v>2112</v>
      </c>
    </row>
    <row r="308" spans="1:13" ht="15.75" thickBot="1" x14ac:dyDescent="0.3">
      <c r="A308" s="28">
        <v>46001.502650462964</v>
      </c>
      <c r="B308" s="29" t="s">
        <v>1317</v>
      </c>
      <c r="C308" s="29" t="s">
        <v>484</v>
      </c>
      <c r="D308" s="29" t="s">
        <v>2091</v>
      </c>
      <c r="E308" s="29" t="s">
        <v>28</v>
      </c>
      <c r="F308" s="30">
        <v>41604</v>
      </c>
      <c r="G308" s="29" t="s">
        <v>2093</v>
      </c>
      <c r="H308" s="29" t="s">
        <v>2094</v>
      </c>
      <c r="I308" s="29" t="s">
        <v>2</v>
      </c>
      <c r="J308" s="31" t="s">
        <v>2119</v>
      </c>
      <c r="K308" s="29" t="s">
        <v>1967</v>
      </c>
      <c r="L308" s="29" t="s">
        <v>3105</v>
      </c>
      <c r="M308" s="126"/>
    </row>
    <row r="309" spans="1:13" ht="15.75" thickBot="1" x14ac:dyDescent="0.3">
      <c r="A309" s="33">
        <v>46001.506932870368</v>
      </c>
      <c r="B309" s="34" t="s">
        <v>10</v>
      </c>
      <c r="C309" s="34" t="s">
        <v>441</v>
      </c>
      <c r="D309" s="34" t="s">
        <v>2113</v>
      </c>
      <c r="E309" s="34" t="s">
        <v>10</v>
      </c>
      <c r="F309" s="35">
        <v>42825</v>
      </c>
      <c r="G309" s="34" t="s">
        <v>2114</v>
      </c>
      <c r="H309" s="34" t="s">
        <v>2115</v>
      </c>
      <c r="I309" s="34" t="s">
        <v>2</v>
      </c>
      <c r="J309" s="36" t="s">
        <v>2116</v>
      </c>
      <c r="K309" s="34" t="s">
        <v>1383</v>
      </c>
      <c r="L309" s="34" t="s">
        <v>2117</v>
      </c>
      <c r="M309" s="37" t="s">
        <v>2118</v>
      </c>
    </row>
    <row r="310" spans="1:13" ht="15.75" thickBot="1" x14ac:dyDescent="0.3">
      <c r="A310" s="28">
        <v>46001.506886574076</v>
      </c>
      <c r="B310" s="29" t="s">
        <v>10</v>
      </c>
      <c r="C310" s="29" t="s">
        <v>441</v>
      </c>
      <c r="D310" s="29" t="s">
        <v>2120</v>
      </c>
      <c r="E310" s="29" t="s">
        <v>10</v>
      </c>
      <c r="F310" s="30">
        <v>41939</v>
      </c>
      <c r="G310" s="29" t="s">
        <v>2121</v>
      </c>
      <c r="H310" s="29" t="s">
        <v>2122</v>
      </c>
      <c r="I310" s="29" t="s">
        <v>2</v>
      </c>
      <c r="J310" s="31" t="s">
        <v>2123</v>
      </c>
      <c r="K310" s="29" t="s">
        <v>1383</v>
      </c>
      <c r="L310" s="29" t="s">
        <v>2124</v>
      </c>
      <c r="M310" s="32" t="s">
        <v>2125</v>
      </c>
    </row>
    <row r="311" spans="1:13" ht="15.75" thickBot="1" x14ac:dyDescent="0.3">
      <c r="A311" s="33">
        <v>46001.510775462964</v>
      </c>
      <c r="B311" s="34" t="s">
        <v>10</v>
      </c>
      <c r="C311" s="34" t="s">
        <v>484</v>
      </c>
      <c r="D311" s="34" t="s">
        <v>2126</v>
      </c>
      <c r="E311" s="34" t="s">
        <v>10</v>
      </c>
      <c r="F311" s="35">
        <v>41604</v>
      </c>
      <c r="G311" s="34" t="s">
        <v>2127</v>
      </c>
      <c r="H311" s="34" t="s">
        <v>1965</v>
      </c>
      <c r="I311" s="34" t="s">
        <v>2</v>
      </c>
      <c r="J311" s="36" t="s">
        <v>2128</v>
      </c>
      <c r="K311" s="34" t="s">
        <v>1967</v>
      </c>
      <c r="L311" s="34" t="s">
        <v>2129</v>
      </c>
      <c r="M311" s="37" t="s">
        <v>2130</v>
      </c>
    </row>
    <row r="312" spans="1:13" ht="15.75" thickBot="1" x14ac:dyDescent="0.3">
      <c r="A312" s="28">
        <v>46001.513159722221</v>
      </c>
      <c r="B312" s="29" t="s">
        <v>10</v>
      </c>
      <c r="C312" s="29" t="s">
        <v>441</v>
      </c>
      <c r="D312" s="29" t="s">
        <v>2131</v>
      </c>
      <c r="E312" s="29" t="s">
        <v>2132</v>
      </c>
      <c r="F312" s="30">
        <v>42567</v>
      </c>
      <c r="G312" s="29" t="s">
        <v>2133</v>
      </c>
      <c r="H312" s="29" t="s">
        <v>2134</v>
      </c>
      <c r="I312" s="29" t="s">
        <v>2</v>
      </c>
      <c r="J312" s="31" t="s">
        <v>2135</v>
      </c>
      <c r="K312" s="29" t="s">
        <v>1383</v>
      </c>
      <c r="L312" s="29" t="s">
        <v>2136</v>
      </c>
      <c r="M312" s="32" t="s">
        <v>2137</v>
      </c>
    </row>
    <row r="313" spans="1:13" ht="15.75" thickBot="1" x14ac:dyDescent="0.3">
      <c r="A313" s="33">
        <v>46001.513831018521</v>
      </c>
      <c r="B313" s="34" t="s">
        <v>10</v>
      </c>
      <c r="C313" s="34" t="s">
        <v>441</v>
      </c>
      <c r="D313" s="34" t="s">
        <v>2138</v>
      </c>
      <c r="E313" s="34" t="s">
        <v>10</v>
      </c>
      <c r="F313" s="35">
        <v>41954</v>
      </c>
      <c r="G313" s="34" t="s">
        <v>2139</v>
      </c>
      <c r="H313" s="34" t="s">
        <v>2140</v>
      </c>
      <c r="I313" s="34" t="s">
        <v>2</v>
      </c>
      <c r="J313" s="36" t="s">
        <v>2141</v>
      </c>
      <c r="K313" s="34" t="s">
        <v>1383</v>
      </c>
      <c r="L313" s="34" t="s">
        <v>2142</v>
      </c>
      <c r="M313" s="37" t="s">
        <v>2143</v>
      </c>
    </row>
    <row r="314" spans="1:13" ht="15.75" thickBot="1" x14ac:dyDescent="0.3">
      <c r="A314" s="28">
        <v>46001.516516203701</v>
      </c>
      <c r="B314" s="29" t="s">
        <v>998</v>
      </c>
      <c r="C314" s="29" t="s">
        <v>1038</v>
      </c>
      <c r="D314" s="29" t="s">
        <v>2144</v>
      </c>
      <c r="E314" s="29" t="s">
        <v>402</v>
      </c>
      <c r="F314" s="30">
        <v>42330</v>
      </c>
      <c r="G314" s="29" t="s">
        <v>2145</v>
      </c>
      <c r="H314" s="29" t="s">
        <v>2146</v>
      </c>
      <c r="I314" s="29" t="s">
        <v>2</v>
      </c>
      <c r="J314" s="31" t="s">
        <v>2147</v>
      </c>
      <c r="K314" s="29" t="s">
        <v>1052</v>
      </c>
      <c r="L314" s="29" t="s">
        <v>3141</v>
      </c>
      <c r="M314" s="126"/>
    </row>
    <row r="315" spans="1:13" ht="15.75" thickBot="1" x14ac:dyDescent="0.3">
      <c r="A315" s="33">
        <v>46001.520277777781</v>
      </c>
      <c r="B315" s="34" t="s">
        <v>998</v>
      </c>
      <c r="C315" s="34" t="s">
        <v>1038</v>
      </c>
      <c r="D315" s="34" t="s">
        <v>2148</v>
      </c>
      <c r="E315" s="34" t="s">
        <v>402</v>
      </c>
      <c r="F315" s="35">
        <v>42393</v>
      </c>
      <c r="G315" s="34" t="s">
        <v>2149</v>
      </c>
      <c r="H315" s="34" t="s">
        <v>2150</v>
      </c>
      <c r="I315" s="34" t="s">
        <v>2</v>
      </c>
      <c r="J315" s="36" t="s">
        <v>2151</v>
      </c>
      <c r="K315" s="34" t="s">
        <v>1043</v>
      </c>
      <c r="L315" s="34" t="s">
        <v>3142</v>
      </c>
      <c r="M315" s="38"/>
    </row>
    <row r="316" spans="1:13" ht="15.75" thickBot="1" x14ac:dyDescent="0.3">
      <c r="A316" s="28">
        <v>46001.527280092596</v>
      </c>
      <c r="B316" s="29" t="s">
        <v>998</v>
      </c>
      <c r="C316" s="29" t="s">
        <v>1038</v>
      </c>
      <c r="D316" s="29" t="s">
        <v>2152</v>
      </c>
      <c r="E316" s="29" t="s">
        <v>402</v>
      </c>
      <c r="F316" s="30">
        <v>42109</v>
      </c>
      <c r="G316" s="29" t="s">
        <v>2153</v>
      </c>
      <c r="H316" s="29" t="s">
        <v>2146</v>
      </c>
      <c r="I316" s="29" t="s">
        <v>2</v>
      </c>
      <c r="J316" s="31" t="s">
        <v>2154</v>
      </c>
      <c r="K316" s="29" t="s">
        <v>1043</v>
      </c>
      <c r="L316" s="29" t="s">
        <v>3143</v>
      </c>
      <c r="M316" s="126"/>
    </row>
    <row r="317" spans="1:13" ht="15.75" thickBot="1" x14ac:dyDescent="0.3">
      <c r="A317" s="33">
        <v>46001.530648148146</v>
      </c>
      <c r="B317" s="34" t="s">
        <v>998</v>
      </c>
      <c r="C317" s="34" t="s">
        <v>1038</v>
      </c>
      <c r="D317" s="34" t="s">
        <v>1044</v>
      </c>
      <c r="E317" s="34" t="s">
        <v>402</v>
      </c>
      <c r="F317" s="35">
        <v>42349</v>
      </c>
      <c r="G317" s="34" t="s">
        <v>1045</v>
      </c>
      <c r="H317" s="34" t="s">
        <v>1046</v>
      </c>
      <c r="I317" s="34" t="s">
        <v>2</v>
      </c>
      <c r="J317" s="36" t="s">
        <v>2155</v>
      </c>
      <c r="K317" s="34" t="s">
        <v>1043</v>
      </c>
      <c r="L317" s="34" t="s">
        <v>3144</v>
      </c>
      <c r="M317" s="38"/>
    </row>
    <row r="318" spans="1:13" ht="15.75" thickBot="1" x14ac:dyDescent="0.3">
      <c r="A318" s="28">
        <v>46001.53266203704</v>
      </c>
      <c r="B318" s="29" t="s">
        <v>1317</v>
      </c>
      <c r="C318" s="29" t="s">
        <v>484</v>
      </c>
      <c r="D318" s="29" t="s">
        <v>1501</v>
      </c>
      <c r="E318" s="29" t="s">
        <v>28</v>
      </c>
      <c r="F318" s="30">
        <v>41704</v>
      </c>
      <c r="G318" s="29" t="s">
        <v>1503</v>
      </c>
      <c r="H318" s="29" t="s">
        <v>1504</v>
      </c>
      <c r="I318" s="29" t="s">
        <v>66</v>
      </c>
      <c r="J318" s="31" t="s">
        <v>2156</v>
      </c>
      <c r="K318" s="29" t="s">
        <v>1506</v>
      </c>
      <c r="L318" s="29" t="s">
        <v>3106</v>
      </c>
      <c r="M318" s="126"/>
    </row>
    <row r="319" spans="1:13" ht="15.75" thickBot="1" x14ac:dyDescent="0.3">
      <c r="A319" s="33">
        <v>46001.532685185186</v>
      </c>
      <c r="B319" s="34" t="s">
        <v>998</v>
      </c>
      <c r="C319" s="34" t="s">
        <v>319</v>
      </c>
      <c r="D319" s="34" t="s">
        <v>2157</v>
      </c>
      <c r="E319" s="34" t="s">
        <v>1255</v>
      </c>
      <c r="F319" s="35">
        <v>40708</v>
      </c>
      <c r="G319" s="34" t="s">
        <v>2158</v>
      </c>
      <c r="H319" s="34" t="s">
        <v>2159</v>
      </c>
      <c r="I319" s="34" t="s">
        <v>2</v>
      </c>
      <c r="J319" s="36" t="s">
        <v>2160</v>
      </c>
      <c r="K319" s="34" t="s">
        <v>2161</v>
      </c>
      <c r="L319" s="34" t="s">
        <v>3145</v>
      </c>
      <c r="M319" s="38"/>
    </row>
    <row r="320" spans="1:13" ht="15.75" thickBot="1" x14ac:dyDescent="0.3">
      <c r="A320" s="28">
        <v>46001.534328703703</v>
      </c>
      <c r="B320" s="29" t="s">
        <v>998</v>
      </c>
      <c r="C320" s="29" t="s">
        <v>1038</v>
      </c>
      <c r="D320" s="29" t="s">
        <v>2162</v>
      </c>
      <c r="E320" s="29" t="s">
        <v>402</v>
      </c>
      <c r="F320" s="30">
        <v>42546</v>
      </c>
      <c r="G320" s="29" t="s">
        <v>2163</v>
      </c>
      <c r="H320" s="29" t="s">
        <v>2164</v>
      </c>
      <c r="I320" s="29" t="s">
        <v>2</v>
      </c>
      <c r="J320" s="31" t="s">
        <v>2165</v>
      </c>
      <c r="K320" s="29" t="s">
        <v>1043</v>
      </c>
      <c r="L320" s="29" t="s">
        <v>3146</v>
      </c>
      <c r="M320" s="126"/>
    </row>
    <row r="321" spans="1:13" ht="15.75" thickBot="1" x14ac:dyDescent="0.3">
      <c r="A321" s="33">
        <v>46001.534328703703</v>
      </c>
      <c r="B321" s="34" t="s">
        <v>998</v>
      </c>
      <c r="C321" s="34" t="s">
        <v>1038</v>
      </c>
      <c r="D321" s="34" t="s">
        <v>2166</v>
      </c>
      <c r="E321" s="34" t="s">
        <v>402</v>
      </c>
      <c r="F321" s="35">
        <v>42668</v>
      </c>
      <c r="G321" s="34" t="s">
        <v>2167</v>
      </c>
      <c r="H321" s="34" t="s">
        <v>2168</v>
      </c>
      <c r="I321" s="34" t="s">
        <v>2</v>
      </c>
      <c r="J321" s="36" t="s">
        <v>2169</v>
      </c>
      <c r="K321" s="34" t="s">
        <v>1043</v>
      </c>
      <c r="L321" s="34" t="s">
        <v>3147</v>
      </c>
      <c r="M321" s="38"/>
    </row>
    <row r="322" spans="1:13" ht="15.75" thickBot="1" x14ac:dyDescent="0.3">
      <c r="A322" s="28">
        <v>46001.535682870373</v>
      </c>
      <c r="B322" s="29" t="s">
        <v>998</v>
      </c>
      <c r="C322" s="29" t="s">
        <v>319</v>
      </c>
      <c r="D322" s="29" t="s">
        <v>2170</v>
      </c>
      <c r="E322" s="29" t="s">
        <v>28</v>
      </c>
      <c r="F322" s="30">
        <v>40902</v>
      </c>
      <c r="G322" s="29" t="s">
        <v>2171</v>
      </c>
      <c r="H322" s="29" t="s">
        <v>2172</v>
      </c>
      <c r="I322" s="29" t="s">
        <v>66</v>
      </c>
      <c r="J322" s="31" t="s">
        <v>2173</v>
      </c>
      <c r="K322" s="29" t="s">
        <v>2174</v>
      </c>
      <c r="L322" s="29" t="s">
        <v>3148</v>
      </c>
      <c r="M322" s="126"/>
    </row>
    <row r="323" spans="1:13" ht="15.75" thickBot="1" x14ac:dyDescent="0.3">
      <c r="A323" s="33">
        <v>46001.536678240744</v>
      </c>
      <c r="B323" s="34" t="s">
        <v>998</v>
      </c>
      <c r="C323" s="34" t="s">
        <v>319</v>
      </c>
      <c r="D323" s="34" t="s">
        <v>2175</v>
      </c>
      <c r="E323" s="34" t="s">
        <v>328</v>
      </c>
      <c r="F323" s="35">
        <v>40618</v>
      </c>
      <c r="G323" s="34" t="s">
        <v>2176</v>
      </c>
      <c r="H323" s="34" t="s">
        <v>797</v>
      </c>
      <c r="I323" s="34" t="s">
        <v>2</v>
      </c>
      <c r="J323" s="36" t="s">
        <v>2177</v>
      </c>
      <c r="K323" s="34" t="s">
        <v>2178</v>
      </c>
      <c r="L323" s="34" t="s">
        <v>3149</v>
      </c>
      <c r="M323" s="38"/>
    </row>
    <row r="324" spans="1:13" ht="15.75" thickBot="1" x14ac:dyDescent="0.3">
      <c r="A324" s="28">
        <v>46001.575011574074</v>
      </c>
      <c r="B324" s="29" t="s">
        <v>1317</v>
      </c>
      <c r="C324" s="29" t="s">
        <v>473</v>
      </c>
      <c r="D324" s="29" t="s">
        <v>2179</v>
      </c>
      <c r="E324" s="29" t="s">
        <v>10</v>
      </c>
      <c r="F324" s="30">
        <v>42145</v>
      </c>
      <c r="G324" s="29" t="s">
        <v>2180</v>
      </c>
      <c r="H324" s="29" t="s">
        <v>2181</v>
      </c>
      <c r="I324" s="29" t="s">
        <v>66</v>
      </c>
      <c r="J324" s="31" t="s">
        <v>2182</v>
      </c>
      <c r="K324" s="29" t="s">
        <v>2183</v>
      </c>
      <c r="L324" s="29" t="s">
        <v>3107</v>
      </c>
      <c r="M324" s="126"/>
    </row>
    <row r="325" spans="1:13" ht="15.75" thickBot="1" x14ac:dyDescent="0.3">
      <c r="A325" s="33">
        <v>46001.584409722222</v>
      </c>
      <c r="B325" s="34" t="s">
        <v>953</v>
      </c>
      <c r="C325" s="34" t="s">
        <v>725</v>
      </c>
      <c r="D325" s="34" t="s">
        <v>2184</v>
      </c>
      <c r="E325" s="34" t="s">
        <v>10</v>
      </c>
      <c r="F325" s="35">
        <v>41824</v>
      </c>
      <c r="G325" s="34" t="s">
        <v>2185</v>
      </c>
      <c r="H325" s="34" t="s">
        <v>2186</v>
      </c>
      <c r="I325" s="34" t="s">
        <v>2</v>
      </c>
      <c r="J325" s="36" t="s">
        <v>2187</v>
      </c>
      <c r="K325" s="34" t="s">
        <v>1740</v>
      </c>
      <c r="L325" s="34" t="s">
        <v>2188</v>
      </c>
      <c r="M325" s="37" t="s">
        <v>2189</v>
      </c>
    </row>
    <row r="326" spans="1:13" ht="15.75" thickBot="1" x14ac:dyDescent="0.3">
      <c r="A326" s="28">
        <v>46001.584537037037</v>
      </c>
      <c r="B326" s="29" t="s">
        <v>1317</v>
      </c>
      <c r="C326" s="29" t="s">
        <v>473</v>
      </c>
      <c r="D326" s="29" t="s">
        <v>2190</v>
      </c>
      <c r="E326" s="29" t="s">
        <v>10</v>
      </c>
      <c r="F326" s="30">
        <v>41608</v>
      </c>
      <c r="G326" s="29" t="s">
        <v>2191</v>
      </c>
      <c r="H326" s="29" t="s">
        <v>2192</v>
      </c>
      <c r="I326" s="29" t="s">
        <v>2</v>
      </c>
      <c r="J326" s="31" t="s">
        <v>2193</v>
      </c>
      <c r="K326" s="29" t="s">
        <v>2194</v>
      </c>
      <c r="L326" s="29" t="s">
        <v>3108</v>
      </c>
      <c r="M326" s="126"/>
    </row>
    <row r="327" spans="1:13" ht="15.75" thickBot="1" x14ac:dyDescent="0.3">
      <c r="A327" s="33">
        <v>46001.586701388886</v>
      </c>
      <c r="B327" s="34" t="s">
        <v>1317</v>
      </c>
      <c r="C327" s="34" t="s">
        <v>473</v>
      </c>
      <c r="D327" s="34" t="s">
        <v>2195</v>
      </c>
      <c r="E327" s="34" t="s">
        <v>10</v>
      </c>
      <c r="F327" s="35">
        <v>41985</v>
      </c>
      <c r="G327" s="34" t="s">
        <v>2196</v>
      </c>
      <c r="H327" s="34" t="s">
        <v>2197</v>
      </c>
      <c r="I327" s="34" t="s">
        <v>66</v>
      </c>
      <c r="J327" s="36" t="s">
        <v>2198</v>
      </c>
      <c r="K327" s="34" t="s">
        <v>2199</v>
      </c>
      <c r="L327" s="34" t="s">
        <v>3109</v>
      </c>
      <c r="M327" s="38"/>
    </row>
    <row r="328" spans="1:13" ht="15.75" thickBot="1" x14ac:dyDescent="0.3">
      <c r="A328" s="28">
        <v>46001.58871527778</v>
      </c>
      <c r="B328" s="29" t="s">
        <v>953</v>
      </c>
      <c r="C328" s="29" t="s">
        <v>609</v>
      </c>
      <c r="D328" s="29" t="s">
        <v>2200</v>
      </c>
      <c r="E328" s="29" t="s">
        <v>10</v>
      </c>
      <c r="F328" s="30">
        <v>42015</v>
      </c>
      <c r="G328" s="29" t="s">
        <v>2201</v>
      </c>
      <c r="H328" s="29" t="s">
        <v>2202</v>
      </c>
      <c r="I328" s="29" t="s">
        <v>66</v>
      </c>
      <c r="J328" s="31" t="s">
        <v>2203</v>
      </c>
      <c r="K328" s="29" t="s">
        <v>2204</v>
      </c>
      <c r="L328" s="29" t="s">
        <v>2205</v>
      </c>
      <c r="M328" s="32" t="s">
        <v>2206</v>
      </c>
    </row>
    <row r="329" spans="1:13" ht="15.75" thickBot="1" x14ac:dyDescent="0.3">
      <c r="A329" s="33">
        <v>46001.599664351852</v>
      </c>
      <c r="B329" s="34" t="s">
        <v>953</v>
      </c>
      <c r="C329" s="34" t="s">
        <v>725</v>
      </c>
      <c r="D329" s="34" t="s">
        <v>780</v>
      </c>
      <c r="E329" s="34" t="s">
        <v>10</v>
      </c>
      <c r="F329" s="35">
        <v>43091</v>
      </c>
      <c r="G329" s="34" t="s">
        <v>2207</v>
      </c>
      <c r="H329" s="34" t="s">
        <v>2208</v>
      </c>
      <c r="I329" s="34" t="s">
        <v>2</v>
      </c>
      <c r="J329" s="36" t="s">
        <v>2209</v>
      </c>
      <c r="K329" s="34" t="s">
        <v>1796</v>
      </c>
      <c r="L329" s="34" t="s">
        <v>2210</v>
      </c>
      <c r="M329" s="37" t="s">
        <v>2211</v>
      </c>
    </row>
    <row r="330" spans="1:13" ht="15.75" thickBot="1" x14ac:dyDescent="0.3">
      <c r="A330" s="28">
        <v>46001.600555555553</v>
      </c>
      <c r="B330" s="29" t="s">
        <v>953</v>
      </c>
      <c r="C330" s="29" t="s">
        <v>609</v>
      </c>
      <c r="D330" s="29" t="s">
        <v>2212</v>
      </c>
      <c r="E330" s="29" t="s">
        <v>10</v>
      </c>
      <c r="F330" s="30">
        <v>42632</v>
      </c>
      <c r="G330" s="29" t="s">
        <v>2213</v>
      </c>
      <c r="H330" s="29" t="s">
        <v>2214</v>
      </c>
      <c r="I330" s="29" t="s">
        <v>2</v>
      </c>
      <c r="J330" s="31" t="s">
        <v>2215</v>
      </c>
      <c r="K330" s="29" t="s">
        <v>2216</v>
      </c>
      <c r="L330" s="29" t="s">
        <v>2217</v>
      </c>
      <c r="M330" s="32" t="s">
        <v>2218</v>
      </c>
    </row>
    <row r="331" spans="1:13" ht="15.75" thickBot="1" x14ac:dyDescent="0.3">
      <c r="A331" s="33">
        <v>46001.603530092594</v>
      </c>
      <c r="B331" s="34" t="s">
        <v>10</v>
      </c>
      <c r="C331" s="34" t="s">
        <v>2219</v>
      </c>
      <c r="D331" s="34" t="s">
        <v>2220</v>
      </c>
      <c r="E331" s="34" t="s">
        <v>28</v>
      </c>
      <c r="F331" s="35">
        <v>42203</v>
      </c>
      <c r="G331" s="34" t="s">
        <v>2221</v>
      </c>
      <c r="H331" s="34" t="s">
        <v>2222</v>
      </c>
      <c r="I331" s="34" t="s">
        <v>66</v>
      </c>
      <c r="J331" s="36" t="s">
        <v>2223</v>
      </c>
      <c r="K331" s="34" t="s">
        <v>2224</v>
      </c>
      <c r="L331" s="34" t="s">
        <v>2225</v>
      </c>
      <c r="M331" s="37" t="s">
        <v>2226</v>
      </c>
    </row>
    <row r="332" spans="1:13" ht="15.75" thickBot="1" x14ac:dyDescent="0.3">
      <c r="A332" s="28">
        <v>46001.607002314813</v>
      </c>
      <c r="B332" s="29" t="s">
        <v>10</v>
      </c>
      <c r="C332" s="29" t="s">
        <v>2219</v>
      </c>
      <c r="D332" s="29" t="s">
        <v>2227</v>
      </c>
      <c r="E332" s="29" t="s">
        <v>10</v>
      </c>
      <c r="F332" s="30">
        <v>42733</v>
      </c>
      <c r="G332" s="29" t="s">
        <v>2228</v>
      </c>
      <c r="H332" s="29" t="s">
        <v>2229</v>
      </c>
      <c r="I332" s="29" t="s">
        <v>2</v>
      </c>
      <c r="J332" s="31" t="s">
        <v>2230</v>
      </c>
      <c r="K332" s="29" t="s">
        <v>2231</v>
      </c>
      <c r="L332" s="29" t="s">
        <v>2232</v>
      </c>
      <c r="M332" s="32" t="s">
        <v>2233</v>
      </c>
    </row>
    <row r="333" spans="1:13" ht="15.75" thickBot="1" x14ac:dyDescent="0.3">
      <c r="A333" s="33">
        <v>46001.607708333337</v>
      </c>
      <c r="B333" s="34" t="s">
        <v>953</v>
      </c>
      <c r="C333" s="34" t="s">
        <v>609</v>
      </c>
      <c r="D333" s="34" t="s">
        <v>2234</v>
      </c>
      <c r="E333" s="34" t="s">
        <v>10</v>
      </c>
      <c r="F333" s="35">
        <v>42645</v>
      </c>
      <c r="G333" s="34" t="s">
        <v>658</v>
      </c>
      <c r="H333" s="34" t="s">
        <v>659</v>
      </c>
      <c r="I333" s="34" t="s">
        <v>66</v>
      </c>
      <c r="J333" s="36" t="s">
        <v>2235</v>
      </c>
      <c r="K333" s="34" t="s">
        <v>1604</v>
      </c>
      <c r="L333" s="34" t="s">
        <v>2236</v>
      </c>
      <c r="M333" s="37" t="s">
        <v>2237</v>
      </c>
    </row>
    <row r="334" spans="1:13" ht="15.75" thickBot="1" x14ac:dyDescent="0.3">
      <c r="A334" s="28">
        <v>46001.607928240737</v>
      </c>
      <c r="B334" s="29" t="s">
        <v>953</v>
      </c>
      <c r="C334" s="29" t="s">
        <v>725</v>
      </c>
      <c r="D334" s="29" t="s">
        <v>2238</v>
      </c>
      <c r="E334" s="29" t="s">
        <v>10</v>
      </c>
      <c r="F334" s="30">
        <v>42422</v>
      </c>
      <c r="G334" s="29" t="s">
        <v>2239</v>
      </c>
      <c r="H334" s="29" t="s">
        <v>2240</v>
      </c>
      <c r="I334" s="29" t="s">
        <v>2</v>
      </c>
      <c r="J334" s="31" t="s">
        <v>2241</v>
      </c>
      <c r="K334" s="29" t="s">
        <v>2242</v>
      </c>
      <c r="L334" s="29" t="s">
        <v>2243</v>
      </c>
      <c r="M334" s="32" t="s">
        <v>2244</v>
      </c>
    </row>
    <row r="335" spans="1:13" ht="15.75" thickBot="1" x14ac:dyDescent="0.3">
      <c r="A335" s="33">
        <v>46001.612592592595</v>
      </c>
      <c r="B335" s="34" t="s">
        <v>953</v>
      </c>
      <c r="C335" s="34" t="s">
        <v>609</v>
      </c>
      <c r="D335" s="34" t="s">
        <v>2245</v>
      </c>
      <c r="E335" s="34" t="s">
        <v>10</v>
      </c>
      <c r="F335" s="35">
        <v>42034</v>
      </c>
      <c r="G335" s="34" t="s">
        <v>2246</v>
      </c>
      <c r="H335" s="34" t="s">
        <v>2247</v>
      </c>
      <c r="I335" s="34" t="s">
        <v>66</v>
      </c>
      <c r="J335" s="36" t="s">
        <v>2248</v>
      </c>
      <c r="K335" s="34" t="s">
        <v>2249</v>
      </c>
      <c r="L335" s="34" t="s">
        <v>2250</v>
      </c>
      <c r="M335" s="37" t="s">
        <v>2251</v>
      </c>
    </row>
    <row r="336" spans="1:13" ht="15.75" thickBot="1" x14ac:dyDescent="0.3">
      <c r="A336" s="28">
        <v>46001.615659722222</v>
      </c>
      <c r="B336" s="29" t="s">
        <v>10</v>
      </c>
      <c r="C336" s="29" t="s">
        <v>2219</v>
      </c>
      <c r="D336" s="29" t="s">
        <v>2252</v>
      </c>
      <c r="E336" s="29" t="s">
        <v>10</v>
      </c>
      <c r="F336" s="30">
        <v>41418</v>
      </c>
      <c r="G336" s="29" t="s">
        <v>2253</v>
      </c>
      <c r="H336" s="29" t="s">
        <v>2254</v>
      </c>
      <c r="I336" s="29" t="s">
        <v>66</v>
      </c>
      <c r="J336" s="31" t="s">
        <v>2255</v>
      </c>
      <c r="K336" s="29" t="s">
        <v>2256</v>
      </c>
      <c r="L336" s="29" t="s">
        <v>2257</v>
      </c>
      <c r="M336" s="32" t="s">
        <v>2258</v>
      </c>
    </row>
    <row r="337" spans="1:13" ht="15.75" thickBot="1" x14ac:dyDescent="0.3">
      <c r="A337" s="33">
        <v>46001.621793981481</v>
      </c>
      <c r="B337" s="34" t="s">
        <v>10</v>
      </c>
      <c r="C337" s="34" t="s">
        <v>2219</v>
      </c>
      <c r="D337" s="34" t="s">
        <v>2259</v>
      </c>
      <c r="E337" s="34" t="s">
        <v>10</v>
      </c>
      <c r="F337" s="35">
        <v>41907</v>
      </c>
      <c r="G337" s="34" t="s">
        <v>2260</v>
      </c>
      <c r="H337" s="34" t="s">
        <v>2261</v>
      </c>
      <c r="I337" s="34" t="s">
        <v>66</v>
      </c>
      <c r="J337" s="36" t="s">
        <v>2262</v>
      </c>
      <c r="K337" s="34" t="s">
        <v>2263</v>
      </c>
      <c r="L337" s="34" t="s">
        <v>2264</v>
      </c>
      <c r="M337" s="37" t="s">
        <v>2265</v>
      </c>
    </row>
    <row r="338" spans="1:13" ht="15.75" thickBot="1" x14ac:dyDescent="0.3">
      <c r="A338" s="28">
        <v>46001.623611111114</v>
      </c>
      <c r="B338" s="29" t="s">
        <v>953</v>
      </c>
      <c r="C338" s="29" t="s">
        <v>609</v>
      </c>
      <c r="D338" s="29" t="s">
        <v>2266</v>
      </c>
      <c r="E338" s="29" t="s">
        <v>10</v>
      </c>
      <c r="F338" s="30">
        <v>41983</v>
      </c>
      <c r="G338" s="29" t="s">
        <v>2267</v>
      </c>
      <c r="H338" s="29" t="s">
        <v>2268</v>
      </c>
      <c r="I338" s="29" t="s">
        <v>66</v>
      </c>
      <c r="J338" s="31" t="s">
        <v>2269</v>
      </c>
      <c r="K338" s="29" t="s">
        <v>2270</v>
      </c>
      <c r="L338" s="29" t="s">
        <v>2271</v>
      </c>
      <c r="M338" s="32" t="s">
        <v>2272</v>
      </c>
    </row>
    <row r="339" spans="1:13" ht="15.75" thickBot="1" x14ac:dyDescent="0.3">
      <c r="A339" s="33">
        <v>46001.624467592592</v>
      </c>
      <c r="B339" s="34" t="s">
        <v>953</v>
      </c>
      <c r="C339" s="34" t="s">
        <v>609</v>
      </c>
      <c r="D339" s="34" t="s">
        <v>2273</v>
      </c>
      <c r="E339" s="34" t="s">
        <v>10</v>
      </c>
      <c r="F339" s="35">
        <v>42250</v>
      </c>
      <c r="G339" s="34" t="s">
        <v>2274</v>
      </c>
      <c r="H339" s="34" t="s">
        <v>2275</v>
      </c>
      <c r="I339" s="34" t="s">
        <v>2</v>
      </c>
      <c r="J339" s="36" t="s">
        <v>2276</v>
      </c>
      <c r="K339" s="34" t="s">
        <v>2277</v>
      </c>
      <c r="L339" s="34" t="s">
        <v>2278</v>
      </c>
      <c r="M339" s="37" t="s">
        <v>2279</v>
      </c>
    </row>
    <row r="340" spans="1:13" ht="15.75" thickBot="1" x14ac:dyDescent="0.3">
      <c r="A340" s="28">
        <v>46001.628946759258</v>
      </c>
      <c r="B340" s="29" t="s">
        <v>10</v>
      </c>
      <c r="C340" s="29" t="s">
        <v>2219</v>
      </c>
      <c r="D340" s="29" t="s">
        <v>2280</v>
      </c>
      <c r="E340" s="29" t="s">
        <v>28</v>
      </c>
      <c r="F340" s="30">
        <v>41920</v>
      </c>
      <c r="G340" s="29" t="s">
        <v>2281</v>
      </c>
      <c r="H340" s="29" t="s">
        <v>2282</v>
      </c>
      <c r="I340" s="29" t="s">
        <v>2</v>
      </c>
      <c r="J340" s="31" t="s">
        <v>2283</v>
      </c>
      <c r="K340" s="29" t="s">
        <v>2284</v>
      </c>
      <c r="L340" s="29" t="s">
        <v>2285</v>
      </c>
      <c r="M340" s="32" t="s">
        <v>2286</v>
      </c>
    </row>
    <row r="341" spans="1:13" ht="15.75" thickBot="1" x14ac:dyDescent="0.3">
      <c r="A341" s="33">
        <v>46001.629074074073</v>
      </c>
      <c r="B341" s="34" t="s">
        <v>10</v>
      </c>
      <c r="C341" s="34" t="s">
        <v>2219</v>
      </c>
      <c r="D341" s="34" t="s">
        <v>2287</v>
      </c>
      <c r="E341" s="34" t="s">
        <v>59</v>
      </c>
      <c r="F341" s="35">
        <v>42196</v>
      </c>
      <c r="G341" s="34" t="s">
        <v>2288</v>
      </c>
      <c r="H341" s="34" t="s">
        <v>2289</v>
      </c>
      <c r="I341" s="34" t="s">
        <v>2</v>
      </c>
      <c r="J341" s="36" t="s">
        <v>2290</v>
      </c>
      <c r="K341" s="34" t="s">
        <v>2291</v>
      </c>
      <c r="L341" s="34" t="s">
        <v>2292</v>
      </c>
      <c r="M341" s="37" t="s">
        <v>2293</v>
      </c>
    </row>
    <row r="342" spans="1:13" ht="15.75" thickBot="1" x14ac:dyDescent="0.3">
      <c r="A342" s="28">
        <v>46001.629236111112</v>
      </c>
      <c r="B342" s="29" t="s">
        <v>10</v>
      </c>
      <c r="C342" s="29" t="s">
        <v>2219</v>
      </c>
      <c r="D342" s="29" t="s">
        <v>2294</v>
      </c>
      <c r="E342" s="29" t="s">
        <v>2295</v>
      </c>
      <c r="F342" s="30">
        <v>41547</v>
      </c>
      <c r="G342" s="29" t="s">
        <v>2296</v>
      </c>
      <c r="H342" s="29" t="s">
        <v>2297</v>
      </c>
      <c r="I342" s="29" t="s">
        <v>2</v>
      </c>
      <c r="J342" s="31" t="s">
        <v>2298</v>
      </c>
      <c r="K342" s="29" t="s">
        <v>2299</v>
      </c>
      <c r="L342" s="29" t="s">
        <v>2300</v>
      </c>
      <c r="M342" s="32" t="s">
        <v>2301</v>
      </c>
    </row>
    <row r="343" spans="1:13" ht="15.75" thickBot="1" x14ac:dyDescent="0.3">
      <c r="A343" s="33">
        <v>46001.630659722221</v>
      </c>
      <c r="B343" s="34" t="s">
        <v>953</v>
      </c>
      <c r="C343" s="34" t="s">
        <v>609</v>
      </c>
      <c r="D343" s="34" t="s">
        <v>2302</v>
      </c>
      <c r="E343" s="34" t="s">
        <v>10</v>
      </c>
      <c r="F343" s="35">
        <v>42770</v>
      </c>
      <c r="G343" s="34" t="s">
        <v>2303</v>
      </c>
      <c r="H343" s="34" t="s">
        <v>2304</v>
      </c>
      <c r="I343" s="34" t="s">
        <v>2</v>
      </c>
      <c r="J343" s="36" t="s">
        <v>2305</v>
      </c>
      <c r="K343" s="34" t="s">
        <v>2306</v>
      </c>
      <c r="L343" s="34" t="s">
        <v>2307</v>
      </c>
      <c r="M343" s="37" t="s">
        <v>2308</v>
      </c>
    </row>
    <row r="344" spans="1:13" ht="15.75" thickBot="1" x14ac:dyDescent="0.3">
      <c r="A344" s="28">
        <v>46001.633310185185</v>
      </c>
      <c r="B344" s="29" t="s">
        <v>10</v>
      </c>
      <c r="C344" s="29" t="s">
        <v>2219</v>
      </c>
      <c r="D344" s="29" t="s">
        <v>2309</v>
      </c>
      <c r="E344" s="29" t="s">
        <v>10</v>
      </c>
      <c r="F344" s="30">
        <v>42272</v>
      </c>
      <c r="G344" s="29" t="s">
        <v>2310</v>
      </c>
      <c r="H344" s="29" t="s">
        <v>2311</v>
      </c>
      <c r="I344" s="29" t="s">
        <v>2</v>
      </c>
      <c r="J344" s="31" t="s">
        <v>2312</v>
      </c>
      <c r="K344" s="29" t="s">
        <v>2313</v>
      </c>
      <c r="L344" s="29" t="s">
        <v>2314</v>
      </c>
      <c r="M344" s="32" t="s">
        <v>2315</v>
      </c>
    </row>
    <row r="345" spans="1:13" ht="15.75" thickBot="1" x14ac:dyDescent="0.3">
      <c r="A345" s="33">
        <v>46001.633634259262</v>
      </c>
      <c r="B345" s="34" t="s">
        <v>10</v>
      </c>
      <c r="C345" s="34" t="s">
        <v>2219</v>
      </c>
      <c r="D345" s="34" t="s">
        <v>2316</v>
      </c>
      <c r="E345" s="34" t="s">
        <v>10</v>
      </c>
      <c r="F345" s="35">
        <v>41925</v>
      </c>
      <c r="G345" s="34" t="s">
        <v>2317</v>
      </c>
      <c r="H345" s="34" t="s">
        <v>2318</v>
      </c>
      <c r="I345" s="34" t="s">
        <v>66</v>
      </c>
      <c r="J345" s="36" t="s">
        <v>2319</v>
      </c>
      <c r="K345" s="34" t="s">
        <v>2320</v>
      </c>
      <c r="L345" s="34" t="s">
        <v>2321</v>
      </c>
      <c r="M345" s="37" t="s">
        <v>2322</v>
      </c>
    </row>
    <row r="346" spans="1:13" ht="15.75" thickBot="1" x14ac:dyDescent="0.3">
      <c r="A346" s="28">
        <v>46001.634166666663</v>
      </c>
      <c r="B346" s="29" t="s">
        <v>10</v>
      </c>
      <c r="C346" s="29" t="s">
        <v>2219</v>
      </c>
      <c r="D346" s="29" t="s">
        <v>2323</v>
      </c>
      <c r="E346" s="29" t="s">
        <v>10</v>
      </c>
      <c r="F346" s="30">
        <v>42385</v>
      </c>
      <c r="G346" s="29" t="s">
        <v>2324</v>
      </c>
      <c r="H346" s="29" t="s">
        <v>2325</v>
      </c>
      <c r="I346" s="29" t="s">
        <v>66</v>
      </c>
      <c r="J346" s="31" t="s">
        <v>2326</v>
      </c>
      <c r="K346" s="29" t="s">
        <v>2327</v>
      </c>
      <c r="L346" s="29" t="s">
        <v>2328</v>
      </c>
      <c r="M346" s="32" t="s">
        <v>2329</v>
      </c>
    </row>
    <row r="347" spans="1:13" ht="15.75" thickBot="1" x14ac:dyDescent="0.3">
      <c r="A347" s="33">
        <v>46001.636053240742</v>
      </c>
      <c r="B347" s="34" t="s">
        <v>10</v>
      </c>
      <c r="C347" s="34" t="s">
        <v>2219</v>
      </c>
      <c r="D347" s="34" t="s">
        <v>2330</v>
      </c>
      <c r="E347" s="34" t="s">
        <v>59</v>
      </c>
      <c r="F347" s="35">
        <v>42030</v>
      </c>
      <c r="G347" s="34" t="s">
        <v>2331</v>
      </c>
      <c r="H347" s="34" t="s">
        <v>2332</v>
      </c>
      <c r="I347" s="34" t="s">
        <v>66</v>
      </c>
      <c r="J347" s="36" t="s">
        <v>2333</v>
      </c>
      <c r="K347" s="34" t="s">
        <v>2334</v>
      </c>
      <c r="L347" s="34" t="s">
        <v>2335</v>
      </c>
      <c r="M347" s="37" t="s">
        <v>2336</v>
      </c>
    </row>
    <row r="348" spans="1:13" ht="15.75" thickBot="1" x14ac:dyDescent="0.3">
      <c r="A348" s="28">
        <v>46001.636840277781</v>
      </c>
      <c r="B348" s="29" t="s">
        <v>10</v>
      </c>
      <c r="C348" s="29" t="s">
        <v>2219</v>
      </c>
      <c r="D348" s="29" t="s">
        <v>2337</v>
      </c>
      <c r="E348" s="29" t="s">
        <v>10</v>
      </c>
      <c r="F348" s="30">
        <v>41742</v>
      </c>
      <c r="G348" s="29" t="s">
        <v>2338</v>
      </c>
      <c r="H348" s="29" t="s">
        <v>2339</v>
      </c>
      <c r="I348" s="29" t="s">
        <v>2</v>
      </c>
      <c r="J348" s="31" t="s">
        <v>2340</v>
      </c>
      <c r="K348" s="29" t="s">
        <v>2341</v>
      </c>
      <c r="L348" s="29" t="s">
        <v>2342</v>
      </c>
      <c r="M348" s="32" t="s">
        <v>2343</v>
      </c>
    </row>
    <row r="349" spans="1:13" ht="15.75" thickBot="1" x14ac:dyDescent="0.3">
      <c r="A349" s="33">
        <v>46001.63790509259</v>
      </c>
      <c r="B349" s="34" t="s">
        <v>10</v>
      </c>
      <c r="C349" s="34" t="s">
        <v>2219</v>
      </c>
      <c r="D349" s="34" t="s">
        <v>2344</v>
      </c>
      <c r="E349" s="34" t="s">
        <v>2345</v>
      </c>
      <c r="F349" s="35">
        <v>42283</v>
      </c>
      <c r="G349" s="34" t="s">
        <v>2317</v>
      </c>
      <c r="H349" s="34" t="s">
        <v>2318</v>
      </c>
      <c r="I349" s="34" t="s">
        <v>66</v>
      </c>
      <c r="J349" s="36" t="s">
        <v>2346</v>
      </c>
      <c r="K349" s="34" t="s">
        <v>2320</v>
      </c>
      <c r="L349" s="34" t="s">
        <v>2347</v>
      </c>
      <c r="M349" s="37" t="s">
        <v>2348</v>
      </c>
    </row>
    <row r="350" spans="1:13" ht="15.75" thickBot="1" x14ac:dyDescent="0.3">
      <c r="A350" s="28">
        <v>46001.63821759259</v>
      </c>
      <c r="B350" s="29" t="s">
        <v>10</v>
      </c>
      <c r="C350" s="29" t="s">
        <v>2219</v>
      </c>
      <c r="D350" s="29" t="s">
        <v>2349</v>
      </c>
      <c r="E350" s="29" t="s">
        <v>28</v>
      </c>
      <c r="F350" s="30">
        <v>42118</v>
      </c>
      <c r="G350" s="29" t="s">
        <v>2350</v>
      </c>
      <c r="H350" s="29" t="s">
        <v>2351</v>
      </c>
      <c r="I350" s="29" t="s">
        <v>66</v>
      </c>
      <c r="J350" s="31" t="s">
        <v>2352</v>
      </c>
      <c r="K350" s="29" t="s">
        <v>2353</v>
      </c>
      <c r="L350" s="29" t="s">
        <v>2354</v>
      </c>
      <c r="M350" s="32" t="s">
        <v>2355</v>
      </c>
    </row>
    <row r="351" spans="1:13" ht="15.75" thickBot="1" x14ac:dyDescent="0.3">
      <c r="A351" s="33">
        <v>46001.638356481482</v>
      </c>
      <c r="B351" s="34" t="s">
        <v>953</v>
      </c>
      <c r="C351" s="34" t="s">
        <v>609</v>
      </c>
      <c r="D351" s="34" t="s">
        <v>2356</v>
      </c>
      <c r="E351" s="34" t="s">
        <v>10</v>
      </c>
      <c r="F351" s="35">
        <v>41968</v>
      </c>
      <c r="G351" s="34" t="s">
        <v>2357</v>
      </c>
      <c r="H351" s="34" t="s">
        <v>2358</v>
      </c>
      <c r="I351" s="34" t="s">
        <v>66</v>
      </c>
      <c r="J351" s="36" t="s">
        <v>2359</v>
      </c>
      <c r="K351" s="34" t="s">
        <v>2360</v>
      </c>
      <c r="L351" s="34" t="s">
        <v>2361</v>
      </c>
      <c r="M351" s="37" t="s">
        <v>2362</v>
      </c>
    </row>
    <row r="352" spans="1:13" ht="15.75" thickBot="1" x14ac:dyDescent="0.3">
      <c r="A352" s="28">
        <v>46001.640034722222</v>
      </c>
      <c r="B352" s="29" t="s">
        <v>10</v>
      </c>
      <c r="C352" s="29" t="s">
        <v>2219</v>
      </c>
      <c r="D352" s="29" t="s">
        <v>2280</v>
      </c>
      <c r="E352" s="29" t="s">
        <v>28</v>
      </c>
      <c r="F352" s="30">
        <v>41861</v>
      </c>
      <c r="G352" s="29" t="s">
        <v>2281</v>
      </c>
      <c r="H352" s="29" t="s">
        <v>2282</v>
      </c>
      <c r="I352" s="29" t="s">
        <v>2</v>
      </c>
      <c r="J352" s="31" t="s">
        <v>2363</v>
      </c>
      <c r="K352" s="29" t="s">
        <v>2284</v>
      </c>
      <c r="L352" s="29" t="s">
        <v>2364</v>
      </c>
      <c r="M352" s="32" t="s">
        <v>2365</v>
      </c>
    </row>
    <row r="353" spans="1:13" ht="15.75" thickBot="1" x14ac:dyDescent="0.3">
      <c r="A353" s="33">
        <v>46001.642164351855</v>
      </c>
      <c r="B353" s="34" t="s">
        <v>1317</v>
      </c>
      <c r="C353" s="34" t="s">
        <v>511</v>
      </c>
      <c r="D353" s="34" t="s">
        <v>1459</v>
      </c>
      <c r="E353" s="34" t="s">
        <v>1255</v>
      </c>
      <c r="F353" s="35">
        <v>41734</v>
      </c>
      <c r="G353" s="34" t="s">
        <v>2366</v>
      </c>
      <c r="H353" s="34" t="s">
        <v>2367</v>
      </c>
      <c r="I353" s="34" t="s">
        <v>66</v>
      </c>
      <c r="J353" s="36" t="s">
        <v>2368</v>
      </c>
      <c r="K353" s="34" t="s">
        <v>2369</v>
      </c>
      <c r="L353" s="34" t="s">
        <v>3110</v>
      </c>
      <c r="M353" s="38"/>
    </row>
    <row r="354" spans="1:13" ht="15.75" thickBot="1" x14ac:dyDescent="0.3">
      <c r="A354" s="28">
        <v>46001.642384259256</v>
      </c>
      <c r="B354" s="29" t="s">
        <v>953</v>
      </c>
      <c r="C354" s="29" t="s">
        <v>609</v>
      </c>
      <c r="D354" s="29" t="s">
        <v>2370</v>
      </c>
      <c r="E354" s="29" t="s">
        <v>10</v>
      </c>
      <c r="F354" s="30">
        <v>41935</v>
      </c>
      <c r="G354" s="29" t="s">
        <v>2371</v>
      </c>
      <c r="H354" s="29" t="s">
        <v>2372</v>
      </c>
      <c r="I354" s="29" t="s">
        <v>2</v>
      </c>
      <c r="J354" s="31" t="s">
        <v>2373</v>
      </c>
      <c r="K354" s="29" t="s">
        <v>2374</v>
      </c>
      <c r="L354" s="29" t="s">
        <v>2375</v>
      </c>
      <c r="M354" s="32" t="s">
        <v>2376</v>
      </c>
    </row>
    <row r="355" spans="1:13" ht="15.75" thickBot="1" x14ac:dyDescent="0.3">
      <c r="A355" s="33">
        <v>46001.645254629628</v>
      </c>
      <c r="B355" s="34" t="s">
        <v>953</v>
      </c>
      <c r="C355" s="34" t="s">
        <v>609</v>
      </c>
      <c r="D355" s="34" t="s">
        <v>2377</v>
      </c>
      <c r="E355" s="34" t="s">
        <v>2378</v>
      </c>
      <c r="F355" s="35">
        <v>42626</v>
      </c>
      <c r="G355" s="34" t="s">
        <v>2379</v>
      </c>
      <c r="H355" s="34" t="s">
        <v>2380</v>
      </c>
      <c r="I355" s="34" t="s">
        <v>2</v>
      </c>
      <c r="J355" s="36" t="s">
        <v>2381</v>
      </c>
      <c r="K355" s="34" t="s">
        <v>2382</v>
      </c>
      <c r="L355" s="34" t="s">
        <v>2383</v>
      </c>
      <c r="M355" s="37" t="s">
        <v>2384</v>
      </c>
    </row>
    <row r="356" spans="1:13" ht="15.75" thickBot="1" x14ac:dyDescent="0.3">
      <c r="A356" s="28">
        <v>46001.648206018515</v>
      </c>
      <c r="B356" s="29" t="s">
        <v>1317</v>
      </c>
      <c r="C356" s="29" t="s">
        <v>473</v>
      </c>
      <c r="D356" s="29" t="s">
        <v>2385</v>
      </c>
      <c r="E356" s="29" t="s">
        <v>10</v>
      </c>
      <c r="F356" s="30">
        <v>41555</v>
      </c>
      <c r="G356" s="29" t="s">
        <v>2386</v>
      </c>
      <c r="H356" s="29" t="s">
        <v>1349</v>
      </c>
      <c r="I356" s="29" t="s">
        <v>2</v>
      </c>
      <c r="J356" s="31" t="s">
        <v>2387</v>
      </c>
      <c r="K356" s="29" t="s">
        <v>2388</v>
      </c>
      <c r="L356" s="29" t="s">
        <v>3111</v>
      </c>
      <c r="M356" s="126"/>
    </row>
    <row r="357" spans="1:13" ht="15.75" thickBot="1" x14ac:dyDescent="0.3">
      <c r="A357" s="33">
        <v>46001.648298611108</v>
      </c>
      <c r="B357" s="34" t="s">
        <v>953</v>
      </c>
      <c r="C357" s="34" t="s">
        <v>725</v>
      </c>
      <c r="D357" s="34" t="s">
        <v>856</v>
      </c>
      <c r="E357" s="34" t="s">
        <v>204</v>
      </c>
      <c r="F357" s="35">
        <v>42456</v>
      </c>
      <c r="G357" s="34" t="s">
        <v>857</v>
      </c>
      <c r="H357" s="34" t="s">
        <v>858</v>
      </c>
      <c r="I357" s="34" t="s">
        <v>2</v>
      </c>
      <c r="J357" s="36" t="s">
        <v>2389</v>
      </c>
      <c r="K357" s="34" t="s">
        <v>2390</v>
      </c>
      <c r="L357" s="34" t="s">
        <v>2391</v>
      </c>
      <c r="M357" s="37" t="s">
        <v>2392</v>
      </c>
    </row>
    <row r="358" spans="1:13" ht="15.75" thickBot="1" x14ac:dyDescent="0.3">
      <c r="A358" s="28">
        <v>46001.651747685188</v>
      </c>
      <c r="B358" s="29" t="s">
        <v>10</v>
      </c>
      <c r="C358" s="29" t="s">
        <v>2219</v>
      </c>
      <c r="D358" s="29" t="s">
        <v>2407</v>
      </c>
      <c r="E358" s="29" t="s">
        <v>28</v>
      </c>
      <c r="F358" s="30">
        <v>42674</v>
      </c>
      <c r="G358" s="29" t="s">
        <v>2408</v>
      </c>
      <c r="H358" s="29" t="s">
        <v>2409</v>
      </c>
      <c r="I358" s="29" t="s">
        <v>2</v>
      </c>
      <c r="J358" s="31" t="s">
        <v>2410</v>
      </c>
      <c r="K358" s="29" t="s">
        <v>2411</v>
      </c>
      <c r="L358" s="29" t="s">
        <v>2412</v>
      </c>
      <c r="M358" s="32" t="s">
        <v>2413</v>
      </c>
    </row>
    <row r="359" spans="1:13" ht="15.75" thickBot="1" x14ac:dyDescent="0.3">
      <c r="A359" s="33">
        <v>46001.66673611111</v>
      </c>
      <c r="B359" s="34" t="s">
        <v>10</v>
      </c>
      <c r="C359" s="34" t="s">
        <v>2219</v>
      </c>
      <c r="D359" s="34" t="s">
        <v>2400</v>
      </c>
      <c r="E359" s="34" t="s">
        <v>10</v>
      </c>
      <c r="F359" s="35">
        <v>41492</v>
      </c>
      <c r="G359" s="34" t="s">
        <v>2401</v>
      </c>
      <c r="H359" s="34" t="s">
        <v>2402</v>
      </c>
      <c r="I359" s="34" t="s">
        <v>66</v>
      </c>
      <c r="J359" s="36" t="s">
        <v>2403</v>
      </c>
      <c r="K359" s="34" t="s">
        <v>2404</v>
      </c>
      <c r="L359" s="34" t="s">
        <v>2405</v>
      </c>
      <c r="M359" s="37" t="s">
        <v>2406</v>
      </c>
    </row>
    <row r="360" spans="1:13" ht="15.75" thickBot="1" x14ac:dyDescent="0.3">
      <c r="A360" s="28">
        <v>46001.657476851855</v>
      </c>
      <c r="B360" s="29" t="s">
        <v>10</v>
      </c>
      <c r="C360" s="29" t="s">
        <v>2219</v>
      </c>
      <c r="D360" s="29" t="s">
        <v>2400</v>
      </c>
      <c r="E360" s="29" t="s">
        <v>10</v>
      </c>
      <c r="F360" s="30">
        <v>41492</v>
      </c>
      <c r="G360" s="29" t="s">
        <v>2401</v>
      </c>
      <c r="H360" s="29" t="s">
        <v>2402</v>
      </c>
      <c r="I360" s="29" t="s">
        <v>66</v>
      </c>
      <c r="J360" s="31" t="s">
        <v>2414</v>
      </c>
      <c r="K360" s="29" t="s">
        <v>2404</v>
      </c>
      <c r="L360" s="29" t="s">
        <v>2415</v>
      </c>
      <c r="M360" s="32" t="s">
        <v>2416</v>
      </c>
    </row>
    <row r="361" spans="1:13" ht="15.75" thickBot="1" x14ac:dyDescent="0.3">
      <c r="A361" s="33">
        <v>46001.656504629631</v>
      </c>
      <c r="B361" s="34" t="s">
        <v>10</v>
      </c>
      <c r="C361" s="34" t="s">
        <v>2219</v>
      </c>
      <c r="D361" s="34" t="s">
        <v>2417</v>
      </c>
      <c r="E361" s="34" t="s">
        <v>10</v>
      </c>
      <c r="F361" s="35">
        <v>42307</v>
      </c>
      <c r="G361" s="34" t="s">
        <v>2418</v>
      </c>
      <c r="H361" s="34" t="s">
        <v>2419</v>
      </c>
      <c r="I361" s="34" t="s">
        <v>66</v>
      </c>
      <c r="J361" s="36" t="s">
        <v>2420</v>
      </c>
      <c r="K361" s="34" t="s">
        <v>2421</v>
      </c>
      <c r="L361" s="34" t="s">
        <v>2422</v>
      </c>
      <c r="M361" s="37" t="s">
        <v>2423</v>
      </c>
    </row>
    <row r="362" spans="1:13" ht="15.75" thickBot="1" x14ac:dyDescent="0.3">
      <c r="A362" s="28">
        <v>46001.66</v>
      </c>
      <c r="B362" s="29" t="s">
        <v>953</v>
      </c>
      <c r="C362" s="29" t="s">
        <v>609</v>
      </c>
      <c r="D362" s="29" t="s">
        <v>2424</v>
      </c>
      <c r="E362" s="29" t="s">
        <v>10</v>
      </c>
      <c r="F362" s="30">
        <v>42128</v>
      </c>
      <c r="G362" s="29" t="s">
        <v>2425</v>
      </c>
      <c r="H362" s="29" t="s">
        <v>2426</v>
      </c>
      <c r="I362" s="29" t="s">
        <v>66</v>
      </c>
      <c r="J362" s="31" t="s">
        <v>2427</v>
      </c>
      <c r="K362" s="29" t="s">
        <v>2428</v>
      </c>
      <c r="L362" s="29" t="s">
        <v>2429</v>
      </c>
      <c r="M362" s="32" t="s">
        <v>2430</v>
      </c>
    </row>
    <row r="363" spans="1:13" ht="15.75" thickBot="1" x14ac:dyDescent="0.3">
      <c r="A363" s="33">
        <v>46001.661828703705</v>
      </c>
      <c r="B363" s="34" t="s">
        <v>10</v>
      </c>
      <c r="C363" s="34" t="s">
        <v>2219</v>
      </c>
      <c r="D363" s="34" t="s">
        <v>2393</v>
      </c>
      <c r="E363" s="34" t="s">
        <v>59</v>
      </c>
      <c r="F363" s="35">
        <v>42929</v>
      </c>
      <c r="G363" s="34" t="s">
        <v>2394</v>
      </c>
      <c r="H363" s="34" t="s">
        <v>2395</v>
      </c>
      <c r="I363" s="34" t="s">
        <v>2</v>
      </c>
      <c r="J363" s="36" t="s">
        <v>2396</v>
      </c>
      <c r="K363" s="34" t="s">
        <v>2397</v>
      </c>
      <c r="L363" s="34" t="s">
        <v>2398</v>
      </c>
      <c r="M363" s="37" t="s">
        <v>2399</v>
      </c>
    </row>
    <row r="364" spans="1:13" ht="15.75" thickBot="1" x14ac:dyDescent="0.3">
      <c r="A364" s="28">
        <v>46001.661909722221</v>
      </c>
      <c r="B364" s="29" t="s">
        <v>10</v>
      </c>
      <c r="C364" s="29" t="s">
        <v>2438</v>
      </c>
      <c r="D364" s="29" t="s">
        <v>2439</v>
      </c>
      <c r="E364" s="29" t="s">
        <v>28</v>
      </c>
      <c r="F364" s="30">
        <v>42388</v>
      </c>
      <c r="G364" s="29" t="s">
        <v>2440</v>
      </c>
      <c r="H364" s="29" t="s">
        <v>2441</v>
      </c>
      <c r="I364" s="29" t="s">
        <v>2</v>
      </c>
      <c r="J364" s="31" t="s">
        <v>2442</v>
      </c>
      <c r="K364" s="29" t="s">
        <v>2443</v>
      </c>
      <c r="L364" s="29" t="s">
        <v>2444</v>
      </c>
      <c r="M364" s="32" t="s">
        <v>2445</v>
      </c>
    </row>
    <row r="365" spans="1:13" ht="15.75" thickBot="1" x14ac:dyDescent="0.3">
      <c r="A365" s="33">
        <v>46001.670324074075</v>
      </c>
      <c r="B365" s="34" t="s">
        <v>10</v>
      </c>
      <c r="C365" s="34" t="s">
        <v>2219</v>
      </c>
      <c r="D365" s="34" t="s">
        <v>354</v>
      </c>
      <c r="E365" s="34" t="s">
        <v>1155</v>
      </c>
      <c r="F365" s="35">
        <v>42002</v>
      </c>
      <c r="G365" s="34" t="s">
        <v>2446</v>
      </c>
      <c r="H365" s="34" t="s">
        <v>2447</v>
      </c>
      <c r="I365" s="34" t="s">
        <v>66</v>
      </c>
      <c r="J365" s="36" t="s">
        <v>2448</v>
      </c>
      <c r="K365" s="34" t="s">
        <v>2449</v>
      </c>
      <c r="L365" s="34" t="s">
        <v>2450</v>
      </c>
      <c r="M365" s="37" t="s">
        <v>2451</v>
      </c>
    </row>
    <row r="366" spans="1:13" ht="15.75" thickBot="1" x14ac:dyDescent="0.3">
      <c r="A366" s="28">
        <v>46001.667962962965</v>
      </c>
      <c r="B366" s="29" t="s">
        <v>953</v>
      </c>
      <c r="C366" s="29" t="s">
        <v>725</v>
      </c>
      <c r="D366" s="29" t="s">
        <v>2452</v>
      </c>
      <c r="E366" s="29" t="s">
        <v>28</v>
      </c>
      <c r="F366" s="30">
        <v>41682</v>
      </c>
      <c r="G366" s="29" t="s">
        <v>2453</v>
      </c>
      <c r="H366" s="29" t="s">
        <v>2454</v>
      </c>
      <c r="I366" s="29" t="s">
        <v>2</v>
      </c>
      <c r="J366" s="31" t="s">
        <v>2455</v>
      </c>
      <c r="K366" s="29" t="s">
        <v>2456</v>
      </c>
      <c r="L366" s="29" t="s">
        <v>2457</v>
      </c>
      <c r="M366" s="32" t="s">
        <v>2458</v>
      </c>
    </row>
    <row r="367" spans="1:13" ht="15.75" thickBot="1" x14ac:dyDescent="0.3">
      <c r="A367" s="33">
        <v>46001.668344907404</v>
      </c>
      <c r="B367" s="34" t="s">
        <v>953</v>
      </c>
      <c r="C367" s="34" t="s">
        <v>609</v>
      </c>
      <c r="D367" s="34" t="s">
        <v>2459</v>
      </c>
      <c r="E367" s="34" t="s">
        <v>10</v>
      </c>
      <c r="F367" s="35">
        <v>41978</v>
      </c>
      <c r="G367" s="34" t="s">
        <v>2460</v>
      </c>
      <c r="H367" s="34" t="s">
        <v>2461</v>
      </c>
      <c r="I367" s="34" t="s">
        <v>66</v>
      </c>
      <c r="J367" s="36" t="s">
        <v>2462</v>
      </c>
      <c r="K367" s="34" t="s">
        <v>2463</v>
      </c>
      <c r="L367" s="34" t="s">
        <v>2464</v>
      </c>
      <c r="M367" s="37" t="s">
        <v>2465</v>
      </c>
    </row>
    <row r="368" spans="1:13" ht="15.75" thickBot="1" x14ac:dyDescent="0.3">
      <c r="A368" s="28">
        <v>46001.669120370374</v>
      </c>
      <c r="B368" s="29" t="s">
        <v>10</v>
      </c>
      <c r="C368" s="29" t="s">
        <v>2219</v>
      </c>
      <c r="D368" s="29" t="s">
        <v>2431</v>
      </c>
      <c r="E368" s="29" t="s">
        <v>10</v>
      </c>
      <c r="F368" s="30">
        <v>42299</v>
      </c>
      <c r="G368" s="29" t="s">
        <v>2432</v>
      </c>
      <c r="H368" s="29" t="s">
        <v>2433</v>
      </c>
      <c r="I368" s="29" t="s">
        <v>66</v>
      </c>
      <c r="J368" s="31" t="s">
        <v>2434</v>
      </c>
      <c r="K368" s="29" t="s">
        <v>2435</v>
      </c>
      <c r="L368" s="29" t="s">
        <v>2436</v>
      </c>
      <c r="M368" s="32" t="s">
        <v>2437</v>
      </c>
    </row>
    <row r="369" spans="1:13" ht="15.75" thickBot="1" x14ac:dyDescent="0.3">
      <c r="A369" s="33">
        <v>46001.670127314814</v>
      </c>
      <c r="B369" s="34" t="s">
        <v>10</v>
      </c>
      <c r="C369" s="34" t="s">
        <v>2219</v>
      </c>
      <c r="D369" s="34" t="s">
        <v>2431</v>
      </c>
      <c r="E369" s="34" t="s">
        <v>10</v>
      </c>
      <c r="F369" s="35">
        <v>42299</v>
      </c>
      <c r="G369" s="34" t="s">
        <v>2466</v>
      </c>
      <c r="H369" s="34" t="s">
        <v>2467</v>
      </c>
      <c r="I369" s="34" t="s">
        <v>66</v>
      </c>
      <c r="J369" s="36" t="s">
        <v>2468</v>
      </c>
      <c r="K369" s="34" t="s">
        <v>2435</v>
      </c>
      <c r="L369" s="34" t="s">
        <v>2469</v>
      </c>
      <c r="M369" s="37" t="s">
        <v>2470</v>
      </c>
    </row>
    <row r="370" spans="1:13" ht="15.75" thickBot="1" x14ac:dyDescent="0.3">
      <c r="A370" s="28">
        <v>46001.673368055555</v>
      </c>
      <c r="B370" s="29" t="s">
        <v>10</v>
      </c>
      <c r="C370" s="29" t="s">
        <v>2219</v>
      </c>
      <c r="D370" s="29" t="s">
        <v>354</v>
      </c>
      <c r="E370" s="29" t="s">
        <v>2471</v>
      </c>
      <c r="F370" s="30">
        <v>42002</v>
      </c>
      <c r="G370" s="29" t="s">
        <v>2446</v>
      </c>
      <c r="H370" s="29" t="s">
        <v>2447</v>
      </c>
      <c r="I370" s="29" t="s">
        <v>66</v>
      </c>
      <c r="J370" s="31" t="s">
        <v>2472</v>
      </c>
      <c r="K370" s="29" t="s">
        <v>2449</v>
      </c>
      <c r="L370" s="29" t="s">
        <v>2473</v>
      </c>
      <c r="M370" s="32" t="s">
        <v>2474</v>
      </c>
    </row>
    <row r="371" spans="1:13" ht="15.75" thickBot="1" x14ac:dyDescent="0.3">
      <c r="A371" s="33">
        <v>46001.673611111109</v>
      </c>
      <c r="B371" s="34" t="s">
        <v>10</v>
      </c>
      <c r="C371" s="34" t="s">
        <v>2219</v>
      </c>
      <c r="D371" s="34" t="s">
        <v>2400</v>
      </c>
      <c r="E371" s="34" t="s">
        <v>28</v>
      </c>
      <c r="F371" s="35">
        <v>41433</v>
      </c>
      <c r="G371" s="34" t="s">
        <v>2401</v>
      </c>
      <c r="H371" s="34" t="s">
        <v>2402</v>
      </c>
      <c r="I371" s="34" t="s">
        <v>66</v>
      </c>
      <c r="J371" s="36" t="s">
        <v>2475</v>
      </c>
      <c r="K371" s="34" t="s">
        <v>2476</v>
      </c>
      <c r="L371" s="34" t="s">
        <v>2477</v>
      </c>
      <c r="M371" s="37" t="s">
        <v>2478</v>
      </c>
    </row>
    <row r="372" spans="1:13" ht="15.75" thickBot="1" x14ac:dyDescent="0.3">
      <c r="A372" s="28">
        <v>46001.674664351849</v>
      </c>
      <c r="B372" s="29" t="s">
        <v>953</v>
      </c>
      <c r="C372" s="29" t="s">
        <v>609</v>
      </c>
      <c r="D372" s="29" t="s">
        <v>2479</v>
      </c>
      <c r="E372" s="29" t="s">
        <v>10</v>
      </c>
      <c r="F372" s="30">
        <v>41843</v>
      </c>
      <c r="G372" s="29" t="s">
        <v>2480</v>
      </c>
      <c r="H372" s="29" t="s">
        <v>2481</v>
      </c>
      <c r="I372" s="29" t="s">
        <v>2</v>
      </c>
      <c r="J372" s="31" t="s">
        <v>2482</v>
      </c>
      <c r="K372" s="29" t="s">
        <v>2483</v>
      </c>
      <c r="L372" s="29" t="s">
        <v>2484</v>
      </c>
      <c r="M372" s="32" t="s">
        <v>2485</v>
      </c>
    </row>
    <row r="373" spans="1:13" ht="15.75" thickBot="1" x14ac:dyDescent="0.3">
      <c r="A373" s="33">
        <v>46001.674895833334</v>
      </c>
      <c r="B373" s="34" t="s">
        <v>10</v>
      </c>
      <c r="C373" s="34" t="s">
        <v>2219</v>
      </c>
      <c r="D373" s="34" t="s">
        <v>2431</v>
      </c>
      <c r="E373" s="34" t="s">
        <v>28</v>
      </c>
      <c r="F373" s="35">
        <v>42299</v>
      </c>
      <c r="G373" s="34" t="s">
        <v>2432</v>
      </c>
      <c r="H373" s="34" t="s">
        <v>2433</v>
      </c>
      <c r="I373" s="34" t="s">
        <v>66</v>
      </c>
      <c r="J373" s="36" t="s">
        <v>2486</v>
      </c>
      <c r="K373" s="34" t="s">
        <v>2435</v>
      </c>
      <c r="L373" s="34" t="s">
        <v>2487</v>
      </c>
      <c r="M373" s="37" t="s">
        <v>2488</v>
      </c>
    </row>
    <row r="374" spans="1:13" ht="15.75" thickBot="1" x14ac:dyDescent="0.3">
      <c r="A374" s="28">
        <v>46001.675613425927</v>
      </c>
      <c r="B374" s="29" t="s">
        <v>953</v>
      </c>
      <c r="C374" s="29" t="s">
        <v>725</v>
      </c>
      <c r="D374" s="29" t="s">
        <v>2489</v>
      </c>
      <c r="E374" s="29" t="s">
        <v>2490</v>
      </c>
      <c r="F374" s="30">
        <v>42364</v>
      </c>
      <c r="G374" s="29" t="s">
        <v>2491</v>
      </c>
      <c r="H374" s="29" t="s">
        <v>2351</v>
      </c>
      <c r="I374" s="29" t="s">
        <v>2</v>
      </c>
      <c r="J374" s="31" t="s">
        <v>2492</v>
      </c>
      <c r="K374" s="29" t="s">
        <v>2493</v>
      </c>
      <c r="L374" s="29" t="s">
        <v>2494</v>
      </c>
      <c r="M374" s="32" t="s">
        <v>2495</v>
      </c>
    </row>
    <row r="375" spans="1:13" ht="15.75" thickBot="1" x14ac:dyDescent="0.3">
      <c r="A375" s="33">
        <v>46001.676712962966</v>
      </c>
      <c r="B375" s="34" t="s">
        <v>10</v>
      </c>
      <c r="C375" s="34" t="s">
        <v>2219</v>
      </c>
      <c r="D375" s="34" t="s">
        <v>2496</v>
      </c>
      <c r="E375" s="34" t="s">
        <v>28</v>
      </c>
      <c r="F375" s="35">
        <v>42553</v>
      </c>
      <c r="G375" s="34" t="s">
        <v>2497</v>
      </c>
      <c r="H375" s="34" t="s">
        <v>2498</v>
      </c>
      <c r="I375" s="34" t="s">
        <v>2</v>
      </c>
      <c r="J375" s="36" t="s">
        <v>2499</v>
      </c>
      <c r="K375" s="34" t="s">
        <v>2500</v>
      </c>
      <c r="L375" s="34" t="s">
        <v>2501</v>
      </c>
      <c r="M375" s="37" t="s">
        <v>2502</v>
      </c>
    </row>
    <row r="376" spans="1:13" ht="15.75" thickBot="1" x14ac:dyDescent="0.3">
      <c r="A376" s="28">
        <v>46001.677569444444</v>
      </c>
      <c r="B376" s="29" t="s">
        <v>10</v>
      </c>
      <c r="C376" s="29" t="s">
        <v>2219</v>
      </c>
      <c r="D376" s="29" t="s">
        <v>2503</v>
      </c>
      <c r="E376" s="29" t="s">
        <v>10</v>
      </c>
      <c r="F376" s="30">
        <v>42543</v>
      </c>
      <c r="G376" s="29" t="s">
        <v>2504</v>
      </c>
      <c r="H376" s="29" t="s">
        <v>2505</v>
      </c>
      <c r="I376" s="29" t="s">
        <v>66</v>
      </c>
      <c r="J376" s="31" t="s">
        <v>2506</v>
      </c>
      <c r="K376" s="29" t="s">
        <v>2507</v>
      </c>
      <c r="L376" s="29" t="s">
        <v>2508</v>
      </c>
      <c r="M376" s="32" t="s">
        <v>2509</v>
      </c>
    </row>
    <row r="377" spans="1:13" ht="15.75" thickBot="1" x14ac:dyDescent="0.3">
      <c r="A377" s="33">
        <v>46001.677766203706</v>
      </c>
      <c r="B377" s="34" t="s">
        <v>10</v>
      </c>
      <c r="C377" s="34" t="s">
        <v>435</v>
      </c>
      <c r="D377" s="34" t="s">
        <v>2510</v>
      </c>
      <c r="E377" s="34" t="s">
        <v>10</v>
      </c>
      <c r="F377" s="35">
        <v>42481</v>
      </c>
      <c r="G377" s="34" t="s">
        <v>2511</v>
      </c>
      <c r="H377" s="34" t="s">
        <v>2512</v>
      </c>
      <c r="I377" s="34" t="s">
        <v>2</v>
      </c>
      <c r="J377" s="36" t="s">
        <v>2513</v>
      </c>
      <c r="K377" s="34" t="s">
        <v>2514</v>
      </c>
      <c r="L377" s="34" t="s">
        <v>2515</v>
      </c>
      <c r="M377" s="37" t="s">
        <v>2516</v>
      </c>
    </row>
    <row r="378" spans="1:13" ht="15.75" thickBot="1" x14ac:dyDescent="0.3">
      <c r="A378" s="28">
        <v>46001.678020833337</v>
      </c>
      <c r="B378" s="29" t="s">
        <v>10</v>
      </c>
      <c r="C378" s="29" t="s">
        <v>2219</v>
      </c>
      <c r="D378" s="29" t="s">
        <v>2431</v>
      </c>
      <c r="E378" s="29" t="s">
        <v>2517</v>
      </c>
      <c r="F378" s="30">
        <v>42299</v>
      </c>
      <c r="G378" s="29" t="s">
        <v>2466</v>
      </c>
      <c r="H378" s="29" t="s">
        <v>2467</v>
      </c>
      <c r="I378" s="29" t="s">
        <v>66</v>
      </c>
      <c r="J378" s="31" t="s">
        <v>2518</v>
      </c>
      <c r="K378" s="29" t="s">
        <v>2435</v>
      </c>
      <c r="L378" s="29" t="s">
        <v>2519</v>
      </c>
      <c r="M378" s="32" t="s">
        <v>2520</v>
      </c>
    </row>
    <row r="379" spans="1:13" ht="15.75" thickBot="1" x14ac:dyDescent="0.3">
      <c r="A379" s="33">
        <v>46001.678217592591</v>
      </c>
      <c r="B379" s="34" t="s">
        <v>10</v>
      </c>
      <c r="C379" s="34" t="s">
        <v>2219</v>
      </c>
      <c r="D379" s="34" t="s">
        <v>2521</v>
      </c>
      <c r="E379" s="34" t="s">
        <v>10</v>
      </c>
      <c r="F379" s="35">
        <v>42788</v>
      </c>
      <c r="G379" s="34" t="s">
        <v>2522</v>
      </c>
      <c r="H379" s="34" t="s">
        <v>2523</v>
      </c>
      <c r="I379" s="34" t="s">
        <v>2</v>
      </c>
      <c r="J379" s="36" t="s">
        <v>2524</v>
      </c>
      <c r="K379" s="34" t="s">
        <v>2525</v>
      </c>
      <c r="L379" s="34" t="s">
        <v>2526</v>
      </c>
      <c r="M379" s="37" t="s">
        <v>2527</v>
      </c>
    </row>
    <row r="380" spans="1:13" ht="15.75" thickBot="1" x14ac:dyDescent="0.3">
      <c r="A380" s="28">
        <v>46001.680138888885</v>
      </c>
      <c r="B380" s="29" t="s">
        <v>953</v>
      </c>
      <c r="C380" s="29" t="s">
        <v>609</v>
      </c>
      <c r="D380" s="29" t="s">
        <v>2528</v>
      </c>
      <c r="E380" s="29" t="s">
        <v>2529</v>
      </c>
      <c r="F380" s="30">
        <v>41782</v>
      </c>
      <c r="G380" s="29" t="s">
        <v>1546</v>
      </c>
      <c r="H380" s="29" t="s">
        <v>2530</v>
      </c>
      <c r="I380" s="29" t="s">
        <v>66</v>
      </c>
      <c r="J380" s="31" t="s">
        <v>2531</v>
      </c>
      <c r="K380" s="29" t="s">
        <v>2532</v>
      </c>
      <c r="L380" s="29" t="s">
        <v>2533</v>
      </c>
      <c r="M380" s="32" t="s">
        <v>2534</v>
      </c>
    </row>
    <row r="381" spans="1:13" ht="15.75" thickBot="1" x14ac:dyDescent="0.3">
      <c r="A381" s="33">
        <v>46001.680509259262</v>
      </c>
      <c r="B381" s="34" t="s">
        <v>10</v>
      </c>
      <c r="C381" s="34" t="s">
        <v>2219</v>
      </c>
      <c r="D381" s="34" t="s">
        <v>354</v>
      </c>
      <c r="E381" s="34" t="s">
        <v>1155</v>
      </c>
      <c r="F381" s="35">
        <v>42002</v>
      </c>
      <c r="G381" s="34" t="s">
        <v>2446</v>
      </c>
      <c r="H381" s="34" t="s">
        <v>2447</v>
      </c>
      <c r="I381" s="34" t="s">
        <v>66</v>
      </c>
      <c r="J381" s="36" t="s">
        <v>2535</v>
      </c>
      <c r="K381" s="34" t="s">
        <v>2449</v>
      </c>
      <c r="L381" s="34" t="s">
        <v>2536</v>
      </c>
      <c r="M381" s="37" t="s">
        <v>2537</v>
      </c>
    </row>
    <row r="382" spans="1:13" ht="15.75" thickBot="1" x14ac:dyDescent="0.3">
      <c r="A382" s="28">
        <v>46001.681747685187</v>
      </c>
      <c r="B382" s="29" t="s">
        <v>10</v>
      </c>
      <c r="C382" s="29" t="s">
        <v>2219</v>
      </c>
      <c r="D382" s="29" t="s">
        <v>2538</v>
      </c>
      <c r="E382" s="29" t="s">
        <v>10</v>
      </c>
      <c r="F382" s="30">
        <v>41967</v>
      </c>
      <c r="G382" s="29" t="s">
        <v>2539</v>
      </c>
      <c r="H382" s="29" t="s">
        <v>2540</v>
      </c>
      <c r="I382" s="29" t="s">
        <v>66</v>
      </c>
      <c r="J382" s="31" t="s">
        <v>2541</v>
      </c>
      <c r="K382" s="29" t="s">
        <v>2542</v>
      </c>
      <c r="L382" s="29" t="s">
        <v>2543</v>
      </c>
      <c r="M382" s="32" t="s">
        <v>2544</v>
      </c>
    </row>
    <row r="383" spans="1:13" ht="15.75" thickBot="1" x14ac:dyDescent="0.3">
      <c r="A383" s="33">
        <v>46001.682789351849</v>
      </c>
      <c r="B383" s="34" t="s">
        <v>10</v>
      </c>
      <c r="C383" s="34" t="s">
        <v>2219</v>
      </c>
      <c r="D383" s="34" t="s">
        <v>2330</v>
      </c>
      <c r="E383" s="34" t="s">
        <v>59</v>
      </c>
      <c r="F383" s="35">
        <v>42030</v>
      </c>
      <c r="G383" s="34" t="s">
        <v>2331</v>
      </c>
      <c r="H383" s="34" t="s">
        <v>2332</v>
      </c>
      <c r="I383" s="34" t="s">
        <v>66</v>
      </c>
      <c r="J383" s="36" t="s">
        <v>2545</v>
      </c>
      <c r="K383" s="34" t="s">
        <v>2334</v>
      </c>
      <c r="L383" s="34" t="s">
        <v>2546</v>
      </c>
      <c r="M383" s="37" t="s">
        <v>2547</v>
      </c>
    </row>
    <row r="384" spans="1:13" ht="15.75" thickBot="1" x14ac:dyDescent="0.3">
      <c r="A384" s="28">
        <v>46001.685532407406</v>
      </c>
      <c r="B384" s="29" t="s">
        <v>953</v>
      </c>
      <c r="C384" s="29" t="s">
        <v>609</v>
      </c>
      <c r="D384" s="29" t="s">
        <v>2548</v>
      </c>
      <c r="E384" s="29" t="s">
        <v>10</v>
      </c>
      <c r="F384" s="30">
        <v>41996</v>
      </c>
      <c r="G384" s="29" t="s">
        <v>2549</v>
      </c>
      <c r="H384" s="29" t="s">
        <v>2550</v>
      </c>
      <c r="I384" s="29" t="s">
        <v>2</v>
      </c>
      <c r="J384" s="31" t="s">
        <v>2551</v>
      </c>
      <c r="K384" s="29" t="s">
        <v>2552</v>
      </c>
      <c r="L384" s="29" t="s">
        <v>2553</v>
      </c>
      <c r="M384" s="32" t="s">
        <v>2554</v>
      </c>
    </row>
    <row r="385" spans="1:13" ht="15.75" thickBot="1" x14ac:dyDescent="0.3">
      <c r="A385" s="33">
        <v>46001.685601851852</v>
      </c>
      <c r="B385" s="34" t="s">
        <v>953</v>
      </c>
      <c r="C385" s="34" t="s">
        <v>725</v>
      </c>
      <c r="D385" s="34" t="s">
        <v>2555</v>
      </c>
      <c r="E385" s="34" t="s">
        <v>28</v>
      </c>
      <c r="F385" s="35">
        <v>42659</v>
      </c>
      <c r="G385" s="34" t="s">
        <v>2556</v>
      </c>
      <c r="H385" s="34" t="s">
        <v>2557</v>
      </c>
      <c r="I385" s="34" t="s">
        <v>2</v>
      </c>
      <c r="J385" s="36" t="s">
        <v>2558</v>
      </c>
      <c r="K385" s="34" t="s">
        <v>2559</v>
      </c>
      <c r="L385" s="34" t="s">
        <v>2560</v>
      </c>
      <c r="M385" s="37" t="s">
        <v>2561</v>
      </c>
    </row>
    <row r="386" spans="1:13" ht="15.75" thickBot="1" x14ac:dyDescent="0.3">
      <c r="A386" s="28">
        <v>46001.688935185186</v>
      </c>
      <c r="B386" s="29" t="s">
        <v>953</v>
      </c>
      <c r="C386" s="29" t="s">
        <v>609</v>
      </c>
      <c r="D386" s="29" t="s">
        <v>2562</v>
      </c>
      <c r="E386" s="29" t="s">
        <v>10</v>
      </c>
      <c r="F386" s="30">
        <v>42528</v>
      </c>
      <c r="G386" s="29" t="s">
        <v>2563</v>
      </c>
      <c r="H386" s="29" t="s">
        <v>2564</v>
      </c>
      <c r="I386" s="29" t="s">
        <v>2</v>
      </c>
      <c r="J386" s="31" t="s">
        <v>2565</v>
      </c>
      <c r="K386" s="29" t="s">
        <v>2566</v>
      </c>
      <c r="L386" s="29" t="s">
        <v>2567</v>
      </c>
      <c r="M386" s="32" t="s">
        <v>2568</v>
      </c>
    </row>
    <row r="387" spans="1:13" ht="15.75" thickBot="1" x14ac:dyDescent="0.3">
      <c r="A387" s="33">
        <v>46001.69085648148</v>
      </c>
      <c r="B387" s="34" t="s">
        <v>1317</v>
      </c>
      <c r="C387" s="34" t="s">
        <v>511</v>
      </c>
      <c r="D387" s="34" t="s">
        <v>2569</v>
      </c>
      <c r="E387" s="34" t="s">
        <v>116</v>
      </c>
      <c r="F387" s="35">
        <v>41792</v>
      </c>
      <c r="G387" s="34" t="s">
        <v>2570</v>
      </c>
      <c r="H387" s="34" t="s">
        <v>1770</v>
      </c>
      <c r="I387" s="34" t="s">
        <v>66</v>
      </c>
      <c r="J387" s="36" t="s">
        <v>2571</v>
      </c>
      <c r="K387" s="34" t="s">
        <v>2572</v>
      </c>
      <c r="L387" s="34" t="s">
        <v>3112</v>
      </c>
      <c r="M387" s="38"/>
    </row>
    <row r="388" spans="1:13" ht="15.75" thickBot="1" x14ac:dyDescent="0.3">
      <c r="A388" s="28">
        <v>46001.692048611112</v>
      </c>
      <c r="B388" s="29" t="s">
        <v>10</v>
      </c>
      <c r="C388" s="29" t="s">
        <v>435</v>
      </c>
      <c r="D388" s="29" t="s">
        <v>2573</v>
      </c>
      <c r="E388" s="29" t="s">
        <v>10</v>
      </c>
      <c r="F388" s="30">
        <v>42404</v>
      </c>
      <c r="G388" s="29" t="s">
        <v>2574</v>
      </c>
      <c r="H388" s="29" t="s">
        <v>2575</v>
      </c>
      <c r="I388" s="29" t="s">
        <v>2</v>
      </c>
      <c r="J388" s="31" t="s">
        <v>2576</v>
      </c>
      <c r="K388" s="29" t="s">
        <v>2577</v>
      </c>
      <c r="L388" s="29" t="s">
        <v>2578</v>
      </c>
      <c r="M388" s="32" t="s">
        <v>2579</v>
      </c>
    </row>
    <row r="389" spans="1:13" ht="15.75" thickBot="1" x14ac:dyDescent="0.3">
      <c r="A389" s="33">
        <v>46001.693796296298</v>
      </c>
      <c r="B389" s="34" t="s">
        <v>953</v>
      </c>
      <c r="C389" s="34" t="s">
        <v>725</v>
      </c>
      <c r="D389" s="34" t="s">
        <v>2580</v>
      </c>
      <c r="E389" s="34" t="s">
        <v>28</v>
      </c>
      <c r="F389" s="35">
        <v>41747</v>
      </c>
      <c r="G389" s="34" t="s">
        <v>2581</v>
      </c>
      <c r="H389" s="34" t="s">
        <v>2582</v>
      </c>
      <c r="I389" s="34" t="s">
        <v>66</v>
      </c>
      <c r="J389" s="36" t="s">
        <v>2583</v>
      </c>
      <c r="K389" s="34" t="s">
        <v>2584</v>
      </c>
      <c r="L389" s="34" t="s">
        <v>2585</v>
      </c>
      <c r="M389" s="37" t="s">
        <v>2586</v>
      </c>
    </row>
    <row r="390" spans="1:13" ht="15.75" thickBot="1" x14ac:dyDescent="0.3">
      <c r="A390" s="28">
        <v>46001.694479166668</v>
      </c>
      <c r="B390" s="29" t="s">
        <v>953</v>
      </c>
      <c r="C390" s="29" t="s">
        <v>725</v>
      </c>
      <c r="D390" s="29" t="s">
        <v>2587</v>
      </c>
      <c r="E390" s="29" t="s">
        <v>28</v>
      </c>
      <c r="F390" s="30">
        <v>41774</v>
      </c>
      <c r="G390" s="29" t="s">
        <v>2588</v>
      </c>
      <c r="H390" s="29" t="s">
        <v>2589</v>
      </c>
      <c r="I390" s="29" t="s">
        <v>2</v>
      </c>
      <c r="J390" s="31" t="s">
        <v>2590</v>
      </c>
      <c r="K390" s="29" t="s">
        <v>2591</v>
      </c>
      <c r="L390" s="29" t="s">
        <v>2592</v>
      </c>
      <c r="M390" s="32" t="s">
        <v>2593</v>
      </c>
    </row>
    <row r="391" spans="1:13" ht="15.75" thickBot="1" x14ac:dyDescent="0.3">
      <c r="A391" s="33">
        <v>46001.695636574077</v>
      </c>
      <c r="B391" s="34" t="s">
        <v>10</v>
      </c>
      <c r="C391" s="34" t="s">
        <v>2219</v>
      </c>
      <c r="D391" s="34" t="s">
        <v>2594</v>
      </c>
      <c r="E391" s="34" t="s">
        <v>10</v>
      </c>
      <c r="F391" s="35">
        <v>42281</v>
      </c>
      <c r="G391" s="34" t="s">
        <v>2595</v>
      </c>
      <c r="H391" s="34" t="s">
        <v>2596</v>
      </c>
      <c r="I391" s="34" t="s">
        <v>2</v>
      </c>
      <c r="J391" s="36" t="s">
        <v>2597</v>
      </c>
      <c r="K391" s="34" t="s">
        <v>2598</v>
      </c>
      <c r="L391" s="34" t="s">
        <v>2599</v>
      </c>
      <c r="M391" s="37" t="s">
        <v>2600</v>
      </c>
    </row>
    <row r="392" spans="1:13" ht="15.75" thickBot="1" x14ac:dyDescent="0.3">
      <c r="A392" s="28">
        <v>46001.700324074074</v>
      </c>
      <c r="B392" s="29" t="s">
        <v>10</v>
      </c>
      <c r="C392" s="29" t="s">
        <v>2219</v>
      </c>
      <c r="D392" s="29" t="s">
        <v>2601</v>
      </c>
      <c r="E392" s="29" t="s">
        <v>59</v>
      </c>
      <c r="F392" s="30">
        <v>41917</v>
      </c>
      <c r="G392" s="29" t="s">
        <v>2602</v>
      </c>
      <c r="H392" s="29" t="s">
        <v>2603</v>
      </c>
      <c r="I392" s="29" t="s">
        <v>66</v>
      </c>
      <c r="J392" s="31" t="s">
        <v>2604</v>
      </c>
      <c r="K392" s="29" t="s">
        <v>2605</v>
      </c>
      <c r="L392" s="29" t="s">
        <v>2606</v>
      </c>
      <c r="M392" s="32" t="s">
        <v>2607</v>
      </c>
    </row>
    <row r="393" spans="1:13" ht="15.75" thickBot="1" x14ac:dyDescent="0.3">
      <c r="A393" s="33">
        <v>46001.701111111113</v>
      </c>
      <c r="B393" s="34" t="s">
        <v>10</v>
      </c>
      <c r="C393" s="34" t="s">
        <v>2219</v>
      </c>
      <c r="D393" s="34" t="s">
        <v>2608</v>
      </c>
      <c r="E393" s="34" t="s">
        <v>10</v>
      </c>
      <c r="F393" s="35">
        <v>41925</v>
      </c>
      <c r="G393" s="34" t="s">
        <v>2609</v>
      </c>
      <c r="H393" s="34" t="s">
        <v>2610</v>
      </c>
      <c r="I393" s="34" t="s">
        <v>66</v>
      </c>
      <c r="J393" s="36" t="s">
        <v>2611</v>
      </c>
      <c r="K393" s="34" t="s">
        <v>2612</v>
      </c>
      <c r="L393" s="34" t="s">
        <v>2613</v>
      </c>
      <c r="M393" s="37" t="s">
        <v>2614</v>
      </c>
    </row>
    <row r="394" spans="1:13" ht="15.75" thickBot="1" x14ac:dyDescent="0.3">
      <c r="A394" s="28">
        <v>46001.702361111114</v>
      </c>
      <c r="B394" s="29" t="s">
        <v>953</v>
      </c>
      <c r="C394" s="29" t="s">
        <v>753</v>
      </c>
      <c r="D394" s="29" t="s">
        <v>2615</v>
      </c>
      <c r="E394" s="29" t="s">
        <v>28</v>
      </c>
      <c r="F394" s="30">
        <v>41758</v>
      </c>
      <c r="G394" s="29" t="s">
        <v>2616</v>
      </c>
      <c r="H394" s="29" t="s">
        <v>2617</v>
      </c>
      <c r="I394" s="29" t="s">
        <v>66</v>
      </c>
      <c r="J394" s="31" t="s">
        <v>2618</v>
      </c>
      <c r="K394" s="29" t="s">
        <v>2619</v>
      </c>
      <c r="L394" s="29" t="s">
        <v>2620</v>
      </c>
      <c r="M394" s="32" t="s">
        <v>2621</v>
      </c>
    </row>
    <row r="395" spans="1:13" ht="15.75" thickBot="1" x14ac:dyDescent="0.3">
      <c r="A395" s="33">
        <v>46001.703472222223</v>
      </c>
      <c r="B395" s="34" t="s">
        <v>10</v>
      </c>
      <c r="C395" s="34" t="s">
        <v>2219</v>
      </c>
      <c r="D395" s="34" t="s">
        <v>2601</v>
      </c>
      <c r="E395" s="34" t="s">
        <v>59</v>
      </c>
      <c r="F395" s="35">
        <v>41917</v>
      </c>
      <c r="G395" s="34" t="s">
        <v>2602</v>
      </c>
      <c r="H395" s="34" t="s">
        <v>2603</v>
      </c>
      <c r="I395" s="34" t="s">
        <v>66</v>
      </c>
      <c r="J395" s="36" t="s">
        <v>2622</v>
      </c>
      <c r="K395" s="34" t="s">
        <v>2623</v>
      </c>
      <c r="L395" s="34" t="s">
        <v>2624</v>
      </c>
      <c r="M395" s="37" t="s">
        <v>2625</v>
      </c>
    </row>
    <row r="396" spans="1:13" ht="15.75" thickBot="1" x14ac:dyDescent="0.3">
      <c r="A396" s="28">
        <v>46001.703935185185</v>
      </c>
      <c r="B396" s="29" t="s">
        <v>10</v>
      </c>
      <c r="C396" s="29" t="s">
        <v>2626</v>
      </c>
      <c r="D396" s="29" t="s">
        <v>2627</v>
      </c>
      <c r="E396" s="29" t="s">
        <v>10</v>
      </c>
      <c r="F396" s="30">
        <v>42272</v>
      </c>
      <c r="G396" s="29" t="s">
        <v>2628</v>
      </c>
      <c r="H396" s="29" t="s">
        <v>2629</v>
      </c>
      <c r="I396" s="29" t="s">
        <v>2</v>
      </c>
      <c r="J396" s="31" t="s">
        <v>2630</v>
      </c>
      <c r="K396" s="29" t="s">
        <v>2631</v>
      </c>
      <c r="L396" s="29" t="s">
        <v>2632</v>
      </c>
      <c r="M396" s="32" t="s">
        <v>2633</v>
      </c>
    </row>
    <row r="397" spans="1:13" ht="15.75" thickBot="1" x14ac:dyDescent="0.3">
      <c r="A397" s="33">
        <v>46001.705717592595</v>
      </c>
      <c r="B397" s="34" t="s">
        <v>10</v>
      </c>
      <c r="C397" s="34" t="s">
        <v>2219</v>
      </c>
      <c r="D397" s="34" t="s">
        <v>2294</v>
      </c>
      <c r="E397" s="34" t="s">
        <v>2295</v>
      </c>
      <c r="F397" s="35">
        <v>41547</v>
      </c>
      <c r="G397" s="34" t="s">
        <v>2296</v>
      </c>
      <c r="H397" s="34" t="s">
        <v>2297</v>
      </c>
      <c r="I397" s="34" t="s">
        <v>2</v>
      </c>
      <c r="J397" s="36" t="s">
        <v>2634</v>
      </c>
      <c r="K397" s="34" t="s">
        <v>2635</v>
      </c>
      <c r="L397" s="34" t="s">
        <v>2636</v>
      </c>
      <c r="M397" s="37" t="s">
        <v>2637</v>
      </c>
    </row>
    <row r="398" spans="1:13" ht="15.75" thickBot="1" x14ac:dyDescent="0.3">
      <c r="A398" s="28">
        <v>46001.706817129627</v>
      </c>
      <c r="B398" s="29" t="s">
        <v>953</v>
      </c>
      <c r="C398" s="29" t="s">
        <v>753</v>
      </c>
      <c r="D398" s="29" t="s">
        <v>2638</v>
      </c>
      <c r="E398" s="29" t="s">
        <v>28</v>
      </c>
      <c r="F398" s="30">
        <v>42047</v>
      </c>
      <c r="G398" s="29" t="s">
        <v>2639</v>
      </c>
      <c r="H398" s="29" t="s">
        <v>2640</v>
      </c>
      <c r="I398" s="29" t="s">
        <v>66</v>
      </c>
      <c r="J398" s="31" t="s">
        <v>2641</v>
      </c>
      <c r="K398" s="29" t="s">
        <v>1751</v>
      </c>
      <c r="L398" s="29" t="s">
        <v>2642</v>
      </c>
      <c r="M398" s="32" t="s">
        <v>2643</v>
      </c>
    </row>
    <row r="399" spans="1:13" ht="15.75" thickBot="1" x14ac:dyDescent="0.3">
      <c r="A399" s="33">
        <v>46001.70952546296</v>
      </c>
      <c r="B399" s="34" t="s">
        <v>10</v>
      </c>
      <c r="C399" s="34" t="s">
        <v>2219</v>
      </c>
      <c r="D399" s="34" t="s">
        <v>2594</v>
      </c>
      <c r="E399" s="34" t="s">
        <v>10</v>
      </c>
      <c r="F399" s="35">
        <v>42281</v>
      </c>
      <c r="G399" s="34" t="s">
        <v>2595</v>
      </c>
      <c r="H399" s="34" t="s">
        <v>2596</v>
      </c>
      <c r="I399" s="34" t="s">
        <v>2</v>
      </c>
      <c r="J399" s="36" t="s">
        <v>2644</v>
      </c>
      <c r="K399" s="34" t="s">
        <v>2598</v>
      </c>
      <c r="L399" s="34" t="s">
        <v>2645</v>
      </c>
      <c r="M399" s="37" t="s">
        <v>2646</v>
      </c>
    </row>
    <row r="400" spans="1:13" ht="15.75" thickBot="1" x14ac:dyDescent="0.3">
      <c r="A400" s="28">
        <v>46001.710231481484</v>
      </c>
      <c r="B400" s="29" t="s">
        <v>10</v>
      </c>
      <c r="C400" s="29" t="s">
        <v>2219</v>
      </c>
      <c r="D400" s="29" t="s">
        <v>2601</v>
      </c>
      <c r="E400" s="29" t="s">
        <v>204</v>
      </c>
      <c r="F400" s="30">
        <v>41917</v>
      </c>
      <c r="G400" s="29" t="s">
        <v>2647</v>
      </c>
      <c r="H400" s="29" t="s">
        <v>2648</v>
      </c>
      <c r="I400" s="29" t="s">
        <v>66</v>
      </c>
      <c r="J400" s="31" t="s">
        <v>2649</v>
      </c>
      <c r="K400" s="29" t="s">
        <v>2623</v>
      </c>
      <c r="L400" s="29" t="s">
        <v>2650</v>
      </c>
      <c r="M400" s="32" t="s">
        <v>2651</v>
      </c>
    </row>
    <row r="401" spans="1:13" ht="15.75" thickBot="1" x14ac:dyDescent="0.3">
      <c r="A401" s="33">
        <v>46001.712268518517</v>
      </c>
      <c r="B401" s="34" t="s">
        <v>10</v>
      </c>
      <c r="C401" s="34" t="s">
        <v>2219</v>
      </c>
      <c r="D401" s="34" t="s">
        <v>2652</v>
      </c>
      <c r="E401" s="34" t="s">
        <v>10</v>
      </c>
      <c r="F401" s="35">
        <v>42170</v>
      </c>
      <c r="G401" s="34" t="s">
        <v>2653</v>
      </c>
      <c r="H401" s="34" t="s">
        <v>2654</v>
      </c>
      <c r="I401" s="34" t="s">
        <v>66</v>
      </c>
      <c r="J401" s="36" t="s">
        <v>2655</v>
      </c>
      <c r="K401" s="34" t="s">
        <v>2656</v>
      </c>
      <c r="L401" s="34" t="s">
        <v>2657</v>
      </c>
      <c r="M401" s="37" t="s">
        <v>2658</v>
      </c>
    </row>
    <row r="402" spans="1:13" ht="15.75" thickBot="1" x14ac:dyDescent="0.3">
      <c r="A402" s="28">
        <v>46001.713622685187</v>
      </c>
      <c r="B402" s="29" t="s">
        <v>10</v>
      </c>
      <c r="C402" s="29" t="s">
        <v>2219</v>
      </c>
      <c r="D402" s="29" t="s">
        <v>2521</v>
      </c>
      <c r="E402" s="29" t="s">
        <v>10</v>
      </c>
      <c r="F402" s="30">
        <v>42788</v>
      </c>
      <c r="G402" s="29" t="s">
        <v>2522</v>
      </c>
      <c r="H402" s="29" t="s">
        <v>2523</v>
      </c>
      <c r="I402" s="29" t="s">
        <v>2</v>
      </c>
      <c r="J402" s="31" t="s">
        <v>2659</v>
      </c>
      <c r="K402" s="29" t="s">
        <v>2525</v>
      </c>
      <c r="L402" s="29" t="s">
        <v>2660</v>
      </c>
      <c r="M402" s="32" t="s">
        <v>2661</v>
      </c>
    </row>
    <row r="403" spans="1:13" ht="15.75" thickBot="1" x14ac:dyDescent="0.3">
      <c r="A403" s="33">
        <v>46001.715798611112</v>
      </c>
      <c r="B403" s="34" t="s">
        <v>953</v>
      </c>
      <c r="C403" s="34" t="s">
        <v>609</v>
      </c>
      <c r="D403" s="34" t="s">
        <v>2662</v>
      </c>
      <c r="E403" s="34" t="s">
        <v>10</v>
      </c>
      <c r="F403" s="35">
        <v>42501</v>
      </c>
      <c r="G403" s="34" t="s">
        <v>2663</v>
      </c>
      <c r="H403" s="34" t="s">
        <v>2664</v>
      </c>
      <c r="I403" s="34" t="s">
        <v>2</v>
      </c>
      <c r="J403" s="36" t="s">
        <v>2665</v>
      </c>
      <c r="K403" s="34" t="s">
        <v>2666</v>
      </c>
      <c r="L403" s="34" t="s">
        <v>2667</v>
      </c>
      <c r="M403" s="37" t="s">
        <v>2668</v>
      </c>
    </row>
    <row r="404" spans="1:13" ht="15.75" thickBot="1" x14ac:dyDescent="0.3">
      <c r="A404" s="28">
        <v>46001.717766203707</v>
      </c>
      <c r="B404" s="29" t="s">
        <v>10</v>
      </c>
      <c r="C404" s="29" t="s">
        <v>2219</v>
      </c>
      <c r="D404" s="29" t="s">
        <v>2594</v>
      </c>
      <c r="E404" s="29" t="s">
        <v>10</v>
      </c>
      <c r="F404" s="30">
        <v>42281</v>
      </c>
      <c r="G404" s="29" t="s">
        <v>2595</v>
      </c>
      <c r="H404" s="29" t="s">
        <v>2596</v>
      </c>
      <c r="I404" s="29" t="s">
        <v>2</v>
      </c>
      <c r="J404" s="31" t="s">
        <v>2669</v>
      </c>
      <c r="K404" s="29" t="s">
        <v>2598</v>
      </c>
      <c r="L404" s="29" t="s">
        <v>2670</v>
      </c>
      <c r="M404" s="32" t="s">
        <v>2671</v>
      </c>
    </row>
    <row r="405" spans="1:13" ht="15.75" thickBot="1" x14ac:dyDescent="0.3">
      <c r="A405" s="33">
        <v>46001.719537037039</v>
      </c>
      <c r="B405" s="34" t="s">
        <v>10</v>
      </c>
      <c r="C405" s="34" t="s">
        <v>2219</v>
      </c>
      <c r="D405" s="34" t="s">
        <v>2594</v>
      </c>
      <c r="E405" s="34" t="s">
        <v>10</v>
      </c>
      <c r="F405" s="35">
        <v>42281</v>
      </c>
      <c r="G405" s="34" t="s">
        <v>2595</v>
      </c>
      <c r="H405" s="34" t="s">
        <v>2596</v>
      </c>
      <c r="I405" s="34" t="s">
        <v>2</v>
      </c>
      <c r="J405" s="36" t="s">
        <v>2672</v>
      </c>
      <c r="K405" s="34" t="s">
        <v>2598</v>
      </c>
      <c r="L405" s="34" t="s">
        <v>2673</v>
      </c>
      <c r="M405" s="37" t="s">
        <v>2674</v>
      </c>
    </row>
    <row r="406" spans="1:13" ht="15.75" thickBot="1" x14ac:dyDescent="0.3">
      <c r="A406" s="28">
        <v>46001.721944444442</v>
      </c>
      <c r="B406" s="29" t="s">
        <v>953</v>
      </c>
      <c r="C406" s="29" t="s">
        <v>753</v>
      </c>
      <c r="D406" s="29" t="s">
        <v>2675</v>
      </c>
      <c r="E406" s="29" t="s">
        <v>28</v>
      </c>
      <c r="F406" s="30">
        <v>41991</v>
      </c>
      <c r="G406" s="29" t="s">
        <v>2676</v>
      </c>
      <c r="H406" s="29" t="s">
        <v>2677</v>
      </c>
      <c r="I406" s="29" t="s">
        <v>2</v>
      </c>
      <c r="J406" s="31" t="s">
        <v>2678</v>
      </c>
      <c r="K406" s="29" t="s">
        <v>2619</v>
      </c>
      <c r="L406" s="29" t="s">
        <v>2679</v>
      </c>
      <c r="M406" s="32" t="s">
        <v>2680</v>
      </c>
    </row>
    <row r="407" spans="1:13" ht="15.75" thickBot="1" x14ac:dyDescent="0.3">
      <c r="A407" s="33">
        <v>46001.722048611111</v>
      </c>
      <c r="B407" s="34" t="s">
        <v>10</v>
      </c>
      <c r="C407" s="34" t="s">
        <v>2219</v>
      </c>
      <c r="D407" s="34" t="s">
        <v>2681</v>
      </c>
      <c r="E407" s="34" t="s">
        <v>28</v>
      </c>
      <c r="F407" s="35">
        <v>41906</v>
      </c>
      <c r="G407" s="34" t="s">
        <v>2682</v>
      </c>
      <c r="H407" s="34" t="s">
        <v>2683</v>
      </c>
      <c r="I407" s="34" t="s">
        <v>66</v>
      </c>
      <c r="J407" s="36" t="s">
        <v>2684</v>
      </c>
      <c r="K407" s="34" t="s">
        <v>2685</v>
      </c>
      <c r="L407" s="34" t="s">
        <v>2686</v>
      </c>
      <c r="M407" s="37" t="s">
        <v>2687</v>
      </c>
    </row>
    <row r="408" spans="1:13" ht="15.75" thickBot="1" x14ac:dyDescent="0.3">
      <c r="A408" s="28">
        <v>46001.724108796298</v>
      </c>
      <c r="B408" s="29" t="s">
        <v>10</v>
      </c>
      <c r="C408" s="29" t="s">
        <v>435</v>
      </c>
      <c r="D408" s="29" t="s">
        <v>2688</v>
      </c>
      <c r="E408" s="29" t="s">
        <v>10</v>
      </c>
      <c r="F408" s="30">
        <v>41840</v>
      </c>
      <c r="G408" s="29" t="s">
        <v>2689</v>
      </c>
      <c r="H408" s="29" t="s">
        <v>2690</v>
      </c>
      <c r="I408" s="29" t="s">
        <v>2</v>
      </c>
      <c r="J408" s="31" t="s">
        <v>2691</v>
      </c>
      <c r="K408" s="29" t="s">
        <v>2692</v>
      </c>
      <c r="L408" s="29" t="s">
        <v>2693</v>
      </c>
      <c r="M408" s="32" t="s">
        <v>2694</v>
      </c>
    </row>
    <row r="409" spans="1:13" ht="15.75" thickBot="1" x14ac:dyDescent="0.3">
      <c r="A409" s="33">
        <v>46001.724340277775</v>
      </c>
      <c r="B409" s="34" t="s">
        <v>10</v>
      </c>
      <c r="C409" s="34" t="s">
        <v>2626</v>
      </c>
      <c r="D409" s="34" t="s">
        <v>2695</v>
      </c>
      <c r="E409" s="34" t="s">
        <v>10</v>
      </c>
      <c r="F409" s="35">
        <v>42563</v>
      </c>
      <c r="G409" s="34" t="s">
        <v>2696</v>
      </c>
      <c r="H409" s="34" t="s">
        <v>2697</v>
      </c>
      <c r="I409" s="34" t="s">
        <v>2</v>
      </c>
      <c r="J409" s="36" t="s">
        <v>2698</v>
      </c>
      <c r="K409" s="34" t="s">
        <v>2631</v>
      </c>
      <c r="L409" s="34" t="s">
        <v>2699</v>
      </c>
      <c r="M409" s="37" t="s">
        <v>2700</v>
      </c>
    </row>
    <row r="410" spans="1:13" ht="15.75" thickBot="1" x14ac:dyDescent="0.3">
      <c r="A410" s="28">
        <v>46001.724421296298</v>
      </c>
      <c r="B410" s="29" t="s">
        <v>10</v>
      </c>
      <c r="C410" s="29" t="s">
        <v>2219</v>
      </c>
      <c r="D410" s="29" t="s">
        <v>2701</v>
      </c>
      <c r="E410" s="29" t="s">
        <v>10</v>
      </c>
      <c r="F410" s="30">
        <v>41762</v>
      </c>
      <c r="G410" s="29" t="s">
        <v>2702</v>
      </c>
      <c r="H410" s="29" t="s">
        <v>2703</v>
      </c>
      <c r="I410" s="29" t="s">
        <v>66</v>
      </c>
      <c r="J410" s="31" t="s">
        <v>2704</v>
      </c>
      <c r="K410" s="29" t="s">
        <v>2705</v>
      </c>
      <c r="L410" s="29" t="s">
        <v>2706</v>
      </c>
      <c r="M410" s="32" t="s">
        <v>2707</v>
      </c>
    </row>
    <row r="411" spans="1:13" ht="15.75" thickBot="1" x14ac:dyDescent="0.3">
      <c r="A411" s="33">
        <v>46001.725902777776</v>
      </c>
      <c r="B411" s="34" t="s">
        <v>10</v>
      </c>
      <c r="C411" s="34" t="s">
        <v>2626</v>
      </c>
      <c r="D411" s="34" t="s">
        <v>2708</v>
      </c>
      <c r="E411" s="34" t="s">
        <v>2709</v>
      </c>
      <c r="F411" s="35">
        <v>42614</v>
      </c>
      <c r="G411" s="34" t="s">
        <v>2710</v>
      </c>
      <c r="H411" s="34" t="s">
        <v>2711</v>
      </c>
      <c r="I411" s="34" t="s">
        <v>2</v>
      </c>
      <c r="J411" s="36" t="s">
        <v>2712</v>
      </c>
      <c r="K411" s="34" t="s">
        <v>2631</v>
      </c>
      <c r="L411" s="34" t="s">
        <v>2713</v>
      </c>
      <c r="M411" s="37" t="s">
        <v>2714</v>
      </c>
    </row>
    <row r="412" spans="1:13" ht="15.75" thickBot="1" x14ac:dyDescent="0.3">
      <c r="A412" s="28">
        <v>46001.726261574076</v>
      </c>
      <c r="B412" s="29" t="s">
        <v>10</v>
      </c>
      <c r="C412" s="29" t="s">
        <v>2219</v>
      </c>
      <c r="D412" s="29" t="s">
        <v>2681</v>
      </c>
      <c r="E412" s="29" t="s">
        <v>28</v>
      </c>
      <c r="F412" s="30">
        <v>41906</v>
      </c>
      <c r="G412" s="29" t="s">
        <v>2682</v>
      </c>
      <c r="H412" s="29" t="s">
        <v>2683</v>
      </c>
      <c r="I412" s="29" t="s">
        <v>66</v>
      </c>
      <c r="J412" s="31" t="s">
        <v>2715</v>
      </c>
      <c r="K412" s="29" t="s">
        <v>2685</v>
      </c>
      <c r="L412" s="29" t="s">
        <v>2716</v>
      </c>
      <c r="M412" s="32" t="s">
        <v>2717</v>
      </c>
    </row>
    <row r="413" spans="1:13" ht="15.75" thickBot="1" x14ac:dyDescent="0.3">
      <c r="A413" s="33">
        <v>46001.728530092594</v>
      </c>
      <c r="B413" s="34" t="s">
        <v>953</v>
      </c>
      <c r="C413" s="34" t="s">
        <v>753</v>
      </c>
      <c r="D413" s="34" t="s">
        <v>2718</v>
      </c>
      <c r="E413" s="34" t="s">
        <v>28</v>
      </c>
      <c r="F413" s="35">
        <v>41868</v>
      </c>
      <c r="G413" s="34" t="s">
        <v>2719</v>
      </c>
      <c r="H413" s="34" t="s">
        <v>2720</v>
      </c>
      <c r="I413" s="34" t="s">
        <v>2</v>
      </c>
      <c r="J413" s="36" t="s">
        <v>2721</v>
      </c>
      <c r="K413" s="34" t="s">
        <v>1751</v>
      </c>
      <c r="L413" s="34" t="s">
        <v>2722</v>
      </c>
      <c r="M413" s="37" t="s">
        <v>2723</v>
      </c>
    </row>
    <row r="414" spans="1:13" ht="15.75" thickBot="1" x14ac:dyDescent="0.3">
      <c r="A414" s="28">
        <v>46001.731550925928</v>
      </c>
      <c r="B414" s="29" t="s">
        <v>10</v>
      </c>
      <c r="C414" s="29" t="s">
        <v>2219</v>
      </c>
      <c r="D414" s="29" t="s">
        <v>2538</v>
      </c>
      <c r="E414" s="29" t="s">
        <v>10</v>
      </c>
      <c r="F414" s="30">
        <v>41967</v>
      </c>
      <c r="G414" s="29" t="s">
        <v>2539</v>
      </c>
      <c r="H414" s="29" t="s">
        <v>2540</v>
      </c>
      <c r="I414" s="29" t="s">
        <v>66</v>
      </c>
      <c r="J414" s="31" t="s">
        <v>2724</v>
      </c>
      <c r="K414" s="29" t="s">
        <v>2542</v>
      </c>
      <c r="L414" s="29" t="s">
        <v>2725</v>
      </c>
      <c r="M414" s="32" t="s">
        <v>2726</v>
      </c>
    </row>
    <row r="415" spans="1:13" ht="15.75" thickBot="1" x14ac:dyDescent="0.3">
      <c r="A415" s="33">
        <v>46001.733217592591</v>
      </c>
      <c r="B415" s="34" t="s">
        <v>10</v>
      </c>
      <c r="C415" s="34" t="s">
        <v>441</v>
      </c>
      <c r="D415" s="34" t="s">
        <v>2727</v>
      </c>
      <c r="E415" s="34" t="s">
        <v>59</v>
      </c>
      <c r="F415" s="35">
        <v>42742</v>
      </c>
      <c r="G415" s="34" t="s">
        <v>2728</v>
      </c>
      <c r="H415" s="34" t="s">
        <v>2729</v>
      </c>
      <c r="I415" s="34" t="s">
        <v>2</v>
      </c>
      <c r="J415" s="36" t="s">
        <v>2730</v>
      </c>
      <c r="K415" s="34" t="s">
        <v>1383</v>
      </c>
      <c r="L415" s="34" t="s">
        <v>2731</v>
      </c>
      <c r="M415" s="37" t="s">
        <v>2732</v>
      </c>
    </row>
    <row r="416" spans="1:13" ht="15.75" thickBot="1" x14ac:dyDescent="0.3">
      <c r="A416" s="28">
        <v>46001.735162037039</v>
      </c>
      <c r="B416" s="29" t="s">
        <v>998</v>
      </c>
      <c r="C416" s="29" t="s">
        <v>2219</v>
      </c>
      <c r="D416" s="29" t="s">
        <v>2733</v>
      </c>
      <c r="E416" s="29" t="s">
        <v>10</v>
      </c>
      <c r="F416" s="30">
        <v>42192</v>
      </c>
      <c r="G416" s="29" t="s">
        <v>2734</v>
      </c>
      <c r="H416" s="29" t="s">
        <v>2735</v>
      </c>
      <c r="I416" s="29" t="s">
        <v>66</v>
      </c>
      <c r="J416" s="31" t="s">
        <v>2736</v>
      </c>
      <c r="K416" s="29" t="s">
        <v>2737</v>
      </c>
      <c r="L416" s="29" t="s">
        <v>3150</v>
      </c>
      <c r="M416" s="126"/>
    </row>
    <row r="417" spans="1:13" ht="15.75" thickBot="1" x14ac:dyDescent="0.3">
      <c r="A417" s="33">
        <v>46001.73715277778</v>
      </c>
      <c r="B417" s="34" t="s">
        <v>10</v>
      </c>
      <c r="C417" s="34" t="s">
        <v>2219</v>
      </c>
      <c r="D417" s="34" t="s">
        <v>2738</v>
      </c>
      <c r="E417" s="34" t="s">
        <v>2739</v>
      </c>
      <c r="F417" s="35">
        <v>41866</v>
      </c>
      <c r="G417" s="34" t="s">
        <v>2740</v>
      </c>
      <c r="H417" s="34" t="s">
        <v>2741</v>
      </c>
      <c r="I417" s="34" t="s">
        <v>66</v>
      </c>
      <c r="J417" s="36" t="s">
        <v>2742</v>
      </c>
      <c r="K417" s="34" t="s">
        <v>2743</v>
      </c>
      <c r="L417" s="34" t="s">
        <v>2744</v>
      </c>
      <c r="M417" s="37" t="s">
        <v>2745</v>
      </c>
    </row>
    <row r="418" spans="1:13" ht="15.75" thickBot="1" x14ac:dyDescent="0.3">
      <c r="A418" s="28">
        <v>46001.737349537034</v>
      </c>
      <c r="B418" s="29" t="s">
        <v>10</v>
      </c>
      <c r="C418" s="29" t="s">
        <v>441</v>
      </c>
      <c r="D418" s="29" t="s">
        <v>2746</v>
      </c>
      <c r="E418" s="29" t="s">
        <v>10</v>
      </c>
      <c r="F418" s="30">
        <v>42556</v>
      </c>
      <c r="G418" s="29" t="s">
        <v>2747</v>
      </c>
      <c r="H418" s="29" t="s">
        <v>2748</v>
      </c>
      <c r="I418" s="29" t="s">
        <v>66</v>
      </c>
      <c r="J418" s="31" t="s">
        <v>2749</v>
      </c>
      <c r="K418" s="29" t="s">
        <v>1383</v>
      </c>
      <c r="L418" s="29" t="s">
        <v>2750</v>
      </c>
      <c r="M418" s="32" t="s">
        <v>2751</v>
      </c>
    </row>
    <row r="419" spans="1:13" ht="15.75" thickBot="1" x14ac:dyDescent="0.3">
      <c r="A419" s="33">
        <v>46001.737627314818</v>
      </c>
      <c r="B419" s="34" t="s">
        <v>998</v>
      </c>
      <c r="C419" s="34" t="s">
        <v>2219</v>
      </c>
      <c r="D419" s="34" t="s">
        <v>2733</v>
      </c>
      <c r="E419" s="34" t="s">
        <v>28</v>
      </c>
      <c r="F419" s="35">
        <v>42192</v>
      </c>
      <c r="G419" s="34" t="s">
        <v>2734</v>
      </c>
      <c r="H419" s="34" t="s">
        <v>2735</v>
      </c>
      <c r="I419" s="34" t="s">
        <v>66</v>
      </c>
      <c r="J419" s="36" t="s">
        <v>2752</v>
      </c>
      <c r="K419" s="34" t="s">
        <v>2737</v>
      </c>
      <c r="L419" s="34" t="s">
        <v>3151</v>
      </c>
      <c r="M419" s="38"/>
    </row>
    <row r="420" spans="1:13" ht="15.75" thickBot="1" x14ac:dyDescent="0.3">
      <c r="A420" s="28">
        <v>46001.738854166666</v>
      </c>
      <c r="B420" s="29" t="s">
        <v>953</v>
      </c>
      <c r="C420" s="29" t="s">
        <v>753</v>
      </c>
      <c r="D420" s="29" t="s">
        <v>2753</v>
      </c>
      <c r="E420" s="29" t="s">
        <v>28</v>
      </c>
      <c r="F420" s="30">
        <v>41913</v>
      </c>
      <c r="G420" s="29" t="s">
        <v>2754</v>
      </c>
      <c r="H420" s="29" t="s">
        <v>2755</v>
      </c>
      <c r="I420" s="29" t="s">
        <v>2</v>
      </c>
      <c r="J420" s="31" t="s">
        <v>2756</v>
      </c>
      <c r="K420" s="29" t="s">
        <v>2619</v>
      </c>
      <c r="L420" s="29" t="s">
        <v>2757</v>
      </c>
      <c r="M420" s="32" t="s">
        <v>2758</v>
      </c>
    </row>
    <row r="421" spans="1:13" ht="15.75" thickBot="1" x14ac:dyDescent="0.3">
      <c r="A421" s="33">
        <v>46001.738969907405</v>
      </c>
      <c r="B421" s="34" t="s">
        <v>10</v>
      </c>
      <c r="C421" s="34" t="s">
        <v>2219</v>
      </c>
      <c r="D421" s="34" t="s">
        <v>2738</v>
      </c>
      <c r="E421" s="34" t="s">
        <v>2739</v>
      </c>
      <c r="F421" s="35">
        <v>41866</v>
      </c>
      <c r="G421" s="34" t="s">
        <v>2740</v>
      </c>
      <c r="H421" s="34" t="s">
        <v>2741</v>
      </c>
      <c r="I421" s="34" t="s">
        <v>66</v>
      </c>
      <c r="J421" s="36" t="s">
        <v>2759</v>
      </c>
      <c r="K421" s="34" t="s">
        <v>2743</v>
      </c>
      <c r="L421" s="34" t="s">
        <v>2760</v>
      </c>
      <c r="M421" s="37" t="s">
        <v>2761</v>
      </c>
    </row>
    <row r="422" spans="1:13" ht="15.75" thickBot="1" x14ac:dyDescent="0.3">
      <c r="A422" s="28">
        <v>46001.739976851852</v>
      </c>
      <c r="B422" s="29" t="s">
        <v>10</v>
      </c>
      <c r="C422" s="29" t="s">
        <v>441</v>
      </c>
      <c r="D422" s="29" t="s">
        <v>2762</v>
      </c>
      <c r="E422" s="29" t="s">
        <v>10</v>
      </c>
      <c r="F422" s="30">
        <v>42931</v>
      </c>
      <c r="G422" s="29" t="s">
        <v>2763</v>
      </c>
      <c r="H422" s="29" t="s">
        <v>2764</v>
      </c>
      <c r="I422" s="29" t="s">
        <v>2</v>
      </c>
      <c r="J422" s="31" t="s">
        <v>2765</v>
      </c>
      <c r="K422" s="29" t="s">
        <v>1383</v>
      </c>
      <c r="L422" s="29" t="s">
        <v>2766</v>
      </c>
      <c r="M422" s="32" t="s">
        <v>2767</v>
      </c>
    </row>
    <row r="423" spans="1:13" ht="15.75" thickBot="1" x14ac:dyDescent="0.3">
      <c r="A423" s="33">
        <v>46001.740555555552</v>
      </c>
      <c r="B423" s="34" t="s">
        <v>10</v>
      </c>
      <c r="C423" s="34" t="s">
        <v>441</v>
      </c>
      <c r="D423" s="34" t="s">
        <v>2768</v>
      </c>
      <c r="E423" s="34" t="s">
        <v>10</v>
      </c>
      <c r="F423" s="35">
        <v>42256</v>
      </c>
      <c r="G423" s="34" t="s">
        <v>2769</v>
      </c>
      <c r="H423" s="34" t="s">
        <v>2770</v>
      </c>
      <c r="I423" s="34" t="s">
        <v>2</v>
      </c>
      <c r="J423" s="36" t="s">
        <v>2771</v>
      </c>
      <c r="K423" s="34" t="s">
        <v>1383</v>
      </c>
      <c r="L423" s="34" t="s">
        <v>2772</v>
      </c>
      <c r="M423" s="37" t="s">
        <v>2773</v>
      </c>
    </row>
    <row r="424" spans="1:13" ht="15.75" thickBot="1" x14ac:dyDescent="0.3">
      <c r="A424" s="28">
        <v>46002.484409722223</v>
      </c>
      <c r="B424" s="29" t="s">
        <v>10</v>
      </c>
      <c r="C424" s="29" t="s">
        <v>441</v>
      </c>
      <c r="D424" s="29" t="s">
        <v>2768</v>
      </c>
      <c r="E424" s="29" t="s">
        <v>10</v>
      </c>
      <c r="F424" s="30">
        <v>42256</v>
      </c>
      <c r="G424" s="29" t="s">
        <v>2769</v>
      </c>
      <c r="H424" s="29" t="s">
        <v>2770</v>
      </c>
      <c r="I424" s="29" t="s">
        <v>2</v>
      </c>
      <c r="J424" s="31" t="s">
        <v>2771</v>
      </c>
      <c r="K424" s="29" t="s">
        <v>1383</v>
      </c>
      <c r="L424" s="29" t="s">
        <v>2779</v>
      </c>
      <c r="M424" s="32" t="s">
        <v>2780</v>
      </c>
    </row>
    <row r="425" spans="1:13" ht="15.75" thickBot="1" x14ac:dyDescent="0.3">
      <c r="A425" s="33">
        <v>46001.743622685186</v>
      </c>
      <c r="B425" s="34" t="s">
        <v>10</v>
      </c>
      <c r="C425" s="34" t="s">
        <v>2781</v>
      </c>
      <c r="D425" s="34" t="s">
        <v>2782</v>
      </c>
      <c r="E425" s="127">
        <v>42287</v>
      </c>
      <c r="F425" s="35">
        <v>42287</v>
      </c>
      <c r="G425" s="34" t="s">
        <v>2783</v>
      </c>
      <c r="H425" s="34" t="s">
        <v>2784</v>
      </c>
      <c r="I425" s="34" t="s">
        <v>66</v>
      </c>
      <c r="J425" s="36" t="s">
        <v>2785</v>
      </c>
      <c r="K425" s="34" t="s">
        <v>2786</v>
      </c>
      <c r="L425" s="34" t="s">
        <v>2787</v>
      </c>
      <c r="M425" s="37" t="s">
        <v>2788</v>
      </c>
    </row>
    <row r="426" spans="1:13" ht="15.75" thickBot="1" x14ac:dyDescent="0.3">
      <c r="A426" s="28">
        <v>46001.745706018519</v>
      </c>
      <c r="B426" s="29" t="s">
        <v>953</v>
      </c>
      <c r="C426" s="29" t="s">
        <v>753</v>
      </c>
      <c r="D426" s="29" t="s">
        <v>2789</v>
      </c>
      <c r="E426" s="29" t="s">
        <v>28</v>
      </c>
      <c r="F426" s="30">
        <v>41909</v>
      </c>
      <c r="G426" s="29" t="s">
        <v>2790</v>
      </c>
      <c r="H426" s="29" t="s">
        <v>2791</v>
      </c>
      <c r="I426" s="29" t="s">
        <v>2</v>
      </c>
      <c r="J426" s="31" t="s">
        <v>2792</v>
      </c>
      <c r="K426" s="29" t="s">
        <v>2619</v>
      </c>
      <c r="L426" s="29" t="s">
        <v>2793</v>
      </c>
      <c r="M426" s="32" t="s">
        <v>2794</v>
      </c>
    </row>
    <row r="427" spans="1:13" ht="15.75" thickBot="1" x14ac:dyDescent="0.3">
      <c r="A427" s="33">
        <v>46001.746759259258</v>
      </c>
      <c r="B427" s="34" t="s">
        <v>953</v>
      </c>
      <c r="C427" s="34" t="s">
        <v>753</v>
      </c>
      <c r="D427" s="34" t="s">
        <v>2795</v>
      </c>
      <c r="E427" s="34" t="s">
        <v>28</v>
      </c>
      <c r="F427" s="35">
        <v>42487</v>
      </c>
      <c r="G427" s="34" t="s">
        <v>2796</v>
      </c>
      <c r="H427" s="34" t="s">
        <v>2797</v>
      </c>
      <c r="I427" s="34" t="s">
        <v>2</v>
      </c>
      <c r="J427" s="36" t="s">
        <v>2798</v>
      </c>
      <c r="K427" s="34" t="s">
        <v>2799</v>
      </c>
      <c r="L427" s="34" t="s">
        <v>2800</v>
      </c>
      <c r="M427" s="37" t="s">
        <v>2801</v>
      </c>
    </row>
    <row r="428" spans="1:13" ht="15.75" thickBot="1" x14ac:dyDescent="0.3">
      <c r="A428" s="28">
        <v>46001.748194444444</v>
      </c>
      <c r="B428" s="29" t="s">
        <v>953</v>
      </c>
      <c r="C428" s="29" t="s">
        <v>753</v>
      </c>
      <c r="D428" s="29" t="s">
        <v>2802</v>
      </c>
      <c r="E428" s="29" t="s">
        <v>28</v>
      </c>
      <c r="F428" s="30">
        <v>41839</v>
      </c>
      <c r="G428" s="29" t="s">
        <v>2803</v>
      </c>
      <c r="H428" s="29" t="s">
        <v>2804</v>
      </c>
      <c r="I428" s="29" t="s">
        <v>2</v>
      </c>
      <c r="J428" s="31" t="s">
        <v>2805</v>
      </c>
      <c r="K428" s="29" t="s">
        <v>2799</v>
      </c>
      <c r="L428" s="29" t="s">
        <v>2806</v>
      </c>
      <c r="M428" s="32" t="s">
        <v>2807</v>
      </c>
    </row>
    <row r="429" spans="1:13" ht="15.75" thickBot="1" x14ac:dyDescent="0.3">
      <c r="A429" s="33">
        <v>46001.752442129633</v>
      </c>
      <c r="B429" s="34" t="s">
        <v>953</v>
      </c>
      <c r="C429" s="34" t="s">
        <v>753</v>
      </c>
      <c r="D429" s="34" t="s">
        <v>2808</v>
      </c>
      <c r="E429" s="34" t="s">
        <v>28</v>
      </c>
      <c r="F429" s="35">
        <v>42173</v>
      </c>
      <c r="G429" s="34" t="s">
        <v>2809</v>
      </c>
      <c r="H429" s="34" t="s">
        <v>2810</v>
      </c>
      <c r="I429" s="34" t="s">
        <v>2</v>
      </c>
      <c r="J429" s="36" t="s">
        <v>2811</v>
      </c>
      <c r="K429" s="34" t="s">
        <v>2619</v>
      </c>
      <c r="L429" s="34" t="s">
        <v>2812</v>
      </c>
      <c r="M429" s="37" t="s">
        <v>2813</v>
      </c>
    </row>
    <row r="430" spans="1:13" ht="15.75" thickBot="1" x14ac:dyDescent="0.3">
      <c r="A430" s="28">
        <v>46001.764884259261</v>
      </c>
      <c r="B430" s="29" t="s">
        <v>953</v>
      </c>
      <c r="C430" s="29" t="s">
        <v>725</v>
      </c>
      <c r="D430" s="29" t="s">
        <v>2814</v>
      </c>
      <c r="E430" s="29" t="s">
        <v>10</v>
      </c>
      <c r="F430" s="30">
        <v>41824</v>
      </c>
      <c r="G430" s="29" t="s">
        <v>2185</v>
      </c>
      <c r="H430" s="29" t="s">
        <v>2186</v>
      </c>
      <c r="I430" s="29" t="s">
        <v>2</v>
      </c>
      <c r="J430" s="31" t="s">
        <v>2815</v>
      </c>
      <c r="K430" s="29" t="s">
        <v>1740</v>
      </c>
      <c r="L430" s="29" t="s">
        <v>2816</v>
      </c>
      <c r="M430" s="32" t="s">
        <v>2817</v>
      </c>
    </row>
    <row r="431" spans="1:13" ht="15.75" thickBot="1" x14ac:dyDescent="0.3">
      <c r="A431" s="33">
        <v>46001.77065972222</v>
      </c>
      <c r="B431" s="34" t="s">
        <v>953</v>
      </c>
      <c r="C431" s="34" t="s">
        <v>725</v>
      </c>
      <c r="D431" s="34" t="s">
        <v>744</v>
      </c>
      <c r="E431" s="34" t="s">
        <v>10</v>
      </c>
      <c r="F431" s="35">
        <v>41824</v>
      </c>
      <c r="G431" s="34" t="s">
        <v>2185</v>
      </c>
      <c r="H431" s="34" t="s">
        <v>2186</v>
      </c>
      <c r="I431" s="34" t="s">
        <v>2</v>
      </c>
      <c r="J431" s="36" t="s">
        <v>2822</v>
      </c>
      <c r="K431" s="34" t="s">
        <v>1740</v>
      </c>
      <c r="L431" s="34" t="s">
        <v>2823</v>
      </c>
      <c r="M431" s="37" t="s">
        <v>2824</v>
      </c>
    </row>
    <row r="432" spans="1:13" ht="15.75" thickBot="1" x14ac:dyDescent="0.3">
      <c r="A432" s="28">
        <v>46001.772407407407</v>
      </c>
      <c r="B432" s="29" t="s">
        <v>953</v>
      </c>
      <c r="C432" s="29" t="s">
        <v>725</v>
      </c>
      <c r="D432" s="29" t="s">
        <v>2818</v>
      </c>
      <c r="E432" s="29" t="s">
        <v>10</v>
      </c>
      <c r="F432" s="30">
        <v>41814</v>
      </c>
      <c r="G432" s="29" t="s">
        <v>2775</v>
      </c>
      <c r="H432" s="29" t="s">
        <v>2776</v>
      </c>
      <c r="I432" s="29" t="s">
        <v>2</v>
      </c>
      <c r="J432" s="31" t="s">
        <v>2819</v>
      </c>
      <c r="K432" s="29" t="s">
        <v>2778</v>
      </c>
      <c r="L432" s="29" t="s">
        <v>2820</v>
      </c>
      <c r="M432" s="32" t="s">
        <v>2821</v>
      </c>
    </row>
    <row r="433" spans="1:13" ht="15.75" thickBot="1" x14ac:dyDescent="0.3">
      <c r="A433" s="33">
        <v>46001.772291666668</v>
      </c>
      <c r="B433" s="34" t="s">
        <v>10</v>
      </c>
      <c r="C433" s="34" t="s">
        <v>2219</v>
      </c>
      <c r="D433" s="34" t="s">
        <v>2825</v>
      </c>
      <c r="E433" s="34" t="s">
        <v>315</v>
      </c>
      <c r="F433" s="35">
        <v>41394</v>
      </c>
      <c r="G433" s="34" t="s">
        <v>2826</v>
      </c>
      <c r="H433" s="34" t="s">
        <v>2827</v>
      </c>
      <c r="I433" s="34" t="s">
        <v>2</v>
      </c>
      <c r="J433" s="36" t="s">
        <v>2828</v>
      </c>
      <c r="K433" s="34" t="s">
        <v>2829</v>
      </c>
      <c r="L433" s="34" t="s">
        <v>2830</v>
      </c>
      <c r="M433" s="37" t="s">
        <v>2831</v>
      </c>
    </row>
    <row r="434" spans="1:13" ht="15.75" thickBot="1" x14ac:dyDescent="0.3">
      <c r="A434" s="28">
        <v>46001.781736111108</v>
      </c>
      <c r="B434" s="29" t="s">
        <v>10</v>
      </c>
      <c r="C434" s="29" t="s">
        <v>2008</v>
      </c>
      <c r="D434" s="29" t="s">
        <v>2832</v>
      </c>
      <c r="E434" s="29" t="s">
        <v>28</v>
      </c>
      <c r="F434" s="30">
        <v>41818</v>
      </c>
      <c r="G434" s="29" t="s">
        <v>2833</v>
      </c>
      <c r="H434" s="29" t="s">
        <v>194</v>
      </c>
      <c r="I434" s="29" t="s">
        <v>66</v>
      </c>
      <c r="J434" s="31" t="s">
        <v>2834</v>
      </c>
      <c r="K434" s="29" t="s">
        <v>2013</v>
      </c>
      <c r="L434" s="29" t="s">
        <v>2835</v>
      </c>
      <c r="M434" s="32" t="s">
        <v>2836</v>
      </c>
    </row>
    <row r="435" spans="1:13" ht="15.75" thickBot="1" x14ac:dyDescent="0.3">
      <c r="A435" s="33">
        <v>46001.79478009259</v>
      </c>
      <c r="B435" s="34" t="s">
        <v>10</v>
      </c>
      <c r="C435" s="34" t="s">
        <v>2008</v>
      </c>
      <c r="D435" s="34" t="s">
        <v>2837</v>
      </c>
      <c r="E435" s="34" t="s">
        <v>28</v>
      </c>
      <c r="F435" s="35">
        <v>41926</v>
      </c>
      <c r="G435" s="34" t="s">
        <v>2838</v>
      </c>
      <c r="H435" s="34" t="s">
        <v>2839</v>
      </c>
      <c r="I435" s="34" t="s">
        <v>2</v>
      </c>
      <c r="J435" s="36" t="s">
        <v>2840</v>
      </c>
      <c r="K435" s="34" t="s">
        <v>2013</v>
      </c>
      <c r="L435" s="34" t="s">
        <v>2841</v>
      </c>
      <c r="M435" s="37" t="s">
        <v>2842</v>
      </c>
    </row>
    <row r="436" spans="1:13" ht="15.75" thickBot="1" x14ac:dyDescent="0.3">
      <c r="A436" s="28">
        <v>46001.802997685183</v>
      </c>
      <c r="B436" s="29" t="s">
        <v>10</v>
      </c>
      <c r="C436" s="29" t="s">
        <v>2008</v>
      </c>
      <c r="D436" s="29" t="s">
        <v>2850</v>
      </c>
      <c r="E436" s="29" t="s">
        <v>28</v>
      </c>
      <c r="F436" s="30">
        <v>42537</v>
      </c>
      <c r="G436" s="29" t="s">
        <v>2851</v>
      </c>
      <c r="H436" s="29" t="s">
        <v>2852</v>
      </c>
      <c r="I436" s="29" t="s">
        <v>66</v>
      </c>
      <c r="J436" s="31" t="s">
        <v>2853</v>
      </c>
      <c r="K436" s="29" t="s">
        <v>2013</v>
      </c>
      <c r="L436" s="29" t="s">
        <v>2854</v>
      </c>
      <c r="M436" s="32" t="s">
        <v>2855</v>
      </c>
    </row>
    <row r="437" spans="1:13" ht="15.75" thickBot="1" x14ac:dyDescent="0.3">
      <c r="A437" s="33">
        <v>46001.815567129626</v>
      </c>
      <c r="B437" s="34" t="s">
        <v>10</v>
      </c>
      <c r="C437" s="34" t="s">
        <v>435</v>
      </c>
      <c r="D437" s="34" t="s">
        <v>2843</v>
      </c>
      <c r="E437" s="34" t="s">
        <v>116</v>
      </c>
      <c r="F437" s="35">
        <v>42040</v>
      </c>
      <c r="G437" s="34" t="s">
        <v>2844</v>
      </c>
      <c r="H437" s="34" t="s">
        <v>2845</v>
      </c>
      <c r="I437" s="34" t="s">
        <v>2</v>
      </c>
      <c r="J437" s="36" t="s">
        <v>2863</v>
      </c>
      <c r="K437" s="34" t="s">
        <v>2847</v>
      </c>
      <c r="L437" s="34" t="s">
        <v>2864</v>
      </c>
      <c r="M437" s="37" t="s">
        <v>2865</v>
      </c>
    </row>
    <row r="438" spans="1:13" ht="15.75" thickBot="1" x14ac:dyDescent="0.3">
      <c r="A438" s="28">
        <v>46001.811192129629</v>
      </c>
      <c r="B438" s="29" t="s">
        <v>10</v>
      </c>
      <c r="C438" s="29" t="s">
        <v>435</v>
      </c>
      <c r="D438" s="29" t="s">
        <v>2843</v>
      </c>
      <c r="E438" s="29" t="s">
        <v>116</v>
      </c>
      <c r="F438" s="30">
        <v>42040</v>
      </c>
      <c r="G438" s="29" t="s">
        <v>2844</v>
      </c>
      <c r="H438" s="29" t="s">
        <v>2845</v>
      </c>
      <c r="I438" s="29" t="s">
        <v>2</v>
      </c>
      <c r="J438" s="31" t="s">
        <v>2846</v>
      </c>
      <c r="K438" s="29" t="s">
        <v>2847</v>
      </c>
      <c r="L438" s="29" t="s">
        <v>2848</v>
      </c>
      <c r="M438" s="32" t="s">
        <v>2849</v>
      </c>
    </row>
    <row r="439" spans="1:13" ht="15.75" thickBot="1" x14ac:dyDescent="0.3">
      <c r="A439" s="33">
        <v>46001.825578703705</v>
      </c>
      <c r="B439" s="34" t="s">
        <v>953</v>
      </c>
      <c r="C439" s="34" t="s">
        <v>725</v>
      </c>
      <c r="D439" s="34" t="s">
        <v>2866</v>
      </c>
      <c r="E439" s="34" t="s">
        <v>28</v>
      </c>
      <c r="F439" s="35">
        <v>41741</v>
      </c>
      <c r="G439" s="34" t="s">
        <v>2867</v>
      </c>
      <c r="H439" s="34" t="s">
        <v>2868</v>
      </c>
      <c r="I439" s="34" t="s">
        <v>2</v>
      </c>
      <c r="J439" s="36" t="s">
        <v>2869</v>
      </c>
      <c r="K439" s="34" t="s">
        <v>2870</v>
      </c>
      <c r="L439" s="34" t="s">
        <v>2871</v>
      </c>
      <c r="M439" s="37" t="s">
        <v>2872</v>
      </c>
    </row>
    <row r="440" spans="1:13" ht="15.75" thickBot="1" x14ac:dyDescent="0.3">
      <c r="A440" s="28">
        <v>46001.814513888887</v>
      </c>
      <c r="B440" s="29" t="s">
        <v>10</v>
      </c>
      <c r="C440" s="29" t="s">
        <v>435</v>
      </c>
      <c r="D440" s="29" t="s">
        <v>2843</v>
      </c>
      <c r="E440" s="29" t="s">
        <v>116</v>
      </c>
      <c r="F440" s="30">
        <v>42040</v>
      </c>
      <c r="G440" s="29" t="s">
        <v>2844</v>
      </c>
      <c r="H440" s="29" t="s">
        <v>2845</v>
      </c>
      <c r="I440" s="29" t="s">
        <v>2</v>
      </c>
      <c r="J440" s="31" t="s">
        <v>2873</v>
      </c>
      <c r="K440" s="29" t="s">
        <v>2874</v>
      </c>
      <c r="L440" s="29" t="s">
        <v>2875</v>
      </c>
      <c r="M440" s="32" t="s">
        <v>2876</v>
      </c>
    </row>
    <row r="441" spans="1:13" ht="15.75" thickBot="1" x14ac:dyDescent="0.3">
      <c r="A441" s="33">
        <v>46001.81621527778</v>
      </c>
      <c r="B441" s="34" t="s">
        <v>10</v>
      </c>
      <c r="C441" s="34" t="s">
        <v>435</v>
      </c>
      <c r="D441" s="34" t="s">
        <v>2856</v>
      </c>
      <c r="E441" s="34" t="s">
        <v>402</v>
      </c>
      <c r="F441" s="35">
        <v>42344</v>
      </c>
      <c r="G441" s="34" t="s">
        <v>2857</v>
      </c>
      <c r="H441" s="34" t="s">
        <v>2858</v>
      </c>
      <c r="I441" s="34" t="s">
        <v>2</v>
      </c>
      <c r="J441" s="36" t="s">
        <v>2859</v>
      </c>
      <c r="K441" s="34" t="s">
        <v>2860</v>
      </c>
      <c r="L441" s="34" t="s">
        <v>2861</v>
      </c>
      <c r="M441" s="37" t="s">
        <v>2862</v>
      </c>
    </row>
    <row r="442" spans="1:13" ht="15.75" thickBot="1" x14ac:dyDescent="0.3">
      <c r="A442" s="28">
        <v>46001.822812500002</v>
      </c>
      <c r="B442" s="29" t="s">
        <v>10</v>
      </c>
      <c r="C442" s="29" t="s">
        <v>435</v>
      </c>
      <c r="D442" s="29" t="s">
        <v>2843</v>
      </c>
      <c r="E442" s="29" t="s">
        <v>116</v>
      </c>
      <c r="F442" s="30">
        <v>42040</v>
      </c>
      <c r="G442" s="29" t="s">
        <v>2844</v>
      </c>
      <c r="H442" s="29" t="s">
        <v>2845</v>
      </c>
      <c r="I442" s="29" t="s">
        <v>2</v>
      </c>
      <c r="J442" s="31" t="s">
        <v>2877</v>
      </c>
      <c r="K442" s="29" t="s">
        <v>2874</v>
      </c>
      <c r="L442" s="29" t="s">
        <v>2878</v>
      </c>
      <c r="M442" s="32" t="s">
        <v>2879</v>
      </c>
    </row>
    <row r="443" spans="1:13" ht="15.75" thickBot="1" x14ac:dyDescent="0.3">
      <c r="A443" s="33">
        <v>46001.826249999998</v>
      </c>
      <c r="B443" s="34" t="s">
        <v>10</v>
      </c>
      <c r="C443" s="34" t="s">
        <v>2880</v>
      </c>
      <c r="D443" s="34" t="s">
        <v>2881</v>
      </c>
      <c r="E443" s="34" t="s">
        <v>365</v>
      </c>
      <c r="F443" s="35">
        <v>42709</v>
      </c>
      <c r="G443" s="34" t="s">
        <v>2882</v>
      </c>
      <c r="H443" s="34" t="s">
        <v>2883</v>
      </c>
      <c r="I443" s="34" t="s">
        <v>2</v>
      </c>
      <c r="J443" s="36" t="s">
        <v>2884</v>
      </c>
      <c r="K443" s="34" t="s">
        <v>2013</v>
      </c>
      <c r="L443" s="34" t="s">
        <v>2885</v>
      </c>
      <c r="M443" s="37" t="s">
        <v>2886</v>
      </c>
    </row>
    <row r="444" spans="1:13" ht="15.75" thickBot="1" x14ac:dyDescent="0.3">
      <c r="A444" s="28">
        <v>46001.829861111109</v>
      </c>
      <c r="B444" s="29" t="s">
        <v>10</v>
      </c>
      <c r="C444" s="29" t="s">
        <v>2008</v>
      </c>
      <c r="D444" s="29" t="s">
        <v>2009</v>
      </c>
      <c r="E444" s="29" t="s">
        <v>28</v>
      </c>
      <c r="F444" s="30">
        <v>42131</v>
      </c>
      <c r="G444" s="29" t="s">
        <v>2010</v>
      </c>
      <c r="H444" s="29" t="s">
        <v>2011</v>
      </c>
      <c r="I444" s="29" t="s">
        <v>2</v>
      </c>
      <c r="J444" s="31" t="s">
        <v>2887</v>
      </c>
      <c r="K444" s="29" t="s">
        <v>2013</v>
      </c>
      <c r="L444" s="29" t="s">
        <v>2888</v>
      </c>
      <c r="M444" s="32" t="s">
        <v>2889</v>
      </c>
    </row>
    <row r="445" spans="1:13" ht="15.75" thickBot="1" x14ac:dyDescent="0.3">
      <c r="A445" s="33">
        <v>46001.832245370373</v>
      </c>
      <c r="B445" s="34" t="s">
        <v>10</v>
      </c>
      <c r="C445" s="34" t="s">
        <v>435</v>
      </c>
      <c r="D445" s="34" t="s">
        <v>2890</v>
      </c>
      <c r="E445" s="34" t="s">
        <v>10</v>
      </c>
      <c r="F445" s="35">
        <v>42313</v>
      </c>
      <c r="G445" s="34" t="s">
        <v>2891</v>
      </c>
      <c r="H445" s="34" t="s">
        <v>2892</v>
      </c>
      <c r="I445" s="34" t="s">
        <v>66</v>
      </c>
      <c r="J445" s="36" t="s">
        <v>2893</v>
      </c>
      <c r="K445" s="34" t="s">
        <v>2894</v>
      </c>
      <c r="L445" s="34" t="s">
        <v>2895</v>
      </c>
      <c r="M445" s="37" t="s">
        <v>2896</v>
      </c>
    </row>
    <row r="446" spans="1:13" ht="15.75" thickBot="1" x14ac:dyDescent="0.3">
      <c r="A446" s="28">
        <v>46001.835046296299</v>
      </c>
      <c r="B446" s="29" t="s">
        <v>10</v>
      </c>
      <c r="C446" s="29" t="s">
        <v>435</v>
      </c>
      <c r="D446" s="29" t="s">
        <v>2843</v>
      </c>
      <c r="E446" s="29" t="s">
        <v>116</v>
      </c>
      <c r="F446" s="30">
        <v>42040</v>
      </c>
      <c r="G446" s="29" t="s">
        <v>2844</v>
      </c>
      <c r="H446" s="29" t="s">
        <v>2845</v>
      </c>
      <c r="I446" s="29" t="s">
        <v>2</v>
      </c>
      <c r="J446" s="31" t="s">
        <v>2897</v>
      </c>
      <c r="K446" s="29" t="s">
        <v>2898</v>
      </c>
      <c r="L446" s="29" t="s">
        <v>2899</v>
      </c>
      <c r="M446" s="32" t="s">
        <v>2900</v>
      </c>
    </row>
    <row r="447" spans="1:13" ht="15.75" thickBot="1" x14ac:dyDescent="0.3">
      <c r="A447" s="33">
        <v>46001.835127314815</v>
      </c>
      <c r="B447" s="34" t="s">
        <v>10</v>
      </c>
      <c r="C447" s="34" t="s">
        <v>435</v>
      </c>
      <c r="D447" s="34" t="s">
        <v>2890</v>
      </c>
      <c r="E447" s="34" t="s">
        <v>10</v>
      </c>
      <c r="F447" s="35">
        <v>42313</v>
      </c>
      <c r="G447" s="34" t="s">
        <v>2891</v>
      </c>
      <c r="H447" s="34" t="s">
        <v>2892</v>
      </c>
      <c r="I447" s="34" t="s">
        <v>66</v>
      </c>
      <c r="J447" s="36" t="s">
        <v>2901</v>
      </c>
      <c r="K447" s="34" t="s">
        <v>2894</v>
      </c>
      <c r="L447" s="34" t="s">
        <v>2902</v>
      </c>
      <c r="M447" s="37" t="s">
        <v>2903</v>
      </c>
    </row>
    <row r="448" spans="1:13" ht="15.75" thickBot="1" x14ac:dyDescent="0.3">
      <c r="A448" s="28">
        <v>46001.836400462962</v>
      </c>
      <c r="B448" s="29" t="s">
        <v>1317</v>
      </c>
      <c r="C448" s="29" t="s">
        <v>854</v>
      </c>
      <c r="D448" s="29" t="s">
        <v>2904</v>
      </c>
      <c r="E448" s="29" t="s">
        <v>116</v>
      </c>
      <c r="F448" s="30">
        <v>42171</v>
      </c>
      <c r="G448" s="29" t="s">
        <v>2905</v>
      </c>
      <c r="H448" s="29" t="s">
        <v>2906</v>
      </c>
      <c r="I448" s="29" t="s">
        <v>2</v>
      </c>
      <c r="J448" s="31" t="s">
        <v>2907</v>
      </c>
      <c r="K448" s="29" t="s">
        <v>2908</v>
      </c>
      <c r="L448" s="29" t="s">
        <v>3113</v>
      </c>
      <c r="M448" s="126"/>
    </row>
    <row r="449" spans="1:13" ht="15.75" thickBot="1" x14ac:dyDescent="0.3">
      <c r="A449" s="33">
        <v>46001.841666666667</v>
      </c>
      <c r="B449" s="34" t="s">
        <v>10</v>
      </c>
      <c r="C449" s="34" t="s">
        <v>435</v>
      </c>
      <c r="D449" s="34" t="s">
        <v>2843</v>
      </c>
      <c r="E449" s="34" t="s">
        <v>116</v>
      </c>
      <c r="F449" s="35">
        <v>42040</v>
      </c>
      <c r="G449" s="34" t="s">
        <v>2844</v>
      </c>
      <c r="H449" s="34" t="s">
        <v>2845</v>
      </c>
      <c r="I449" s="34" t="s">
        <v>2</v>
      </c>
      <c r="J449" s="36" t="s">
        <v>2909</v>
      </c>
      <c r="K449" s="34" t="s">
        <v>2898</v>
      </c>
      <c r="L449" s="34" t="s">
        <v>2910</v>
      </c>
      <c r="M449" s="37" t="s">
        <v>2911</v>
      </c>
    </row>
    <row r="450" spans="1:13" ht="15.75" thickBot="1" x14ac:dyDescent="0.3">
      <c r="A450" s="28">
        <v>46001.841921296298</v>
      </c>
      <c r="B450" s="29" t="s">
        <v>10</v>
      </c>
      <c r="C450" s="29" t="s">
        <v>435</v>
      </c>
      <c r="D450" s="29" t="s">
        <v>2890</v>
      </c>
      <c r="E450" s="29" t="s">
        <v>10</v>
      </c>
      <c r="F450" s="30">
        <v>42313</v>
      </c>
      <c r="G450" s="29" t="s">
        <v>2891</v>
      </c>
      <c r="H450" s="29" t="s">
        <v>2892</v>
      </c>
      <c r="I450" s="29" t="s">
        <v>66</v>
      </c>
      <c r="J450" s="31" t="s">
        <v>2912</v>
      </c>
      <c r="K450" s="29" t="s">
        <v>2894</v>
      </c>
      <c r="L450" s="29" t="s">
        <v>2913</v>
      </c>
      <c r="M450" s="32" t="s">
        <v>2914</v>
      </c>
    </row>
    <row r="451" spans="1:13" ht="15.75" thickBot="1" x14ac:dyDescent="0.3">
      <c r="A451" s="33">
        <v>46001.841967592591</v>
      </c>
      <c r="B451" s="34" t="s">
        <v>1317</v>
      </c>
      <c r="C451" s="34" t="s">
        <v>511</v>
      </c>
      <c r="D451" s="34" t="s">
        <v>1459</v>
      </c>
      <c r="E451" s="34" t="s">
        <v>1255</v>
      </c>
      <c r="F451" s="35">
        <v>41734</v>
      </c>
      <c r="G451" s="34" t="s">
        <v>1460</v>
      </c>
      <c r="H451" s="34" t="s">
        <v>1461</v>
      </c>
      <c r="I451" s="34" t="s">
        <v>66</v>
      </c>
      <c r="J451" s="36" t="s">
        <v>1462</v>
      </c>
      <c r="K451" s="34" t="s">
        <v>1463</v>
      </c>
      <c r="L451" s="34" t="s">
        <v>3054</v>
      </c>
      <c r="M451" s="38"/>
    </row>
    <row r="452" spans="1:13" ht="15.75" thickBot="1" x14ac:dyDescent="0.3">
      <c r="A452" s="28">
        <v>46001.852106481485</v>
      </c>
      <c r="B452" s="29" t="s">
        <v>1317</v>
      </c>
      <c r="C452" s="29" t="s">
        <v>511</v>
      </c>
      <c r="D452" s="29" t="s">
        <v>1843</v>
      </c>
      <c r="E452" s="29" t="s">
        <v>116</v>
      </c>
      <c r="F452" s="30">
        <v>41770</v>
      </c>
      <c r="G452" s="29" t="s">
        <v>1844</v>
      </c>
      <c r="H452" s="29" t="s">
        <v>2915</v>
      </c>
      <c r="I452" s="29" t="s">
        <v>2</v>
      </c>
      <c r="J452" s="31" t="s">
        <v>2916</v>
      </c>
      <c r="K452" s="29" t="s">
        <v>2917</v>
      </c>
      <c r="L452" s="29" t="s">
        <v>3114</v>
      </c>
      <c r="M452" s="126"/>
    </row>
    <row r="453" spans="1:13" ht="15.75" thickBot="1" x14ac:dyDescent="0.3">
      <c r="A453" s="33">
        <v>46001.859305555554</v>
      </c>
      <c r="B453" s="34" t="s">
        <v>1317</v>
      </c>
      <c r="C453" s="34" t="s">
        <v>854</v>
      </c>
      <c r="D453" s="34" t="s">
        <v>2918</v>
      </c>
      <c r="E453" s="34" t="s">
        <v>10</v>
      </c>
      <c r="F453" s="35">
        <v>42187</v>
      </c>
      <c r="G453" s="34" t="s">
        <v>2919</v>
      </c>
      <c r="H453" s="34" t="s">
        <v>2920</v>
      </c>
      <c r="I453" s="34" t="s">
        <v>66</v>
      </c>
      <c r="J453" s="36" t="s">
        <v>2921</v>
      </c>
      <c r="K453" s="34" t="s">
        <v>2922</v>
      </c>
      <c r="L453" s="34" t="s">
        <v>3115</v>
      </c>
      <c r="M453" s="38"/>
    </row>
    <row r="454" spans="1:13" ht="15.75" thickBot="1" x14ac:dyDescent="0.3">
      <c r="A454" s="28">
        <v>46001.869039351855</v>
      </c>
      <c r="B454" s="29" t="s">
        <v>953</v>
      </c>
      <c r="C454" s="29" t="s">
        <v>2923</v>
      </c>
      <c r="D454" s="29" t="s">
        <v>2924</v>
      </c>
      <c r="E454" s="29" t="s">
        <v>28</v>
      </c>
      <c r="F454" s="30">
        <v>41783</v>
      </c>
      <c r="G454" s="29" t="s">
        <v>2925</v>
      </c>
      <c r="H454" s="29" t="s">
        <v>2926</v>
      </c>
      <c r="I454" s="29" t="s">
        <v>2</v>
      </c>
      <c r="J454" s="31" t="s">
        <v>2927</v>
      </c>
      <c r="K454" s="29" t="s">
        <v>2928</v>
      </c>
      <c r="L454" s="29" t="s">
        <v>2929</v>
      </c>
      <c r="M454" s="32" t="s">
        <v>2930</v>
      </c>
    </row>
    <row r="455" spans="1:13" ht="15.75" thickBot="1" x14ac:dyDescent="0.3">
      <c r="A455" s="33">
        <v>46001.87296296296</v>
      </c>
      <c r="B455" s="34" t="s">
        <v>953</v>
      </c>
      <c r="C455" s="34" t="s">
        <v>2923</v>
      </c>
      <c r="D455" s="34" t="s">
        <v>2931</v>
      </c>
      <c r="E455" s="34" t="s">
        <v>28</v>
      </c>
      <c r="F455" s="35">
        <v>42162</v>
      </c>
      <c r="G455" s="34" t="s">
        <v>2932</v>
      </c>
      <c r="H455" s="34" t="s">
        <v>2933</v>
      </c>
      <c r="I455" s="34" t="s">
        <v>2</v>
      </c>
      <c r="J455" s="36" t="s">
        <v>2934</v>
      </c>
      <c r="K455" s="34" t="s">
        <v>2928</v>
      </c>
      <c r="L455" s="34" t="s">
        <v>2935</v>
      </c>
      <c r="M455" s="37" t="s">
        <v>2936</v>
      </c>
    </row>
    <row r="456" spans="1:13" ht="15.75" thickBot="1" x14ac:dyDescent="0.3">
      <c r="A456" s="28">
        <v>46001.876886574071</v>
      </c>
      <c r="B456" s="29" t="s">
        <v>953</v>
      </c>
      <c r="C456" s="29" t="s">
        <v>2923</v>
      </c>
      <c r="D456" s="29" t="s">
        <v>2937</v>
      </c>
      <c r="E456" s="29" t="s">
        <v>28</v>
      </c>
      <c r="F456" s="30">
        <v>42014</v>
      </c>
      <c r="G456" s="29" t="s">
        <v>2938</v>
      </c>
      <c r="H456" s="29" t="s">
        <v>2939</v>
      </c>
      <c r="I456" s="29" t="s">
        <v>2</v>
      </c>
      <c r="J456" s="31" t="s">
        <v>2940</v>
      </c>
      <c r="K456" s="29" t="s">
        <v>2941</v>
      </c>
      <c r="L456" s="29" t="s">
        <v>2942</v>
      </c>
      <c r="M456" s="32" t="s">
        <v>2943</v>
      </c>
    </row>
    <row r="457" spans="1:13" ht="15.75" thickBot="1" x14ac:dyDescent="0.3">
      <c r="A457" s="33">
        <v>46001.880648148152</v>
      </c>
      <c r="B457" s="34" t="s">
        <v>953</v>
      </c>
      <c r="C457" s="34" t="s">
        <v>2923</v>
      </c>
      <c r="D457" s="34" t="s">
        <v>2944</v>
      </c>
      <c r="E457" s="34" t="s">
        <v>28</v>
      </c>
      <c r="F457" s="35">
        <v>41225</v>
      </c>
      <c r="G457" s="34" t="s">
        <v>2945</v>
      </c>
      <c r="H457" s="34" t="s">
        <v>2946</v>
      </c>
      <c r="I457" s="34" t="s">
        <v>2</v>
      </c>
      <c r="J457" s="36" t="s">
        <v>2947</v>
      </c>
      <c r="K457" s="34" t="s">
        <v>2941</v>
      </c>
      <c r="L457" s="34" t="s">
        <v>2948</v>
      </c>
      <c r="M457" s="37" t="s">
        <v>2949</v>
      </c>
    </row>
    <row r="458" spans="1:13" ht="15.75" thickBot="1" x14ac:dyDescent="0.3">
      <c r="A458" s="28">
        <v>46001.882905092592</v>
      </c>
      <c r="B458" s="29" t="s">
        <v>953</v>
      </c>
      <c r="C458" s="29" t="s">
        <v>2923</v>
      </c>
      <c r="D458" s="29" t="s">
        <v>2950</v>
      </c>
      <c r="E458" s="29" t="s">
        <v>28</v>
      </c>
      <c r="F458" s="30">
        <v>41623</v>
      </c>
      <c r="G458" s="29" t="s">
        <v>2951</v>
      </c>
      <c r="H458" s="29" t="s">
        <v>2952</v>
      </c>
      <c r="I458" s="29" t="s">
        <v>2</v>
      </c>
      <c r="J458" s="31" t="s">
        <v>2953</v>
      </c>
      <c r="K458" s="29" t="s">
        <v>2941</v>
      </c>
      <c r="L458" s="29" t="s">
        <v>2954</v>
      </c>
      <c r="M458" s="32" t="s">
        <v>2955</v>
      </c>
    </row>
    <row r="459" spans="1:13" ht="15.75" thickBot="1" x14ac:dyDescent="0.3">
      <c r="A459" s="33">
        <v>46001.887673611112</v>
      </c>
      <c r="B459" s="34" t="s">
        <v>953</v>
      </c>
      <c r="C459" s="34" t="s">
        <v>2923</v>
      </c>
      <c r="D459" s="34" t="s">
        <v>2956</v>
      </c>
      <c r="E459" s="34" t="s">
        <v>28</v>
      </c>
      <c r="F459" s="35">
        <v>42439</v>
      </c>
      <c r="G459" s="34" t="s">
        <v>2957</v>
      </c>
      <c r="H459" s="34" t="s">
        <v>2958</v>
      </c>
      <c r="I459" s="34" t="s">
        <v>2</v>
      </c>
      <c r="J459" s="36" t="s">
        <v>2959</v>
      </c>
      <c r="K459" s="34" t="s">
        <v>2941</v>
      </c>
      <c r="L459" s="34" t="s">
        <v>2960</v>
      </c>
      <c r="M459" s="37" t="s">
        <v>2961</v>
      </c>
    </row>
    <row r="460" spans="1:13" ht="15.75" thickBot="1" x14ac:dyDescent="0.3">
      <c r="A460" s="28">
        <v>46001.890069444446</v>
      </c>
      <c r="B460" s="29" t="s">
        <v>953</v>
      </c>
      <c r="C460" s="29" t="s">
        <v>2923</v>
      </c>
      <c r="D460" s="29" t="s">
        <v>2962</v>
      </c>
      <c r="E460" s="29" t="s">
        <v>28</v>
      </c>
      <c r="F460" s="30">
        <v>41460</v>
      </c>
      <c r="G460" s="29" t="s">
        <v>2963</v>
      </c>
      <c r="H460" s="29" t="s">
        <v>2964</v>
      </c>
      <c r="I460" s="29" t="s">
        <v>2</v>
      </c>
      <c r="J460" s="31" t="s">
        <v>2965</v>
      </c>
      <c r="K460" s="29" t="s">
        <v>2941</v>
      </c>
      <c r="L460" s="29" t="s">
        <v>2966</v>
      </c>
      <c r="M460" s="32" t="s">
        <v>2967</v>
      </c>
    </row>
    <row r="461" spans="1:13" ht="15.75" thickBot="1" x14ac:dyDescent="0.3">
      <c r="A461" s="33">
        <v>46001.891412037039</v>
      </c>
      <c r="B461" s="34" t="s">
        <v>953</v>
      </c>
      <c r="C461" s="34" t="s">
        <v>2923</v>
      </c>
      <c r="D461" s="34" t="s">
        <v>2968</v>
      </c>
      <c r="E461" s="34" t="s">
        <v>28</v>
      </c>
      <c r="F461" s="35">
        <v>41647</v>
      </c>
      <c r="G461" s="34" t="s">
        <v>2969</v>
      </c>
      <c r="H461" s="34" t="s">
        <v>2970</v>
      </c>
      <c r="I461" s="34" t="s">
        <v>2</v>
      </c>
      <c r="J461" s="36" t="s">
        <v>2971</v>
      </c>
      <c r="K461" s="34" t="s">
        <v>2941</v>
      </c>
      <c r="L461" s="34" t="s">
        <v>2972</v>
      </c>
      <c r="M461" s="37" t="s">
        <v>2973</v>
      </c>
    </row>
    <row r="462" spans="1:13" ht="15.75" thickBot="1" x14ac:dyDescent="0.3">
      <c r="A462" s="28">
        <v>46001.893125000002</v>
      </c>
      <c r="B462" s="29" t="s">
        <v>10</v>
      </c>
      <c r="C462" s="29" t="s">
        <v>490</v>
      </c>
      <c r="D462" s="29" t="s">
        <v>2974</v>
      </c>
      <c r="E462" s="29" t="s">
        <v>28</v>
      </c>
      <c r="F462" s="30">
        <v>41965</v>
      </c>
      <c r="G462" s="29" t="s">
        <v>2975</v>
      </c>
      <c r="H462" s="29" t="s">
        <v>2976</v>
      </c>
      <c r="I462" s="29" t="s">
        <v>2</v>
      </c>
      <c r="J462" s="31" t="s">
        <v>2977</v>
      </c>
      <c r="K462" s="29" t="s">
        <v>2978</v>
      </c>
      <c r="L462" s="29" t="s">
        <v>2979</v>
      </c>
      <c r="M462" s="32" t="s">
        <v>2980</v>
      </c>
    </row>
    <row r="463" spans="1:13" ht="15.75" thickBot="1" x14ac:dyDescent="0.3">
      <c r="A463" s="33">
        <v>46001.893587962964</v>
      </c>
      <c r="B463" s="34" t="s">
        <v>953</v>
      </c>
      <c r="C463" s="34" t="s">
        <v>2923</v>
      </c>
      <c r="D463" s="34" t="s">
        <v>2981</v>
      </c>
      <c r="E463" s="34" t="s">
        <v>28</v>
      </c>
      <c r="F463" s="35">
        <v>41535</v>
      </c>
      <c r="G463" s="34" t="s">
        <v>2982</v>
      </c>
      <c r="H463" s="34" t="s">
        <v>2983</v>
      </c>
      <c r="I463" s="34" t="s">
        <v>66</v>
      </c>
      <c r="J463" s="36" t="s">
        <v>2984</v>
      </c>
      <c r="K463" s="34" t="s">
        <v>2941</v>
      </c>
      <c r="L463" s="34" t="s">
        <v>2985</v>
      </c>
      <c r="M463" s="37" t="s">
        <v>2986</v>
      </c>
    </row>
    <row r="464" spans="1:13" ht="15.75" thickBot="1" x14ac:dyDescent="0.3">
      <c r="A464" s="28">
        <v>46001.896817129629</v>
      </c>
      <c r="B464" s="29" t="s">
        <v>10</v>
      </c>
      <c r="C464" s="29" t="s">
        <v>490</v>
      </c>
      <c r="D464" s="29" t="s">
        <v>2974</v>
      </c>
      <c r="E464" s="29" t="s">
        <v>28</v>
      </c>
      <c r="F464" s="30">
        <v>41965</v>
      </c>
      <c r="G464" s="29" t="s">
        <v>2975</v>
      </c>
      <c r="H464" s="29" t="s">
        <v>2976</v>
      </c>
      <c r="I464" s="29" t="s">
        <v>2</v>
      </c>
      <c r="J464" s="31" t="s">
        <v>2987</v>
      </c>
      <c r="K464" s="29" t="s">
        <v>2978</v>
      </c>
      <c r="L464" s="29" t="s">
        <v>2988</v>
      </c>
      <c r="M464" s="32" t="s">
        <v>2989</v>
      </c>
    </row>
    <row r="465" spans="1:13" ht="15.75" thickBot="1" x14ac:dyDescent="0.3">
      <c r="A465" s="33">
        <v>46001.89744212963</v>
      </c>
      <c r="B465" s="34" t="s">
        <v>953</v>
      </c>
      <c r="C465" s="34" t="s">
        <v>2923</v>
      </c>
      <c r="D465" s="34" t="s">
        <v>2990</v>
      </c>
      <c r="E465" s="34" t="s">
        <v>365</v>
      </c>
      <c r="F465" s="35">
        <v>42319</v>
      </c>
      <c r="G465" s="34" t="s">
        <v>2991</v>
      </c>
      <c r="H465" s="34" t="s">
        <v>2992</v>
      </c>
      <c r="I465" s="34" t="s">
        <v>66</v>
      </c>
      <c r="J465" s="36" t="s">
        <v>2993</v>
      </c>
      <c r="K465" s="34" t="s">
        <v>2941</v>
      </c>
      <c r="L465" s="34" t="s">
        <v>2994</v>
      </c>
      <c r="M465" s="37" t="s">
        <v>2995</v>
      </c>
    </row>
    <row r="466" spans="1:13" ht="15.75" thickBot="1" x14ac:dyDescent="0.3">
      <c r="A466" s="28">
        <v>46001.95716435185</v>
      </c>
      <c r="B466" s="29" t="s">
        <v>10</v>
      </c>
      <c r="C466" s="29" t="s">
        <v>490</v>
      </c>
      <c r="D466" s="29" t="s">
        <v>2974</v>
      </c>
      <c r="E466" s="29" t="s">
        <v>28</v>
      </c>
      <c r="F466" s="30">
        <v>41965</v>
      </c>
      <c r="G466" s="29" t="s">
        <v>2975</v>
      </c>
      <c r="H466" s="29" t="s">
        <v>2976</v>
      </c>
      <c r="I466" s="29" t="s">
        <v>2</v>
      </c>
      <c r="J466" s="31" t="s">
        <v>2996</v>
      </c>
      <c r="K466" s="29" t="s">
        <v>2997</v>
      </c>
      <c r="L466" s="29" t="s">
        <v>2998</v>
      </c>
      <c r="M466" s="32" t="s">
        <v>2999</v>
      </c>
    </row>
    <row r="467" spans="1:13" ht="15.75" thickBot="1" x14ac:dyDescent="0.3">
      <c r="A467" s="33">
        <v>46002.112511574072</v>
      </c>
      <c r="B467" s="34" t="s">
        <v>10</v>
      </c>
      <c r="C467" s="34" t="s">
        <v>2219</v>
      </c>
      <c r="D467" s="34" t="s">
        <v>3000</v>
      </c>
      <c r="E467" s="34" t="s">
        <v>28</v>
      </c>
      <c r="F467" s="35">
        <v>42588</v>
      </c>
      <c r="G467" s="34" t="s">
        <v>2982</v>
      </c>
      <c r="H467" s="34" t="s">
        <v>2755</v>
      </c>
      <c r="I467" s="34" t="s">
        <v>2</v>
      </c>
      <c r="J467" s="36" t="s">
        <v>3001</v>
      </c>
      <c r="K467" s="34" t="s">
        <v>2542</v>
      </c>
      <c r="L467" s="34" t="s">
        <v>3002</v>
      </c>
      <c r="M467" s="37" t="s">
        <v>3003</v>
      </c>
    </row>
    <row r="468" spans="1:13" ht="15.75" thickBot="1" x14ac:dyDescent="0.3">
      <c r="A468" s="28">
        <v>46002.176585648151</v>
      </c>
      <c r="B468" s="29" t="s">
        <v>10</v>
      </c>
      <c r="C468" s="29" t="s">
        <v>490</v>
      </c>
      <c r="D468" s="29" t="s">
        <v>3323</v>
      </c>
      <c r="E468" s="29" t="s">
        <v>10</v>
      </c>
      <c r="F468" s="30">
        <v>42868</v>
      </c>
      <c r="G468" s="29" t="s">
        <v>3324</v>
      </c>
      <c r="H468" s="29" t="s">
        <v>3325</v>
      </c>
      <c r="I468" s="29" t="s">
        <v>2</v>
      </c>
      <c r="J468" s="31" t="s">
        <v>5254</v>
      </c>
      <c r="K468" s="29" t="s">
        <v>5255</v>
      </c>
      <c r="L468" s="29" t="s">
        <v>3016</v>
      </c>
      <c r="M468" s="32" t="s">
        <v>5256</v>
      </c>
    </row>
    <row r="469" spans="1:13" ht="15.75" thickBot="1" x14ac:dyDescent="0.3">
      <c r="A469" s="33">
        <v>46002.330324074072</v>
      </c>
      <c r="B469" s="34" t="s">
        <v>10</v>
      </c>
      <c r="C469" s="34" t="s">
        <v>2219</v>
      </c>
      <c r="D469" s="34" t="s">
        <v>4564</v>
      </c>
      <c r="E469" s="34" t="s">
        <v>28</v>
      </c>
      <c r="F469" s="35">
        <v>42319</v>
      </c>
      <c r="G469" s="34" t="s">
        <v>4565</v>
      </c>
      <c r="H469" s="34" t="s">
        <v>4566</v>
      </c>
      <c r="I469" s="34" t="s">
        <v>2</v>
      </c>
      <c r="J469" s="36" t="s">
        <v>5257</v>
      </c>
      <c r="K469" s="34" t="s">
        <v>5258</v>
      </c>
      <c r="L469" s="34" t="s">
        <v>3327</v>
      </c>
      <c r="M469" s="37" t="s">
        <v>5259</v>
      </c>
    </row>
    <row r="470" spans="1:13" ht="15.75" thickBot="1" x14ac:dyDescent="0.3">
      <c r="A470" s="28">
        <v>46002.333611111113</v>
      </c>
      <c r="B470" s="29" t="s">
        <v>1317</v>
      </c>
      <c r="C470" s="29" t="s">
        <v>511</v>
      </c>
      <c r="D470" s="29" t="s">
        <v>1808</v>
      </c>
      <c r="E470" s="29" t="s">
        <v>116</v>
      </c>
      <c r="F470" s="30">
        <v>42439</v>
      </c>
      <c r="G470" s="29" t="s">
        <v>1809</v>
      </c>
      <c r="H470" s="29" t="s">
        <v>1810</v>
      </c>
      <c r="I470" s="29" t="s">
        <v>2</v>
      </c>
      <c r="J470" s="31" t="s">
        <v>5260</v>
      </c>
      <c r="K470" s="29" t="s">
        <v>1812</v>
      </c>
      <c r="L470" s="29" t="s">
        <v>4567</v>
      </c>
      <c r="M470" s="32" t="s">
        <v>5261</v>
      </c>
    </row>
    <row r="471" spans="1:13" ht="15.75" thickBot="1" x14ac:dyDescent="0.3">
      <c r="A471" s="33">
        <v>46002.336261574077</v>
      </c>
      <c r="B471" s="34" t="s">
        <v>10</v>
      </c>
      <c r="C471" s="34" t="s">
        <v>2219</v>
      </c>
      <c r="D471" s="34" t="s">
        <v>4564</v>
      </c>
      <c r="E471" s="34" t="s">
        <v>28</v>
      </c>
      <c r="F471" s="35">
        <v>42319</v>
      </c>
      <c r="G471" s="34" t="s">
        <v>4565</v>
      </c>
      <c r="H471" s="34" t="s">
        <v>4566</v>
      </c>
      <c r="I471" s="34" t="s">
        <v>2</v>
      </c>
      <c r="J471" s="36" t="s">
        <v>5262</v>
      </c>
      <c r="K471" s="34" t="s">
        <v>5258</v>
      </c>
      <c r="L471" s="34" t="s">
        <v>4569</v>
      </c>
      <c r="M471" s="37" t="s">
        <v>5263</v>
      </c>
    </row>
    <row r="472" spans="1:13" ht="15.75" thickBot="1" x14ac:dyDescent="0.3">
      <c r="A472" s="28">
        <v>46002.3515625</v>
      </c>
      <c r="B472" s="29" t="s">
        <v>10</v>
      </c>
      <c r="C472" s="29" t="s">
        <v>699</v>
      </c>
      <c r="D472" s="29" t="s">
        <v>4572</v>
      </c>
      <c r="E472" s="29" t="s">
        <v>28</v>
      </c>
      <c r="F472" s="30">
        <v>41721</v>
      </c>
      <c r="G472" s="29" t="s">
        <v>4573</v>
      </c>
      <c r="H472" s="29" t="s">
        <v>4574</v>
      </c>
      <c r="I472" s="29" t="s">
        <v>66</v>
      </c>
      <c r="J472" s="31" t="s">
        <v>5264</v>
      </c>
      <c r="K472" s="29" t="s">
        <v>5265</v>
      </c>
      <c r="L472" s="29" t="s">
        <v>4571</v>
      </c>
      <c r="M472" s="32" t="s">
        <v>5266</v>
      </c>
    </row>
    <row r="473" spans="1:13" ht="15.75" thickBot="1" x14ac:dyDescent="0.3">
      <c r="A473" s="33">
        <v>46002.351620370369</v>
      </c>
      <c r="B473" s="34" t="s">
        <v>10</v>
      </c>
      <c r="C473" s="34" t="s">
        <v>4582</v>
      </c>
      <c r="D473" s="34" t="s">
        <v>4577</v>
      </c>
      <c r="E473" s="34" t="s">
        <v>4578</v>
      </c>
      <c r="F473" s="35">
        <v>41768</v>
      </c>
      <c r="G473" s="34" t="s">
        <v>4579</v>
      </c>
      <c r="H473" s="34" t="s">
        <v>4580</v>
      </c>
      <c r="I473" s="34" t="s">
        <v>66</v>
      </c>
      <c r="J473" s="36" t="s">
        <v>5267</v>
      </c>
      <c r="K473" s="34" t="s">
        <v>5268</v>
      </c>
      <c r="L473" s="34" t="s">
        <v>4576</v>
      </c>
      <c r="M473" s="37" t="s">
        <v>5269</v>
      </c>
    </row>
    <row r="474" spans="1:13" ht="15.75" thickBot="1" x14ac:dyDescent="0.3">
      <c r="A474" s="28">
        <v>46002.355706018519</v>
      </c>
      <c r="B474" s="29" t="s">
        <v>953</v>
      </c>
      <c r="C474" s="29" t="s">
        <v>196</v>
      </c>
      <c r="D474" s="29" t="s">
        <v>4583</v>
      </c>
      <c r="E474" s="29" t="s">
        <v>10</v>
      </c>
      <c r="F474" s="30">
        <v>42626</v>
      </c>
      <c r="G474" s="29" t="s">
        <v>4584</v>
      </c>
      <c r="H474" s="29" t="s">
        <v>4585</v>
      </c>
      <c r="I474" s="29" t="s">
        <v>2</v>
      </c>
      <c r="J474" s="31" t="s">
        <v>5270</v>
      </c>
      <c r="K474" s="29" t="s">
        <v>1036</v>
      </c>
      <c r="L474" s="29" t="s">
        <v>4020</v>
      </c>
      <c r="M474" s="32" t="s">
        <v>5271</v>
      </c>
    </row>
    <row r="475" spans="1:13" ht="15.75" thickBot="1" x14ac:dyDescent="0.3">
      <c r="A475" s="33">
        <v>46002.358356481483</v>
      </c>
      <c r="B475" s="34" t="s">
        <v>953</v>
      </c>
      <c r="C475" s="34" t="s">
        <v>196</v>
      </c>
      <c r="D475" s="34" t="s">
        <v>4587</v>
      </c>
      <c r="E475" s="34" t="s">
        <v>10</v>
      </c>
      <c r="F475" s="35">
        <v>42673</v>
      </c>
      <c r="G475" s="34" t="s">
        <v>4588</v>
      </c>
      <c r="H475" s="34" t="s">
        <v>4589</v>
      </c>
      <c r="I475" s="34" t="s">
        <v>66</v>
      </c>
      <c r="J475" s="36" t="s">
        <v>5272</v>
      </c>
      <c r="K475" s="34" t="s">
        <v>1036</v>
      </c>
      <c r="L475" s="34" t="s">
        <v>3998</v>
      </c>
      <c r="M475" s="37" t="s">
        <v>5273</v>
      </c>
    </row>
    <row r="476" spans="1:13" ht="15.75" thickBot="1" x14ac:dyDescent="0.3">
      <c r="A476" s="28">
        <v>46002.360127314816</v>
      </c>
      <c r="B476" s="29" t="s">
        <v>10</v>
      </c>
      <c r="C476" s="29" t="s">
        <v>4596</v>
      </c>
      <c r="D476" s="29" t="s">
        <v>4592</v>
      </c>
      <c r="E476" s="29" t="s">
        <v>28</v>
      </c>
      <c r="F476" s="30">
        <v>41680</v>
      </c>
      <c r="G476" s="29" t="s">
        <v>4593</v>
      </c>
      <c r="H476" s="29" t="s">
        <v>4594</v>
      </c>
      <c r="I476" s="29" t="s">
        <v>2</v>
      </c>
      <c r="J476" s="31" t="s">
        <v>5274</v>
      </c>
      <c r="K476" s="29" t="s">
        <v>5275</v>
      </c>
      <c r="L476" s="29" t="s">
        <v>4591</v>
      </c>
      <c r="M476" s="32" t="s">
        <v>5276</v>
      </c>
    </row>
    <row r="477" spans="1:13" ht="15.75" thickBot="1" x14ac:dyDescent="0.3">
      <c r="A477" s="33">
        <v>46002.360717592594</v>
      </c>
      <c r="B477" s="34" t="s">
        <v>953</v>
      </c>
      <c r="C477" s="34" t="s">
        <v>196</v>
      </c>
      <c r="D477" s="34" t="s">
        <v>4597</v>
      </c>
      <c r="E477" s="34" t="s">
        <v>10</v>
      </c>
      <c r="F477" s="35">
        <v>42771</v>
      </c>
      <c r="G477" s="34" t="s">
        <v>4598</v>
      </c>
      <c r="H477" s="34" t="s">
        <v>4599</v>
      </c>
      <c r="I477" s="34" t="s">
        <v>2</v>
      </c>
      <c r="J477" s="36" t="s">
        <v>5277</v>
      </c>
      <c r="K477" s="34" t="s">
        <v>1036</v>
      </c>
      <c r="L477" s="34" t="s">
        <v>4068</v>
      </c>
      <c r="M477" s="37" t="s">
        <v>5278</v>
      </c>
    </row>
    <row r="478" spans="1:13" ht="15.75" thickBot="1" x14ac:dyDescent="0.3">
      <c r="A478" s="28">
        <v>46002.363125000003</v>
      </c>
      <c r="B478" s="29" t="s">
        <v>953</v>
      </c>
      <c r="C478" s="29" t="s">
        <v>196</v>
      </c>
      <c r="D478" s="29" t="s">
        <v>4601</v>
      </c>
      <c r="E478" s="29" t="s">
        <v>10</v>
      </c>
      <c r="F478" s="30">
        <v>42807</v>
      </c>
      <c r="G478" s="29" t="s">
        <v>4602</v>
      </c>
      <c r="H478" s="29" t="s">
        <v>4603</v>
      </c>
      <c r="I478" s="29" t="s">
        <v>2</v>
      </c>
      <c r="J478" s="31" t="s">
        <v>5279</v>
      </c>
      <c r="K478" s="29" t="s">
        <v>1036</v>
      </c>
      <c r="L478" s="29" t="s">
        <v>4089</v>
      </c>
      <c r="M478" s="32" t="s">
        <v>5280</v>
      </c>
    </row>
    <row r="479" spans="1:13" ht="15.75" thickBot="1" x14ac:dyDescent="0.3">
      <c r="A479" s="33">
        <v>46002.365405092591</v>
      </c>
      <c r="B479" s="34" t="s">
        <v>953</v>
      </c>
      <c r="C479" s="34" t="s">
        <v>196</v>
      </c>
      <c r="D479" s="34" t="s">
        <v>4605</v>
      </c>
      <c r="E479" s="34" t="s">
        <v>10</v>
      </c>
      <c r="F479" s="35">
        <v>42818</v>
      </c>
      <c r="G479" s="34" t="s">
        <v>4606</v>
      </c>
      <c r="H479" s="34" t="s">
        <v>4607</v>
      </c>
      <c r="I479" s="34" t="s">
        <v>2</v>
      </c>
      <c r="J479" s="36" t="s">
        <v>5281</v>
      </c>
      <c r="K479" s="34" t="s">
        <v>1036</v>
      </c>
      <c r="L479" s="34" t="s">
        <v>4007</v>
      </c>
      <c r="M479" s="37" t="s">
        <v>5282</v>
      </c>
    </row>
    <row r="480" spans="1:13" ht="15.75" thickBot="1" x14ac:dyDescent="0.3">
      <c r="A480" s="28">
        <v>46002.367534722223</v>
      </c>
      <c r="B480" s="29" t="s">
        <v>953</v>
      </c>
      <c r="C480" s="29" t="s">
        <v>196</v>
      </c>
      <c r="D480" s="29" t="s">
        <v>4609</v>
      </c>
      <c r="E480" s="29" t="s">
        <v>10</v>
      </c>
      <c r="F480" s="30">
        <v>42971</v>
      </c>
      <c r="G480" s="29" t="s">
        <v>4610</v>
      </c>
      <c r="H480" s="29" t="s">
        <v>4611</v>
      </c>
      <c r="I480" s="29" t="s">
        <v>2</v>
      </c>
      <c r="J480" s="31" t="s">
        <v>5283</v>
      </c>
      <c r="K480" s="29" t="s">
        <v>1036</v>
      </c>
      <c r="L480" s="29" t="s">
        <v>4025</v>
      </c>
      <c r="M480" s="32" t="s">
        <v>5284</v>
      </c>
    </row>
    <row r="481" spans="1:13" ht="15.75" thickBot="1" x14ac:dyDescent="0.3">
      <c r="A481" s="33">
        <v>46002.370972222219</v>
      </c>
      <c r="B481" s="34" t="s">
        <v>10</v>
      </c>
      <c r="C481" s="34" t="s">
        <v>2219</v>
      </c>
      <c r="D481" s="34" t="s">
        <v>4613</v>
      </c>
      <c r="E481" s="34" t="s">
        <v>10</v>
      </c>
      <c r="F481" s="35">
        <v>42013</v>
      </c>
      <c r="G481" s="34" t="s">
        <v>4614</v>
      </c>
      <c r="H481" s="34" t="s">
        <v>4615</v>
      </c>
      <c r="I481" s="34" t="s">
        <v>2</v>
      </c>
      <c r="J481" s="36" t="s">
        <v>5285</v>
      </c>
      <c r="K481" s="34" t="s">
        <v>5286</v>
      </c>
      <c r="L481" s="34" t="s">
        <v>5287</v>
      </c>
      <c r="M481" s="37" t="s">
        <v>5288</v>
      </c>
    </row>
    <row r="482" spans="1:13" ht="15.75" thickBot="1" x14ac:dyDescent="0.3">
      <c r="A482" s="28">
        <v>46002.371192129627</v>
      </c>
      <c r="B482" s="29" t="s">
        <v>10</v>
      </c>
      <c r="C482" s="29" t="s">
        <v>4621</v>
      </c>
      <c r="D482" s="29" t="s">
        <v>4617</v>
      </c>
      <c r="E482" s="29" t="s">
        <v>10</v>
      </c>
      <c r="F482" s="30">
        <v>41737</v>
      </c>
      <c r="G482" s="29" t="s">
        <v>4618</v>
      </c>
      <c r="H482" s="29" t="s">
        <v>4619</v>
      </c>
      <c r="I482" s="29" t="s">
        <v>2</v>
      </c>
      <c r="J482" s="31" t="s">
        <v>5289</v>
      </c>
      <c r="K482" s="29" t="s">
        <v>5290</v>
      </c>
      <c r="L482" s="29" t="s">
        <v>4616</v>
      </c>
      <c r="M482" s="32" t="s">
        <v>5291</v>
      </c>
    </row>
    <row r="483" spans="1:13" ht="15.75" thickBot="1" x14ac:dyDescent="0.3">
      <c r="A483" s="33">
        <v>46002.371388888889</v>
      </c>
      <c r="B483" s="34" t="s">
        <v>953</v>
      </c>
      <c r="C483" s="34" t="s">
        <v>196</v>
      </c>
      <c r="D483" s="34" t="s">
        <v>4622</v>
      </c>
      <c r="E483" s="34" t="s">
        <v>10</v>
      </c>
      <c r="F483" s="35">
        <v>43237</v>
      </c>
      <c r="G483" s="34" t="s">
        <v>4623</v>
      </c>
      <c r="H483" s="34" t="s">
        <v>4624</v>
      </c>
      <c r="I483" s="34" t="s">
        <v>66</v>
      </c>
      <c r="J483" s="36" t="s">
        <v>5292</v>
      </c>
      <c r="K483" s="34" t="s">
        <v>1036</v>
      </c>
      <c r="L483" s="34" t="s">
        <v>4040</v>
      </c>
      <c r="M483" s="37" t="s">
        <v>5293</v>
      </c>
    </row>
    <row r="484" spans="1:13" ht="15.75" thickBot="1" x14ac:dyDescent="0.3">
      <c r="A484" s="28">
        <v>46002.373437499999</v>
      </c>
      <c r="B484" s="29" t="s">
        <v>10</v>
      </c>
      <c r="C484" s="29" t="s">
        <v>2219</v>
      </c>
      <c r="D484" s="29" t="s">
        <v>4613</v>
      </c>
      <c r="E484" s="29" t="s">
        <v>10</v>
      </c>
      <c r="F484" s="30">
        <v>42013</v>
      </c>
      <c r="G484" s="29" t="s">
        <v>4614</v>
      </c>
      <c r="H484" s="29" t="s">
        <v>4615</v>
      </c>
      <c r="I484" s="29" t="s">
        <v>2</v>
      </c>
      <c r="J484" s="31" t="s">
        <v>5294</v>
      </c>
      <c r="K484" s="29" t="s">
        <v>5286</v>
      </c>
      <c r="L484" s="29" t="s">
        <v>5295</v>
      </c>
      <c r="M484" s="32" t="s">
        <v>5296</v>
      </c>
    </row>
    <row r="485" spans="1:13" ht="15.75" thickBot="1" x14ac:dyDescent="0.3">
      <c r="A485" s="33">
        <v>46002.376111111109</v>
      </c>
      <c r="B485" s="34" t="s">
        <v>10</v>
      </c>
      <c r="C485" s="34" t="s">
        <v>4582</v>
      </c>
      <c r="D485" s="34" t="s">
        <v>4627</v>
      </c>
      <c r="E485" s="34" t="s">
        <v>10</v>
      </c>
      <c r="F485" s="35">
        <v>41629</v>
      </c>
      <c r="G485" s="34" t="s">
        <v>4628</v>
      </c>
      <c r="H485" s="34" t="s">
        <v>4629</v>
      </c>
      <c r="I485" s="34" t="s">
        <v>66</v>
      </c>
      <c r="J485" s="36" t="s">
        <v>5297</v>
      </c>
      <c r="K485" s="34" t="s">
        <v>5298</v>
      </c>
      <c r="L485" s="34" t="s">
        <v>4626</v>
      </c>
      <c r="M485" s="37" t="s">
        <v>5299</v>
      </c>
    </row>
    <row r="486" spans="1:13" ht="15.75" thickBot="1" x14ac:dyDescent="0.3">
      <c r="A486" s="28">
        <v>46002.376932870371</v>
      </c>
      <c r="B486" s="29" t="s">
        <v>10</v>
      </c>
      <c r="C486" s="29" t="s">
        <v>490</v>
      </c>
      <c r="D486" s="29" t="s">
        <v>5300</v>
      </c>
      <c r="E486" s="29" t="s">
        <v>10</v>
      </c>
      <c r="F486" s="30">
        <v>41965</v>
      </c>
      <c r="G486" s="29" t="s">
        <v>5301</v>
      </c>
      <c r="H486" s="29" t="s">
        <v>5302</v>
      </c>
      <c r="I486" s="29" t="s">
        <v>2</v>
      </c>
      <c r="J486" s="31" t="s">
        <v>5303</v>
      </c>
      <c r="K486" s="29" t="s">
        <v>2978</v>
      </c>
      <c r="L486" s="29" t="s">
        <v>5304</v>
      </c>
      <c r="M486" s="32" t="s">
        <v>5305</v>
      </c>
    </row>
    <row r="487" spans="1:13" ht="15.75" thickBot="1" x14ac:dyDescent="0.3">
      <c r="A487" s="33">
        <v>46002.3830787037</v>
      </c>
      <c r="B487" s="34" t="s">
        <v>1153</v>
      </c>
      <c r="C487" s="34" t="s">
        <v>1238</v>
      </c>
      <c r="D487" s="34" t="s">
        <v>4632</v>
      </c>
      <c r="E487" s="34" t="s">
        <v>10</v>
      </c>
      <c r="F487" s="35">
        <v>42504</v>
      </c>
      <c r="G487" s="34" t="s">
        <v>4633</v>
      </c>
      <c r="H487" s="34" t="s">
        <v>4634</v>
      </c>
      <c r="I487" s="34" t="s">
        <v>2</v>
      </c>
      <c r="J487" s="36" t="s">
        <v>5306</v>
      </c>
      <c r="K487" s="34" t="s">
        <v>1243</v>
      </c>
      <c r="L487" s="34" t="s">
        <v>4631</v>
      </c>
      <c r="M487" s="37" t="s">
        <v>5307</v>
      </c>
    </row>
    <row r="488" spans="1:13" ht="15.75" thickBot="1" x14ac:dyDescent="0.3">
      <c r="A488" s="28">
        <v>46002.385520833333</v>
      </c>
      <c r="B488" s="29" t="s">
        <v>10</v>
      </c>
      <c r="C488" s="29" t="s">
        <v>490</v>
      </c>
      <c r="D488" s="29" t="s">
        <v>5300</v>
      </c>
      <c r="E488" s="29" t="s">
        <v>10</v>
      </c>
      <c r="F488" s="30">
        <v>41965</v>
      </c>
      <c r="G488" s="29" t="s">
        <v>5301</v>
      </c>
      <c r="H488" s="29" t="s">
        <v>5302</v>
      </c>
      <c r="I488" s="29" t="s">
        <v>2</v>
      </c>
      <c r="J488" s="31" t="s">
        <v>5308</v>
      </c>
      <c r="K488" s="29" t="s">
        <v>2978</v>
      </c>
      <c r="L488" s="29" t="s">
        <v>5309</v>
      </c>
      <c r="M488" s="32" t="s">
        <v>5310</v>
      </c>
    </row>
    <row r="489" spans="1:13" ht="15.75" thickBot="1" x14ac:dyDescent="0.3">
      <c r="A489" s="33">
        <v>46002.38559027778</v>
      </c>
      <c r="B489" s="34" t="s">
        <v>1153</v>
      </c>
      <c r="C489" s="34" t="s">
        <v>1238</v>
      </c>
      <c r="D489" s="34" t="s">
        <v>4637</v>
      </c>
      <c r="E489" s="34" t="s">
        <v>10</v>
      </c>
      <c r="F489" s="35">
        <v>42689</v>
      </c>
      <c r="G489" s="34" t="s">
        <v>4638</v>
      </c>
      <c r="H489" s="34" t="s">
        <v>4639</v>
      </c>
      <c r="I489" s="34" t="s">
        <v>2</v>
      </c>
      <c r="J489" s="36" t="s">
        <v>5311</v>
      </c>
      <c r="K489" s="34" t="s">
        <v>1243</v>
      </c>
      <c r="L489" s="34" t="s">
        <v>4636</v>
      </c>
      <c r="M489" s="37" t="s">
        <v>5312</v>
      </c>
    </row>
    <row r="490" spans="1:13" ht="15.75" thickBot="1" x14ac:dyDescent="0.3">
      <c r="A490" s="28">
        <v>46002.387256944443</v>
      </c>
      <c r="B490" s="29" t="s">
        <v>1153</v>
      </c>
      <c r="C490" s="29" t="s">
        <v>1238</v>
      </c>
      <c r="D490" s="29" t="s">
        <v>4642</v>
      </c>
      <c r="E490" s="29" t="s">
        <v>10</v>
      </c>
      <c r="F490" s="30">
        <v>42025</v>
      </c>
      <c r="G490" s="29" t="s">
        <v>4643</v>
      </c>
      <c r="H490" s="29" t="s">
        <v>4644</v>
      </c>
      <c r="I490" s="29" t="s">
        <v>2</v>
      </c>
      <c r="J490" s="31" t="s">
        <v>5313</v>
      </c>
      <c r="K490" s="29" t="s">
        <v>1243</v>
      </c>
      <c r="L490" s="29" t="s">
        <v>4641</v>
      </c>
      <c r="M490" s="32" t="s">
        <v>5314</v>
      </c>
    </row>
    <row r="491" spans="1:13" ht="15.75" thickBot="1" x14ac:dyDescent="0.3">
      <c r="A491" s="33">
        <v>46002.388391203705</v>
      </c>
      <c r="B491" s="34" t="s">
        <v>1153</v>
      </c>
      <c r="C491" s="34" t="s">
        <v>1238</v>
      </c>
      <c r="D491" s="34" t="s">
        <v>4647</v>
      </c>
      <c r="E491" s="34" t="s">
        <v>10</v>
      </c>
      <c r="F491" s="35">
        <v>42185</v>
      </c>
      <c r="G491" s="34" t="s">
        <v>4648</v>
      </c>
      <c r="H491" s="34" t="s">
        <v>4649</v>
      </c>
      <c r="I491" s="34" t="s">
        <v>2</v>
      </c>
      <c r="J491" s="36" t="s">
        <v>5315</v>
      </c>
      <c r="K491" s="34" t="s">
        <v>1243</v>
      </c>
      <c r="L491" s="34" t="s">
        <v>4646</v>
      </c>
      <c r="M491" s="37" t="s">
        <v>5316</v>
      </c>
    </row>
    <row r="492" spans="1:13" ht="15.75" thickBot="1" x14ac:dyDescent="0.3">
      <c r="A492" s="28">
        <v>46002.389513888891</v>
      </c>
      <c r="B492" s="29" t="s">
        <v>10</v>
      </c>
      <c r="C492" s="29" t="s">
        <v>4582</v>
      </c>
      <c r="D492" s="29" t="s">
        <v>4652</v>
      </c>
      <c r="E492" s="29" t="s">
        <v>10</v>
      </c>
      <c r="F492" s="30">
        <v>41698</v>
      </c>
      <c r="G492" s="29" t="s">
        <v>4653</v>
      </c>
      <c r="H492" s="29" t="s">
        <v>4654</v>
      </c>
      <c r="I492" s="29" t="s">
        <v>2</v>
      </c>
      <c r="J492" s="31" t="s">
        <v>5317</v>
      </c>
      <c r="K492" s="29" t="s">
        <v>5318</v>
      </c>
      <c r="L492" s="29" t="s">
        <v>4651</v>
      </c>
      <c r="M492" s="32" t="s">
        <v>5319</v>
      </c>
    </row>
    <row r="493" spans="1:13" ht="15.75" thickBot="1" x14ac:dyDescent="0.3">
      <c r="A493" s="33">
        <v>46002.389699074076</v>
      </c>
      <c r="B493" s="34" t="s">
        <v>1153</v>
      </c>
      <c r="C493" s="34" t="s">
        <v>1238</v>
      </c>
      <c r="D493" s="34" t="s">
        <v>4657</v>
      </c>
      <c r="E493" s="34" t="s">
        <v>10</v>
      </c>
      <c r="F493" s="35">
        <v>41541</v>
      </c>
      <c r="G493" s="34" t="s">
        <v>4658</v>
      </c>
      <c r="H493" s="34" t="s">
        <v>3685</v>
      </c>
      <c r="I493" s="34" t="s">
        <v>66</v>
      </c>
      <c r="J493" s="36" t="s">
        <v>5320</v>
      </c>
      <c r="K493" s="34" t="s">
        <v>1243</v>
      </c>
      <c r="L493" s="34" t="s">
        <v>4656</v>
      </c>
      <c r="M493" s="37" t="s">
        <v>5321</v>
      </c>
    </row>
    <row r="494" spans="1:13" ht="15.75" thickBot="1" x14ac:dyDescent="0.3">
      <c r="A494" s="28">
        <v>46002.390173611115</v>
      </c>
      <c r="B494" s="29" t="s">
        <v>10</v>
      </c>
      <c r="C494" s="29" t="s">
        <v>490</v>
      </c>
      <c r="D494" s="29" t="s">
        <v>5300</v>
      </c>
      <c r="E494" s="29" t="s">
        <v>10</v>
      </c>
      <c r="F494" s="30">
        <v>41965</v>
      </c>
      <c r="G494" s="29" t="s">
        <v>5301</v>
      </c>
      <c r="H494" s="29" t="s">
        <v>5302</v>
      </c>
      <c r="I494" s="29" t="s">
        <v>2</v>
      </c>
      <c r="J494" s="31" t="s">
        <v>5322</v>
      </c>
      <c r="K494" s="29" t="s">
        <v>2978</v>
      </c>
      <c r="L494" s="29" t="s">
        <v>5323</v>
      </c>
      <c r="M494" s="32" t="s">
        <v>5324</v>
      </c>
    </row>
    <row r="495" spans="1:13" ht="15.75" thickBot="1" x14ac:dyDescent="0.3">
      <c r="A495" s="33">
        <v>46002.39166666667</v>
      </c>
      <c r="B495" s="34" t="s">
        <v>1153</v>
      </c>
      <c r="C495" s="34" t="s">
        <v>1238</v>
      </c>
      <c r="D495" s="34" t="s">
        <v>4661</v>
      </c>
      <c r="E495" s="34" t="s">
        <v>10</v>
      </c>
      <c r="F495" s="35">
        <v>42500</v>
      </c>
      <c r="G495" s="34" t="s">
        <v>4662</v>
      </c>
      <c r="H495" s="34" t="s">
        <v>4663</v>
      </c>
      <c r="I495" s="34" t="s">
        <v>2</v>
      </c>
      <c r="J495" s="36" t="s">
        <v>5325</v>
      </c>
      <c r="K495" s="34" t="s">
        <v>1243</v>
      </c>
      <c r="L495" s="34" t="s">
        <v>4660</v>
      </c>
      <c r="M495" s="37" t="s">
        <v>5326</v>
      </c>
    </row>
    <row r="496" spans="1:13" ht="15.75" thickBot="1" x14ac:dyDescent="0.3">
      <c r="A496" s="28">
        <v>46002.392962962964</v>
      </c>
      <c r="B496" s="29" t="s">
        <v>1153</v>
      </c>
      <c r="C496" s="29" t="s">
        <v>1238</v>
      </c>
      <c r="D496" s="29" t="s">
        <v>4666</v>
      </c>
      <c r="E496" s="29" t="s">
        <v>4060</v>
      </c>
      <c r="F496" s="30">
        <v>41407</v>
      </c>
      <c r="G496" s="29" t="s">
        <v>4667</v>
      </c>
      <c r="H496" s="29" t="s">
        <v>4668</v>
      </c>
      <c r="I496" s="29" t="s">
        <v>2</v>
      </c>
      <c r="J496" s="31" t="s">
        <v>5327</v>
      </c>
      <c r="K496" s="29" t="s">
        <v>1243</v>
      </c>
      <c r="L496" s="29" t="s">
        <v>4665</v>
      </c>
      <c r="M496" s="32" t="s">
        <v>5328</v>
      </c>
    </row>
    <row r="497" spans="1:13" ht="15.75" thickBot="1" x14ac:dyDescent="0.3">
      <c r="A497" s="33">
        <v>46002.394409722219</v>
      </c>
      <c r="B497" s="34" t="s">
        <v>1153</v>
      </c>
      <c r="C497" s="34" t="s">
        <v>1238</v>
      </c>
      <c r="D497" s="34" t="s">
        <v>4671</v>
      </c>
      <c r="E497" s="34" t="s">
        <v>59</v>
      </c>
      <c r="F497" s="35">
        <v>43382</v>
      </c>
      <c r="G497" s="34" t="s">
        <v>4672</v>
      </c>
      <c r="H497" s="34" t="s">
        <v>4673</v>
      </c>
      <c r="I497" s="34" t="s">
        <v>66</v>
      </c>
      <c r="J497" s="36" t="s">
        <v>5329</v>
      </c>
      <c r="K497" s="34" t="s">
        <v>1243</v>
      </c>
      <c r="L497" s="34" t="s">
        <v>4670</v>
      </c>
      <c r="M497" s="37" t="s">
        <v>5330</v>
      </c>
    </row>
    <row r="498" spans="1:13" ht="15.75" thickBot="1" x14ac:dyDescent="0.3">
      <c r="A498" s="28">
        <v>46002.39576388889</v>
      </c>
      <c r="B498" s="29" t="s">
        <v>1153</v>
      </c>
      <c r="C498" s="29" t="s">
        <v>1238</v>
      </c>
      <c r="D498" s="29" t="s">
        <v>4676</v>
      </c>
      <c r="E498" s="29" t="s">
        <v>10</v>
      </c>
      <c r="F498" s="30">
        <v>41896</v>
      </c>
      <c r="G498" s="29" t="s">
        <v>4677</v>
      </c>
      <c r="H498" s="29" t="s">
        <v>4678</v>
      </c>
      <c r="I498" s="29" t="s">
        <v>66</v>
      </c>
      <c r="J498" s="31" t="s">
        <v>5331</v>
      </c>
      <c r="K498" s="29" t="s">
        <v>1243</v>
      </c>
      <c r="L498" s="29" t="s">
        <v>4675</v>
      </c>
      <c r="M498" s="32" t="s">
        <v>5332</v>
      </c>
    </row>
    <row r="499" spans="1:13" ht="15.75" thickBot="1" x14ac:dyDescent="0.3">
      <c r="A499" s="33">
        <v>46002.401076388887</v>
      </c>
      <c r="B499" s="34" t="s">
        <v>1153</v>
      </c>
      <c r="C499" s="34" t="s">
        <v>1238</v>
      </c>
      <c r="D499" s="34" t="s">
        <v>4681</v>
      </c>
      <c r="E499" s="34" t="s">
        <v>10</v>
      </c>
      <c r="F499" s="35">
        <v>41857</v>
      </c>
      <c r="G499" s="34" t="s">
        <v>4682</v>
      </c>
      <c r="H499" s="34" t="s">
        <v>4683</v>
      </c>
      <c r="I499" s="34" t="s">
        <v>66</v>
      </c>
      <c r="J499" s="36" t="s">
        <v>5333</v>
      </c>
      <c r="K499" s="34" t="s">
        <v>1243</v>
      </c>
      <c r="L499" s="34" t="s">
        <v>4680</v>
      </c>
      <c r="M499" s="37" t="s">
        <v>5334</v>
      </c>
    </row>
    <row r="500" spans="1:13" ht="15.75" thickBot="1" x14ac:dyDescent="0.3">
      <c r="A500" s="28">
        <v>46002.401678240742</v>
      </c>
      <c r="B500" s="29" t="s">
        <v>1153</v>
      </c>
      <c r="C500" s="29" t="s">
        <v>4689</v>
      </c>
      <c r="D500" s="29" t="s">
        <v>4686</v>
      </c>
      <c r="E500" s="29" t="s">
        <v>28</v>
      </c>
      <c r="F500" s="30">
        <v>41795</v>
      </c>
      <c r="G500" s="29" t="s">
        <v>381</v>
      </c>
      <c r="H500" s="29" t="s">
        <v>4687</v>
      </c>
      <c r="I500" s="29" t="s">
        <v>66</v>
      </c>
      <c r="J500" s="31" t="s">
        <v>5335</v>
      </c>
      <c r="K500" s="29" t="s">
        <v>5336</v>
      </c>
      <c r="L500" s="29" t="s">
        <v>4685</v>
      </c>
      <c r="M500" s="32" t="s">
        <v>5337</v>
      </c>
    </row>
    <row r="501" spans="1:13" ht="15.75" thickBot="1" x14ac:dyDescent="0.3">
      <c r="A501" s="33">
        <v>46002.403969907406</v>
      </c>
      <c r="B501" s="34" t="s">
        <v>1153</v>
      </c>
      <c r="C501" s="34" t="s">
        <v>4689</v>
      </c>
      <c r="D501" s="34" t="s">
        <v>4691</v>
      </c>
      <c r="E501" s="34" t="s">
        <v>28</v>
      </c>
      <c r="F501" s="35">
        <v>41626</v>
      </c>
      <c r="G501" s="34" t="s">
        <v>4692</v>
      </c>
      <c r="H501" s="34" t="s">
        <v>4693</v>
      </c>
      <c r="I501" s="34" t="s">
        <v>66</v>
      </c>
      <c r="J501" s="36" t="s">
        <v>5338</v>
      </c>
      <c r="K501" s="34" t="s">
        <v>5336</v>
      </c>
      <c r="L501" s="34" t="s">
        <v>4690</v>
      </c>
      <c r="M501" s="37" t="s">
        <v>5339</v>
      </c>
    </row>
    <row r="502" spans="1:13" ht="15.75" thickBot="1" x14ac:dyDescent="0.3">
      <c r="A502" s="28">
        <v>46002.404386574075</v>
      </c>
      <c r="B502" s="29" t="s">
        <v>1153</v>
      </c>
      <c r="C502" s="29" t="s">
        <v>1238</v>
      </c>
      <c r="D502" s="29" t="s">
        <v>4696</v>
      </c>
      <c r="E502" s="29" t="s">
        <v>10</v>
      </c>
      <c r="F502" s="30">
        <v>42584</v>
      </c>
      <c r="G502" s="29" t="s">
        <v>4697</v>
      </c>
      <c r="H502" s="29" t="s">
        <v>4698</v>
      </c>
      <c r="I502" s="29" t="s">
        <v>2</v>
      </c>
      <c r="J502" s="31" t="s">
        <v>5340</v>
      </c>
      <c r="K502" s="29" t="s">
        <v>1243</v>
      </c>
      <c r="L502" s="29" t="s">
        <v>4695</v>
      </c>
      <c r="M502" s="32" t="s">
        <v>5341</v>
      </c>
    </row>
    <row r="503" spans="1:13" ht="15.75" thickBot="1" x14ac:dyDescent="0.3">
      <c r="A503" s="33">
        <v>46002.40520833333</v>
      </c>
      <c r="B503" s="34" t="s">
        <v>1153</v>
      </c>
      <c r="C503" s="34" t="s">
        <v>4689</v>
      </c>
      <c r="D503" s="34" t="s">
        <v>4701</v>
      </c>
      <c r="E503" s="34" t="s">
        <v>28</v>
      </c>
      <c r="F503" s="35">
        <v>41743</v>
      </c>
      <c r="G503" s="34" t="s">
        <v>4702</v>
      </c>
      <c r="H503" s="34" t="s">
        <v>4703</v>
      </c>
      <c r="I503" s="34" t="s">
        <v>66</v>
      </c>
      <c r="J503" s="36" t="s">
        <v>5342</v>
      </c>
      <c r="K503" s="34" t="s">
        <v>5336</v>
      </c>
      <c r="L503" s="34" t="s">
        <v>4700</v>
      </c>
      <c r="M503" s="37" t="s">
        <v>5343</v>
      </c>
    </row>
    <row r="504" spans="1:13" ht="15.75" thickBot="1" x14ac:dyDescent="0.3">
      <c r="A504" s="28">
        <v>46002.40625</v>
      </c>
      <c r="B504" s="29" t="s">
        <v>1153</v>
      </c>
      <c r="C504" s="29" t="s">
        <v>1238</v>
      </c>
      <c r="D504" s="29" t="s">
        <v>4706</v>
      </c>
      <c r="E504" s="29" t="s">
        <v>10</v>
      </c>
      <c r="F504" s="30">
        <v>42203</v>
      </c>
      <c r="G504" s="29" t="s">
        <v>4707</v>
      </c>
      <c r="H504" s="29" t="s">
        <v>4708</v>
      </c>
      <c r="I504" s="29" t="s">
        <v>66</v>
      </c>
      <c r="J504" s="31" t="s">
        <v>5344</v>
      </c>
      <c r="K504" s="29" t="s">
        <v>1243</v>
      </c>
      <c r="L504" s="29" t="s">
        <v>4705</v>
      </c>
      <c r="M504" s="32" t="s">
        <v>5345</v>
      </c>
    </row>
    <row r="505" spans="1:13" ht="15.75" thickBot="1" x14ac:dyDescent="0.3">
      <c r="A505" s="33">
        <v>46002.407326388886</v>
      </c>
      <c r="B505" s="34" t="s">
        <v>1153</v>
      </c>
      <c r="C505" s="34" t="s">
        <v>1238</v>
      </c>
      <c r="D505" s="34" t="s">
        <v>4711</v>
      </c>
      <c r="E505" s="34" t="s">
        <v>4712</v>
      </c>
      <c r="F505" s="35">
        <v>43374</v>
      </c>
      <c r="G505" s="34" t="s">
        <v>4713</v>
      </c>
      <c r="H505" s="34" t="s">
        <v>4714</v>
      </c>
      <c r="I505" s="34" t="s">
        <v>2</v>
      </c>
      <c r="J505" s="36" t="s">
        <v>5346</v>
      </c>
      <c r="K505" s="34" t="s">
        <v>1243</v>
      </c>
      <c r="L505" s="34" t="s">
        <v>4710</v>
      </c>
      <c r="M505" s="37" t="s">
        <v>5347</v>
      </c>
    </row>
    <row r="506" spans="1:13" ht="15.75" thickBot="1" x14ac:dyDescent="0.3">
      <c r="A506" s="28">
        <v>46002.408726851849</v>
      </c>
      <c r="B506" s="29" t="s">
        <v>1153</v>
      </c>
      <c r="C506" s="29" t="s">
        <v>1238</v>
      </c>
      <c r="D506" s="29" t="s">
        <v>4717</v>
      </c>
      <c r="E506" s="29" t="s">
        <v>10</v>
      </c>
      <c r="F506" s="30">
        <v>43238</v>
      </c>
      <c r="G506" s="29" t="s">
        <v>4718</v>
      </c>
      <c r="H506" s="29" t="s">
        <v>4719</v>
      </c>
      <c r="I506" s="29" t="s">
        <v>2</v>
      </c>
      <c r="J506" s="31" t="s">
        <v>5348</v>
      </c>
      <c r="K506" s="29" t="s">
        <v>1243</v>
      </c>
      <c r="L506" s="29" t="s">
        <v>4716</v>
      </c>
      <c r="M506" s="32" t="s">
        <v>5349</v>
      </c>
    </row>
    <row r="507" spans="1:13" ht="15.75" thickBot="1" x14ac:dyDescent="0.3">
      <c r="A507" s="33">
        <v>46002.410312499997</v>
      </c>
      <c r="B507" s="34" t="s">
        <v>1153</v>
      </c>
      <c r="C507" s="34" t="s">
        <v>1238</v>
      </c>
      <c r="D507" s="34" t="s">
        <v>4722</v>
      </c>
      <c r="E507" s="34" t="s">
        <v>10</v>
      </c>
      <c r="F507" s="35">
        <v>41546</v>
      </c>
      <c r="G507" s="34" t="s">
        <v>4723</v>
      </c>
      <c r="H507" s="34" t="s">
        <v>4724</v>
      </c>
      <c r="I507" s="34" t="s">
        <v>2</v>
      </c>
      <c r="J507" s="36" t="s">
        <v>5350</v>
      </c>
      <c r="K507" s="34" t="s">
        <v>1243</v>
      </c>
      <c r="L507" s="34" t="s">
        <v>4721</v>
      </c>
      <c r="M507" s="37" t="s">
        <v>5351</v>
      </c>
    </row>
    <row r="508" spans="1:13" ht="15.75" thickBot="1" x14ac:dyDescent="0.3">
      <c r="A508" s="28">
        <v>46002.411631944444</v>
      </c>
      <c r="B508" s="29" t="s">
        <v>1153</v>
      </c>
      <c r="C508" s="29" t="s">
        <v>1238</v>
      </c>
      <c r="D508" s="29" t="s">
        <v>4727</v>
      </c>
      <c r="E508" s="29" t="s">
        <v>10</v>
      </c>
      <c r="F508" s="30">
        <v>42692</v>
      </c>
      <c r="G508" s="29" t="s">
        <v>1028</v>
      </c>
      <c r="H508" s="29" t="s">
        <v>4728</v>
      </c>
      <c r="I508" s="29" t="s">
        <v>2</v>
      </c>
      <c r="J508" s="31" t="s">
        <v>5352</v>
      </c>
      <c r="K508" s="29" t="s">
        <v>1243</v>
      </c>
      <c r="L508" s="29" t="s">
        <v>4726</v>
      </c>
      <c r="M508" s="32" t="s">
        <v>5353</v>
      </c>
    </row>
    <row r="509" spans="1:13" ht="15.75" thickBot="1" x14ac:dyDescent="0.3">
      <c r="A509" s="33">
        <v>46002.413032407407</v>
      </c>
      <c r="B509" s="34" t="s">
        <v>1153</v>
      </c>
      <c r="C509" s="34" t="s">
        <v>1238</v>
      </c>
      <c r="D509" s="34" t="s">
        <v>4731</v>
      </c>
      <c r="E509" s="34" t="s">
        <v>116</v>
      </c>
      <c r="F509" s="35">
        <v>42848</v>
      </c>
      <c r="G509" s="34" t="s">
        <v>4732</v>
      </c>
      <c r="H509" s="34" t="s">
        <v>4733</v>
      </c>
      <c r="I509" s="34" t="s">
        <v>2</v>
      </c>
      <c r="J509" s="36" t="s">
        <v>5354</v>
      </c>
      <c r="K509" s="34" t="s">
        <v>1243</v>
      </c>
      <c r="L509" s="34" t="s">
        <v>4730</v>
      </c>
      <c r="M509" s="37" t="s">
        <v>5355</v>
      </c>
    </row>
    <row r="510" spans="1:13" ht="15.75" thickBot="1" x14ac:dyDescent="0.3">
      <c r="A510" s="28">
        <v>46002.414467592593</v>
      </c>
      <c r="B510" s="29" t="s">
        <v>10</v>
      </c>
      <c r="C510" s="29" t="s">
        <v>490</v>
      </c>
      <c r="D510" s="29" t="s">
        <v>2974</v>
      </c>
      <c r="E510" s="29" t="s">
        <v>28</v>
      </c>
      <c r="F510" s="30">
        <v>41965</v>
      </c>
      <c r="G510" s="29" t="s">
        <v>2975</v>
      </c>
      <c r="H510" s="29" t="s">
        <v>2976</v>
      </c>
      <c r="I510" s="29" t="s">
        <v>2</v>
      </c>
      <c r="J510" s="31" t="s">
        <v>5356</v>
      </c>
      <c r="K510" s="29" t="s">
        <v>2997</v>
      </c>
      <c r="L510" s="29" t="s">
        <v>4735</v>
      </c>
      <c r="M510" s="32" t="s">
        <v>5357</v>
      </c>
    </row>
    <row r="511" spans="1:13" ht="15.75" thickBot="1" x14ac:dyDescent="0.3">
      <c r="A511" s="33">
        <v>46002.418854166666</v>
      </c>
      <c r="B511" s="34" t="s">
        <v>1153</v>
      </c>
      <c r="C511" s="34" t="s">
        <v>1260</v>
      </c>
      <c r="D511" s="34" t="s">
        <v>344</v>
      </c>
      <c r="E511" s="34" t="s">
        <v>10</v>
      </c>
      <c r="F511" s="35">
        <v>43448</v>
      </c>
      <c r="G511" s="34" t="s">
        <v>345</v>
      </c>
      <c r="H511" s="34" t="s">
        <v>4738</v>
      </c>
      <c r="I511" s="34" t="s">
        <v>66</v>
      </c>
      <c r="J511" s="36" t="s">
        <v>5358</v>
      </c>
      <c r="K511" s="34" t="s">
        <v>1265</v>
      </c>
      <c r="L511" s="34" t="s">
        <v>4737</v>
      </c>
      <c r="M511" s="37" t="s">
        <v>5359</v>
      </c>
    </row>
    <row r="512" spans="1:13" ht="15.75" thickBot="1" x14ac:dyDescent="0.3">
      <c r="A512" s="28">
        <v>46002.421030092592</v>
      </c>
      <c r="B512" s="29" t="s">
        <v>953</v>
      </c>
      <c r="C512" s="29" t="s">
        <v>725</v>
      </c>
      <c r="D512" s="29" t="s">
        <v>5360</v>
      </c>
      <c r="E512" s="29" t="s">
        <v>28</v>
      </c>
      <c r="F512" s="30">
        <v>42524</v>
      </c>
      <c r="G512" s="29" t="s">
        <v>4740</v>
      </c>
      <c r="H512" s="29" t="s">
        <v>4741</v>
      </c>
      <c r="I512" s="29" t="s">
        <v>66</v>
      </c>
      <c r="J512" s="31" t="s">
        <v>5361</v>
      </c>
      <c r="K512" s="29" t="s">
        <v>5362</v>
      </c>
      <c r="L512" s="29" t="s">
        <v>3957</v>
      </c>
      <c r="M512" s="32" t="s">
        <v>5363</v>
      </c>
    </row>
    <row r="513" spans="1:13" ht="15.75" thickBot="1" x14ac:dyDescent="0.3">
      <c r="A513" s="33">
        <v>46002.42559027778</v>
      </c>
      <c r="B513" s="34" t="s">
        <v>953</v>
      </c>
      <c r="C513" s="34" t="s">
        <v>725</v>
      </c>
      <c r="D513" s="34" t="s">
        <v>4742</v>
      </c>
      <c r="E513" s="34" t="s">
        <v>10</v>
      </c>
      <c r="F513" s="35">
        <v>42524</v>
      </c>
      <c r="G513" s="34" t="s">
        <v>4743</v>
      </c>
      <c r="H513" s="34" t="s">
        <v>4744</v>
      </c>
      <c r="I513" s="34" t="s">
        <v>66</v>
      </c>
      <c r="J513" s="36" t="s">
        <v>5364</v>
      </c>
      <c r="K513" s="34" t="s">
        <v>5362</v>
      </c>
      <c r="L513" s="34" t="s">
        <v>4053</v>
      </c>
      <c r="M513" s="37" t="s">
        <v>5365</v>
      </c>
    </row>
    <row r="514" spans="1:13" ht="15.75" thickBot="1" x14ac:dyDescent="0.3">
      <c r="A514" s="28">
        <v>46002.429363425923</v>
      </c>
      <c r="B514" s="29" t="s">
        <v>1317</v>
      </c>
      <c r="C514" s="29" t="s">
        <v>511</v>
      </c>
      <c r="D514" s="29" t="s">
        <v>1843</v>
      </c>
      <c r="E514" s="29" t="s">
        <v>116</v>
      </c>
      <c r="F514" s="30">
        <v>41770</v>
      </c>
      <c r="G514" s="29" t="s">
        <v>1844</v>
      </c>
      <c r="H514" s="29" t="s">
        <v>2915</v>
      </c>
      <c r="I514" s="29" t="s">
        <v>2</v>
      </c>
      <c r="J514" s="31" t="s">
        <v>5366</v>
      </c>
      <c r="K514" s="29" t="s">
        <v>1847</v>
      </c>
      <c r="L514" s="29" t="s">
        <v>4746</v>
      </c>
      <c r="M514" s="32" t="s">
        <v>5367</v>
      </c>
    </row>
    <row r="515" spans="1:13" ht="15.75" thickBot="1" x14ac:dyDescent="0.3">
      <c r="A515" s="33">
        <v>46002.432696759257</v>
      </c>
      <c r="B515" s="34" t="s">
        <v>998</v>
      </c>
      <c r="C515" s="34" t="s">
        <v>1201</v>
      </c>
      <c r="D515" s="34" t="s">
        <v>1182</v>
      </c>
      <c r="E515" s="34" t="s">
        <v>10</v>
      </c>
      <c r="F515" s="35">
        <v>42069</v>
      </c>
      <c r="G515" s="34" t="s">
        <v>1183</v>
      </c>
      <c r="H515" s="34" t="s">
        <v>1184</v>
      </c>
      <c r="I515" s="34" t="s">
        <v>66</v>
      </c>
      <c r="J515" s="36" t="s">
        <v>5368</v>
      </c>
      <c r="K515" s="34" t="s">
        <v>1231</v>
      </c>
      <c r="L515" s="34" t="s">
        <v>4748</v>
      </c>
      <c r="M515" s="37" t="s">
        <v>5369</v>
      </c>
    </row>
    <row r="516" spans="1:13" ht="15.75" thickBot="1" x14ac:dyDescent="0.3">
      <c r="A516" s="28">
        <v>46002.451296296298</v>
      </c>
      <c r="B516" s="29" t="s">
        <v>10</v>
      </c>
      <c r="C516" s="29" t="s">
        <v>4755</v>
      </c>
      <c r="D516" s="29" t="s">
        <v>4751</v>
      </c>
      <c r="E516" s="29" t="s">
        <v>28</v>
      </c>
      <c r="F516" s="30">
        <v>41594</v>
      </c>
      <c r="G516" s="29" t="s">
        <v>4752</v>
      </c>
      <c r="H516" s="29" t="s">
        <v>4753</v>
      </c>
      <c r="I516" s="29" t="s">
        <v>2</v>
      </c>
      <c r="J516" s="31" t="s">
        <v>5370</v>
      </c>
      <c r="K516" s="29" t="s">
        <v>5371</v>
      </c>
      <c r="L516" s="29" t="s">
        <v>4750</v>
      </c>
      <c r="M516" s="32" t="s">
        <v>5372</v>
      </c>
    </row>
    <row r="517" spans="1:13" ht="15.75" thickBot="1" x14ac:dyDescent="0.3">
      <c r="A517" s="33">
        <v>46002.460162037038</v>
      </c>
      <c r="B517" s="34" t="s">
        <v>1153</v>
      </c>
      <c r="C517" s="34" t="s">
        <v>4761</v>
      </c>
      <c r="D517" s="34" t="s">
        <v>4757</v>
      </c>
      <c r="E517" s="34" t="s">
        <v>10</v>
      </c>
      <c r="F517" s="35">
        <v>42601</v>
      </c>
      <c r="G517" s="34" t="s">
        <v>4758</v>
      </c>
      <c r="H517" s="34" t="s">
        <v>4759</v>
      </c>
      <c r="I517" s="34" t="s">
        <v>2</v>
      </c>
      <c r="J517" s="36" t="s">
        <v>5373</v>
      </c>
      <c r="K517" s="34" t="s">
        <v>5374</v>
      </c>
      <c r="L517" s="34" t="s">
        <v>4756</v>
      </c>
      <c r="M517" s="37" t="s">
        <v>5375</v>
      </c>
    </row>
    <row r="518" spans="1:13" ht="15.75" thickBot="1" x14ac:dyDescent="0.3">
      <c r="A518" s="28">
        <v>46002.462025462963</v>
      </c>
      <c r="B518" s="29" t="s">
        <v>1153</v>
      </c>
      <c r="C518" s="29" t="s">
        <v>4761</v>
      </c>
      <c r="D518" s="29" t="s">
        <v>4763</v>
      </c>
      <c r="E518" s="29" t="s">
        <v>10</v>
      </c>
      <c r="F518" s="30">
        <v>42002</v>
      </c>
      <c r="G518" s="29" t="s">
        <v>4764</v>
      </c>
      <c r="H518" s="29" t="s">
        <v>4765</v>
      </c>
      <c r="I518" s="29" t="s">
        <v>66</v>
      </c>
      <c r="J518" s="31" t="s">
        <v>5376</v>
      </c>
      <c r="K518" s="29" t="s">
        <v>5374</v>
      </c>
      <c r="L518" s="29" t="s">
        <v>4762</v>
      </c>
      <c r="M518" s="32" t="s">
        <v>5377</v>
      </c>
    </row>
    <row r="519" spans="1:13" ht="15.75" thickBot="1" x14ac:dyDescent="0.3">
      <c r="A519" s="33">
        <v>46002.462847222225</v>
      </c>
      <c r="B519" s="34" t="s">
        <v>953</v>
      </c>
      <c r="C519" s="34" t="s">
        <v>268</v>
      </c>
      <c r="D519" s="34" t="s">
        <v>4767</v>
      </c>
      <c r="E519" s="34" t="s">
        <v>10</v>
      </c>
      <c r="F519" s="35">
        <v>41551</v>
      </c>
      <c r="G519" s="34" t="s">
        <v>4768</v>
      </c>
      <c r="H519" s="34" t="s">
        <v>4769</v>
      </c>
      <c r="I519" s="34" t="s">
        <v>2</v>
      </c>
      <c r="J519" s="36" t="s">
        <v>5378</v>
      </c>
      <c r="K519" s="34" t="s">
        <v>5379</v>
      </c>
      <c r="L519" s="34" t="s">
        <v>4381</v>
      </c>
      <c r="M519" s="37" t="s">
        <v>5380</v>
      </c>
    </row>
    <row r="520" spans="1:13" ht="15.75" thickBot="1" x14ac:dyDescent="0.3">
      <c r="A520" s="28">
        <v>46002.464895833335</v>
      </c>
      <c r="B520" s="29" t="s">
        <v>905</v>
      </c>
      <c r="C520" s="29" t="s">
        <v>7</v>
      </c>
      <c r="D520" s="29" t="s">
        <v>4772</v>
      </c>
      <c r="E520" s="29" t="s">
        <v>328</v>
      </c>
      <c r="F520" s="30">
        <v>40880</v>
      </c>
      <c r="G520" s="29" t="s">
        <v>4773</v>
      </c>
      <c r="H520" s="29" t="s">
        <v>4774</v>
      </c>
      <c r="I520" s="29" t="s">
        <v>2</v>
      </c>
      <c r="J520" s="31" t="s">
        <v>5381</v>
      </c>
      <c r="K520" s="29" t="s">
        <v>907</v>
      </c>
      <c r="L520" s="29" t="s">
        <v>4771</v>
      </c>
      <c r="M520" s="32" t="s">
        <v>5382</v>
      </c>
    </row>
    <row r="521" spans="1:13" ht="15.75" thickBot="1" x14ac:dyDescent="0.3">
      <c r="A521" s="33">
        <v>46002.466516203705</v>
      </c>
      <c r="B521" s="34" t="s">
        <v>905</v>
      </c>
      <c r="C521" s="34" t="s">
        <v>7</v>
      </c>
      <c r="D521" s="34" t="s">
        <v>5383</v>
      </c>
      <c r="E521" s="34" t="s">
        <v>3</v>
      </c>
      <c r="F521" s="35">
        <v>40885</v>
      </c>
      <c r="G521" s="34" t="s">
        <v>5384</v>
      </c>
      <c r="H521" s="34" t="s">
        <v>5385</v>
      </c>
      <c r="I521" s="34" t="s">
        <v>2</v>
      </c>
      <c r="J521" s="36" t="s">
        <v>5386</v>
      </c>
      <c r="K521" s="34" t="s">
        <v>907</v>
      </c>
      <c r="L521" s="34" t="s">
        <v>5387</v>
      </c>
      <c r="M521" s="37" t="s">
        <v>5388</v>
      </c>
    </row>
    <row r="522" spans="1:13" ht="15.75" thickBot="1" x14ac:dyDescent="0.3">
      <c r="A522" s="28">
        <v>46002.466967592591</v>
      </c>
      <c r="B522" s="29" t="s">
        <v>998</v>
      </c>
      <c r="C522" s="29" t="s">
        <v>1253</v>
      </c>
      <c r="D522" s="29" t="s">
        <v>1254</v>
      </c>
      <c r="E522" s="29" t="s">
        <v>1255</v>
      </c>
      <c r="F522" s="30">
        <v>40671</v>
      </c>
      <c r="G522" s="29" t="s">
        <v>1256</v>
      </c>
      <c r="H522" s="29" t="s">
        <v>1257</v>
      </c>
      <c r="I522" s="29" t="s">
        <v>2</v>
      </c>
      <c r="J522" s="31" t="s">
        <v>5389</v>
      </c>
      <c r="K522" s="29" t="s">
        <v>5390</v>
      </c>
      <c r="L522" s="29" t="s">
        <v>4776</v>
      </c>
      <c r="M522" s="32" t="s">
        <v>5391</v>
      </c>
    </row>
    <row r="523" spans="1:13" ht="15.75" thickBot="1" x14ac:dyDescent="0.3">
      <c r="A523" s="33">
        <v>46002.468298611115</v>
      </c>
      <c r="B523" s="34" t="s">
        <v>905</v>
      </c>
      <c r="C523" s="34" t="s">
        <v>7</v>
      </c>
      <c r="D523" s="34" t="s">
        <v>4779</v>
      </c>
      <c r="E523" s="34" t="s">
        <v>4780</v>
      </c>
      <c r="F523" s="35">
        <v>40789</v>
      </c>
      <c r="G523" s="34" t="s">
        <v>4781</v>
      </c>
      <c r="H523" s="34" t="s">
        <v>4782</v>
      </c>
      <c r="I523" s="34" t="s">
        <v>2</v>
      </c>
      <c r="J523" s="36" t="s">
        <v>5392</v>
      </c>
      <c r="K523" s="34" t="s">
        <v>907</v>
      </c>
      <c r="L523" s="34" t="s">
        <v>4778</v>
      </c>
      <c r="M523" s="37" t="s">
        <v>5393</v>
      </c>
    </row>
    <row r="524" spans="1:13" ht="15.75" thickBot="1" x14ac:dyDescent="0.3">
      <c r="A524" s="28">
        <v>46002.468912037039</v>
      </c>
      <c r="B524" s="29" t="s">
        <v>998</v>
      </c>
      <c r="C524" s="29" t="s">
        <v>1253</v>
      </c>
      <c r="D524" s="29" t="s">
        <v>4785</v>
      </c>
      <c r="E524" s="29" t="s">
        <v>28</v>
      </c>
      <c r="F524" s="30">
        <v>40931</v>
      </c>
      <c r="G524" s="29" t="s">
        <v>4786</v>
      </c>
      <c r="H524" s="29" t="s">
        <v>4787</v>
      </c>
      <c r="I524" s="29" t="s">
        <v>66</v>
      </c>
      <c r="J524" s="31" t="s">
        <v>5394</v>
      </c>
      <c r="K524" s="29" t="s">
        <v>5390</v>
      </c>
      <c r="L524" s="29" t="s">
        <v>4784</v>
      </c>
      <c r="M524" s="32" t="s">
        <v>5395</v>
      </c>
    </row>
    <row r="525" spans="1:13" ht="15.75" thickBot="1" x14ac:dyDescent="0.3">
      <c r="A525" s="33">
        <v>46002.478726851848</v>
      </c>
      <c r="B525" s="34" t="s">
        <v>10</v>
      </c>
      <c r="C525" s="34" t="s">
        <v>4794</v>
      </c>
      <c r="D525" s="34" t="s">
        <v>4790</v>
      </c>
      <c r="E525" s="34" t="s">
        <v>28</v>
      </c>
      <c r="F525" s="35">
        <v>42017</v>
      </c>
      <c r="G525" s="34" t="s">
        <v>4791</v>
      </c>
      <c r="H525" s="34" t="s">
        <v>4792</v>
      </c>
      <c r="I525" s="34" t="s">
        <v>66</v>
      </c>
      <c r="J525" s="36" t="s">
        <v>5396</v>
      </c>
      <c r="K525" s="34" t="s">
        <v>5397</v>
      </c>
      <c r="L525" s="34" t="s">
        <v>4789</v>
      </c>
      <c r="M525" s="37" t="s">
        <v>5398</v>
      </c>
    </row>
    <row r="526" spans="1:13" ht="15.75" thickBot="1" x14ac:dyDescent="0.3">
      <c r="A526" s="28">
        <v>46002.482094907406</v>
      </c>
      <c r="B526" s="29" t="s">
        <v>998</v>
      </c>
      <c r="C526" s="29" t="s">
        <v>1253</v>
      </c>
      <c r="D526" s="29" t="s">
        <v>4796</v>
      </c>
      <c r="E526" s="29" t="s">
        <v>28</v>
      </c>
      <c r="F526" s="30">
        <v>41557</v>
      </c>
      <c r="G526" s="29" t="s">
        <v>4797</v>
      </c>
      <c r="H526" s="29" t="s">
        <v>4798</v>
      </c>
      <c r="I526" s="29" t="s">
        <v>66</v>
      </c>
      <c r="J526" s="31" t="s">
        <v>5399</v>
      </c>
      <c r="K526" s="29" t="s">
        <v>5390</v>
      </c>
      <c r="L526" s="29" t="s">
        <v>4795</v>
      </c>
      <c r="M526" s="32" t="s">
        <v>5400</v>
      </c>
    </row>
    <row r="527" spans="1:13" ht="15.75" thickBot="1" x14ac:dyDescent="0.3">
      <c r="A527" s="33">
        <v>46002.484722222223</v>
      </c>
      <c r="B527" s="34" t="s">
        <v>998</v>
      </c>
      <c r="C527" s="34" t="s">
        <v>1253</v>
      </c>
      <c r="D527" s="34" t="s">
        <v>4801</v>
      </c>
      <c r="E527" s="34" t="s">
        <v>28</v>
      </c>
      <c r="F527" s="35">
        <v>42261</v>
      </c>
      <c r="G527" s="34" t="s">
        <v>4802</v>
      </c>
      <c r="H527" s="34" t="s">
        <v>4803</v>
      </c>
      <c r="I527" s="34" t="s">
        <v>2</v>
      </c>
      <c r="J527" s="36" t="s">
        <v>5401</v>
      </c>
      <c r="K527" s="34" t="s">
        <v>5390</v>
      </c>
      <c r="L527" s="34" t="s">
        <v>4800</v>
      </c>
      <c r="M527" s="37" t="s">
        <v>5402</v>
      </c>
    </row>
    <row r="528" spans="1:13" ht="15.75" thickBot="1" x14ac:dyDescent="0.3">
      <c r="A528" s="28">
        <v>46002.489988425928</v>
      </c>
      <c r="B528" s="29" t="s">
        <v>998</v>
      </c>
      <c r="C528" s="29" t="s">
        <v>4810</v>
      </c>
      <c r="D528" s="29" t="s">
        <v>4806</v>
      </c>
      <c r="E528" s="29" t="s">
        <v>10</v>
      </c>
      <c r="F528" s="30">
        <v>42634</v>
      </c>
      <c r="G528" s="29" t="s">
        <v>4807</v>
      </c>
      <c r="H528" s="29" t="s">
        <v>4808</v>
      </c>
      <c r="I528" s="29" t="s">
        <v>66</v>
      </c>
      <c r="J528" s="31" t="s">
        <v>5403</v>
      </c>
      <c r="K528" s="29" t="s">
        <v>5404</v>
      </c>
      <c r="L528" s="29" t="s">
        <v>4805</v>
      </c>
      <c r="M528" s="32" t="s">
        <v>5405</v>
      </c>
    </row>
    <row r="529" spans="1:13" ht="15.75" thickBot="1" x14ac:dyDescent="0.3">
      <c r="A529" s="33">
        <v>46002.490324074075</v>
      </c>
      <c r="B529" s="34" t="s">
        <v>953</v>
      </c>
      <c r="C529" s="34" t="s">
        <v>725</v>
      </c>
      <c r="D529" s="34" t="s">
        <v>4811</v>
      </c>
      <c r="E529" s="34" t="s">
        <v>10</v>
      </c>
      <c r="F529" s="35">
        <v>42524</v>
      </c>
      <c r="G529" s="34" t="s">
        <v>4740</v>
      </c>
      <c r="H529" s="34" t="s">
        <v>4741</v>
      </c>
      <c r="I529" s="34" t="s">
        <v>66</v>
      </c>
      <c r="J529" s="36" t="s">
        <v>5406</v>
      </c>
      <c r="K529" s="34" t="s">
        <v>5362</v>
      </c>
      <c r="L529" s="34" t="s">
        <v>4381</v>
      </c>
      <c r="M529" s="37" t="s">
        <v>5407</v>
      </c>
    </row>
    <row r="530" spans="1:13" ht="15.75" thickBot="1" x14ac:dyDescent="0.3">
      <c r="A530" s="28">
        <v>46002.49082175926</v>
      </c>
      <c r="B530" s="29" t="s">
        <v>998</v>
      </c>
      <c r="C530" s="29" t="s">
        <v>1253</v>
      </c>
      <c r="D530" s="29" t="s">
        <v>4813</v>
      </c>
      <c r="E530" s="29" t="s">
        <v>1255</v>
      </c>
      <c r="F530" s="30">
        <v>40733</v>
      </c>
      <c r="G530" s="29" t="s">
        <v>4814</v>
      </c>
      <c r="H530" s="29" t="s">
        <v>4815</v>
      </c>
      <c r="I530" s="29" t="s">
        <v>2</v>
      </c>
      <c r="J530" s="31" t="s">
        <v>5408</v>
      </c>
      <c r="K530" s="29" t="s">
        <v>5390</v>
      </c>
      <c r="L530" s="29" t="s">
        <v>4812</v>
      </c>
      <c r="M530" s="32" t="s">
        <v>5409</v>
      </c>
    </row>
    <row r="531" spans="1:13" ht="15.75" thickBot="1" x14ac:dyDescent="0.3">
      <c r="A531" s="33">
        <v>46002.491724537038</v>
      </c>
      <c r="B531" s="34" t="s">
        <v>10</v>
      </c>
      <c r="C531" s="34" t="s">
        <v>441</v>
      </c>
      <c r="D531" s="34" t="s">
        <v>4818</v>
      </c>
      <c r="E531" s="34" t="s">
        <v>116</v>
      </c>
      <c r="F531" s="35">
        <v>41971</v>
      </c>
      <c r="G531" s="34" t="s">
        <v>4819</v>
      </c>
      <c r="H531" s="34" t="s">
        <v>4820</v>
      </c>
      <c r="I531" s="34" t="s">
        <v>2</v>
      </c>
      <c r="J531" s="36" t="s">
        <v>5410</v>
      </c>
      <c r="K531" s="34" t="s">
        <v>1383</v>
      </c>
      <c r="L531" s="34" t="s">
        <v>4817</v>
      </c>
      <c r="M531" s="37" t="s">
        <v>5411</v>
      </c>
    </row>
    <row r="532" spans="1:13" ht="15.75" thickBot="1" x14ac:dyDescent="0.3">
      <c r="A532" s="28">
        <v>46002.498518518521</v>
      </c>
      <c r="B532" s="29" t="s">
        <v>10</v>
      </c>
      <c r="C532" s="29" t="s">
        <v>441</v>
      </c>
      <c r="D532" s="29" t="s">
        <v>4823</v>
      </c>
      <c r="E532" s="29" t="s">
        <v>10</v>
      </c>
      <c r="F532" s="30">
        <v>42623</v>
      </c>
      <c r="G532" s="29" t="s">
        <v>3371</v>
      </c>
      <c r="H532" s="29" t="s">
        <v>4824</v>
      </c>
      <c r="I532" s="29" t="s">
        <v>2</v>
      </c>
      <c r="J532" s="31" t="s">
        <v>5412</v>
      </c>
      <c r="K532" s="29" t="s">
        <v>1383</v>
      </c>
      <c r="L532" s="29" t="s">
        <v>4822</v>
      </c>
      <c r="M532" s="32" t="s">
        <v>5413</v>
      </c>
    </row>
    <row r="533" spans="1:13" ht="15.75" thickBot="1" x14ac:dyDescent="0.3">
      <c r="A533" s="33">
        <v>46002.501354166663</v>
      </c>
      <c r="B533" s="34" t="s">
        <v>10</v>
      </c>
      <c r="C533" s="34" t="s">
        <v>441</v>
      </c>
      <c r="D533" s="34" t="s">
        <v>4827</v>
      </c>
      <c r="E533" s="34" t="s">
        <v>10</v>
      </c>
      <c r="F533" s="35">
        <v>42294</v>
      </c>
      <c r="G533" s="34" t="s">
        <v>4828</v>
      </c>
      <c r="H533" s="34" t="s">
        <v>4829</v>
      </c>
      <c r="I533" s="34" t="s">
        <v>2</v>
      </c>
      <c r="J533" s="36" t="s">
        <v>5414</v>
      </c>
      <c r="K533" s="34" t="s">
        <v>1383</v>
      </c>
      <c r="L533" s="34" t="s">
        <v>4826</v>
      </c>
      <c r="M533" s="37" t="s">
        <v>5415</v>
      </c>
    </row>
    <row r="534" spans="1:13" ht="15.75" thickBot="1" x14ac:dyDescent="0.3">
      <c r="A534" s="28">
        <v>46002.504016203704</v>
      </c>
      <c r="B534" s="29" t="s">
        <v>10</v>
      </c>
      <c r="C534" s="29" t="s">
        <v>441</v>
      </c>
      <c r="D534" s="29" t="s">
        <v>4832</v>
      </c>
      <c r="E534" s="29" t="s">
        <v>10</v>
      </c>
      <c r="F534" s="30">
        <v>41755</v>
      </c>
      <c r="G534" s="29" t="s">
        <v>4833</v>
      </c>
      <c r="H534" s="29" t="s">
        <v>4834</v>
      </c>
      <c r="I534" s="29" t="s">
        <v>2</v>
      </c>
      <c r="J534" s="31" t="s">
        <v>5416</v>
      </c>
      <c r="K534" s="29" t="s">
        <v>1383</v>
      </c>
      <c r="L534" s="29" t="s">
        <v>4831</v>
      </c>
      <c r="M534" s="32" t="s">
        <v>5417</v>
      </c>
    </row>
    <row r="535" spans="1:13" ht="15.75" thickBot="1" x14ac:dyDescent="0.3">
      <c r="A535" s="33">
        <v>46002.509016203701</v>
      </c>
      <c r="B535" s="34" t="s">
        <v>10</v>
      </c>
      <c r="C535" s="34" t="s">
        <v>441</v>
      </c>
      <c r="D535" s="34" t="s">
        <v>4837</v>
      </c>
      <c r="E535" s="34" t="s">
        <v>10</v>
      </c>
      <c r="F535" s="35">
        <v>41438</v>
      </c>
      <c r="G535" s="34" t="s">
        <v>4838</v>
      </c>
      <c r="H535" s="34" t="s">
        <v>4839</v>
      </c>
      <c r="I535" s="34" t="s">
        <v>2</v>
      </c>
      <c r="J535" s="36" t="s">
        <v>5418</v>
      </c>
      <c r="K535" s="34" t="s">
        <v>1383</v>
      </c>
      <c r="L535" s="34" t="s">
        <v>4836</v>
      </c>
      <c r="M535" s="37" t="s">
        <v>5419</v>
      </c>
    </row>
    <row r="536" spans="1:13" ht="15.75" thickBot="1" x14ac:dyDescent="0.3">
      <c r="A536" s="28">
        <v>46002.509444444448</v>
      </c>
      <c r="B536" s="29" t="s">
        <v>998</v>
      </c>
      <c r="C536" s="29" t="s">
        <v>4810</v>
      </c>
      <c r="D536" s="29" t="s">
        <v>4842</v>
      </c>
      <c r="E536" s="29" t="s">
        <v>28</v>
      </c>
      <c r="F536" s="30">
        <v>41129</v>
      </c>
      <c r="G536" s="29" t="s">
        <v>4843</v>
      </c>
      <c r="H536" s="29" t="s">
        <v>4844</v>
      </c>
      <c r="I536" s="29" t="s">
        <v>66</v>
      </c>
      <c r="J536" s="31" t="s">
        <v>5420</v>
      </c>
      <c r="K536" s="29" t="s">
        <v>5421</v>
      </c>
      <c r="L536" s="29" t="s">
        <v>4841</v>
      </c>
      <c r="M536" s="32" t="s">
        <v>5422</v>
      </c>
    </row>
    <row r="537" spans="1:13" ht="15.75" thickBot="1" x14ac:dyDescent="0.3">
      <c r="A537" s="33">
        <v>46002.520196759258</v>
      </c>
      <c r="B537" s="34" t="s">
        <v>998</v>
      </c>
      <c r="C537" s="34" t="s">
        <v>319</v>
      </c>
      <c r="D537" s="34" t="s">
        <v>4847</v>
      </c>
      <c r="E537" s="34" t="s">
        <v>28</v>
      </c>
      <c r="F537" s="35">
        <v>40690</v>
      </c>
      <c r="G537" s="34" t="s">
        <v>4848</v>
      </c>
      <c r="H537" s="34" t="s">
        <v>4849</v>
      </c>
      <c r="I537" s="34" t="s">
        <v>66</v>
      </c>
      <c r="J537" s="36" t="s">
        <v>5423</v>
      </c>
      <c r="K537" s="34" t="s">
        <v>5424</v>
      </c>
      <c r="L537" s="34" t="s">
        <v>4846</v>
      </c>
      <c r="M537" s="37" t="s">
        <v>5425</v>
      </c>
    </row>
    <row r="538" spans="1:13" ht="15.75" thickBot="1" x14ac:dyDescent="0.3">
      <c r="A538" s="28">
        <v>46002.524641203701</v>
      </c>
      <c r="B538" s="29" t="s">
        <v>1153</v>
      </c>
      <c r="C538" s="29" t="s">
        <v>4856</v>
      </c>
      <c r="D538" s="29" t="s">
        <v>4852</v>
      </c>
      <c r="E538" s="29" t="s">
        <v>10</v>
      </c>
      <c r="F538" s="30">
        <v>42497</v>
      </c>
      <c r="G538" s="29" t="s">
        <v>4853</v>
      </c>
      <c r="H538" s="29" t="s">
        <v>4854</v>
      </c>
      <c r="I538" s="29" t="s">
        <v>66</v>
      </c>
      <c r="J538" s="31" t="s">
        <v>5426</v>
      </c>
      <c r="K538" s="29" t="s">
        <v>5427</v>
      </c>
      <c r="L538" s="29" t="s">
        <v>4851</v>
      </c>
      <c r="M538" s="32" t="s">
        <v>5428</v>
      </c>
    </row>
    <row r="539" spans="1:13" ht="15.75" thickBot="1" x14ac:dyDescent="0.3">
      <c r="A539" s="33">
        <v>46002.528819444444</v>
      </c>
      <c r="B539" s="34" t="s">
        <v>1153</v>
      </c>
      <c r="C539" s="34" t="s">
        <v>4856</v>
      </c>
      <c r="D539" s="34" t="s">
        <v>4858</v>
      </c>
      <c r="E539" s="34" t="s">
        <v>4859</v>
      </c>
      <c r="F539" s="35">
        <v>42222</v>
      </c>
      <c r="G539" s="34" t="s">
        <v>4860</v>
      </c>
      <c r="H539" s="34" t="s">
        <v>4861</v>
      </c>
      <c r="I539" s="34" t="s">
        <v>66</v>
      </c>
      <c r="J539" s="36" t="s">
        <v>5429</v>
      </c>
      <c r="K539" s="34" t="s">
        <v>5427</v>
      </c>
      <c r="L539" s="34" t="s">
        <v>4857</v>
      </c>
      <c r="M539" s="37" t="s">
        <v>5430</v>
      </c>
    </row>
    <row r="540" spans="1:13" ht="15.75" thickBot="1" x14ac:dyDescent="0.3">
      <c r="A540" s="28">
        <v>46002.530659722222</v>
      </c>
      <c r="B540" s="29" t="s">
        <v>1153</v>
      </c>
      <c r="C540" s="29" t="s">
        <v>4856</v>
      </c>
      <c r="D540" s="29" t="s">
        <v>4864</v>
      </c>
      <c r="E540" s="29" t="s">
        <v>10</v>
      </c>
      <c r="F540" s="30">
        <v>42831</v>
      </c>
      <c r="G540" s="29" t="s">
        <v>3880</v>
      </c>
      <c r="H540" s="29" t="s">
        <v>4865</v>
      </c>
      <c r="I540" s="29" t="s">
        <v>66</v>
      </c>
      <c r="J540" s="31" t="s">
        <v>5431</v>
      </c>
      <c r="K540" s="29" t="s">
        <v>5427</v>
      </c>
      <c r="L540" s="29" t="s">
        <v>4863</v>
      </c>
      <c r="M540" s="32" t="s">
        <v>5432</v>
      </c>
    </row>
    <row r="541" spans="1:13" ht="15.75" thickBot="1" x14ac:dyDescent="0.3">
      <c r="A541" s="33">
        <v>46002.533182870371</v>
      </c>
      <c r="B541" s="34" t="s">
        <v>1153</v>
      </c>
      <c r="C541" s="34" t="s">
        <v>4856</v>
      </c>
      <c r="D541" s="34" t="s">
        <v>4868</v>
      </c>
      <c r="E541" s="34" t="s">
        <v>10</v>
      </c>
      <c r="F541" s="35">
        <v>42821</v>
      </c>
      <c r="G541" s="34" t="s">
        <v>4869</v>
      </c>
      <c r="H541" s="34" t="s">
        <v>4870</v>
      </c>
      <c r="I541" s="34" t="s">
        <v>2</v>
      </c>
      <c r="J541" s="36" t="s">
        <v>5433</v>
      </c>
      <c r="K541" s="34" t="s">
        <v>5427</v>
      </c>
      <c r="L541" s="34" t="s">
        <v>4867</v>
      </c>
      <c r="M541" s="37" t="s">
        <v>5434</v>
      </c>
    </row>
    <row r="542" spans="1:13" ht="15.75" thickBot="1" x14ac:dyDescent="0.3">
      <c r="A542" s="28">
        <v>46002.535185185188</v>
      </c>
      <c r="B542" s="29" t="s">
        <v>1153</v>
      </c>
      <c r="C542" s="29" t="s">
        <v>4856</v>
      </c>
      <c r="D542" s="29" t="s">
        <v>4873</v>
      </c>
      <c r="E542" s="29" t="s">
        <v>10</v>
      </c>
      <c r="F542" s="30">
        <v>42138</v>
      </c>
      <c r="G542" s="29" t="s">
        <v>4874</v>
      </c>
      <c r="H542" s="29" t="s">
        <v>4875</v>
      </c>
      <c r="I542" s="29" t="s">
        <v>2</v>
      </c>
      <c r="J542" s="31" t="s">
        <v>5435</v>
      </c>
      <c r="K542" s="29" t="s">
        <v>5427</v>
      </c>
      <c r="L542" s="29" t="s">
        <v>4872</v>
      </c>
      <c r="M542" s="32" t="s">
        <v>5436</v>
      </c>
    </row>
    <row r="543" spans="1:13" ht="15.75" thickBot="1" x14ac:dyDescent="0.3">
      <c r="A543" s="33">
        <v>46002.537060185183</v>
      </c>
      <c r="B543" s="34" t="s">
        <v>1153</v>
      </c>
      <c r="C543" s="34" t="s">
        <v>4856</v>
      </c>
      <c r="D543" s="34" t="s">
        <v>4878</v>
      </c>
      <c r="E543" s="34" t="s">
        <v>10</v>
      </c>
      <c r="F543" s="35">
        <v>42558</v>
      </c>
      <c r="G543" s="34" t="s">
        <v>4879</v>
      </c>
      <c r="H543" s="34" t="s">
        <v>4880</v>
      </c>
      <c r="I543" s="34" t="s">
        <v>2</v>
      </c>
      <c r="J543" s="36" t="s">
        <v>5437</v>
      </c>
      <c r="K543" s="34" t="s">
        <v>5427</v>
      </c>
      <c r="L543" s="34" t="s">
        <v>4877</v>
      </c>
      <c r="M543" s="37" t="s">
        <v>5438</v>
      </c>
    </row>
    <row r="544" spans="1:13" ht="15.75" thickBot="1" x14ac:dyDescent="0.3">
      <c r="A544" s="28">
        <v>46002.538923611108</v>
      </c>
      <c r="B544" s="29" t="s">
        <v>1153</v>
      </c>
      <c r="C544" s="29" t="s">
        <v>4856</v>
      </c>
      <c r="D544" s="29" t="s">
        <v>4883</v>
      </c>
      <c r="E544" s="29" t="s">
        <v>10</v>
      </c>
      <c r="F544" s="30">
        <v>41564</v>
      </c>
      <c r="G544" s="29" t="s">
        <v>4884</v>
      </c>
      <c r="H544" s="29" t="s">
        <v>4885</v>
      </c>
      <c r="I544" s="29" t="s">
        <v>66</v>
      </c>
      <c r="J544" s="31" t="s">
        <v>5439</v>
      </c>
      <c r="K544" s="29" t="s">
        <v>5427</v>
      </c>
      <c r="L544" s="29" t="s">
        <v>4882</v>
      </c>
      <c r="M544" s="32" t="s">
        <v>5440</v>
      </c>
    </row>
    <row r="545" spans="1:13" ht="15.75" thickBot="1" x14ac:dyDescent="0.3">
      <c r="A545" s="33">
        <v>46002.541747685187</v>
      </c>
      <c r="B545" s="34" t="s">
        <v>953</v>
      </c>
      <c r="C545" s="34" t="s">
        <v>4810</v>
      </c>
      <c r="D545" s="34" t="s">
        <v>4887</v>
      </c>
      <c r="E545" s="34" t="s">
        <v>5441</v>
      </c>
      <c r="F545" s="35">
        <v>41575</v>
      </c>
      <c r="G545" s="34" t="s">
        <v>668</v>
      </c>
      <c r="H545" s="34" t="s">
        <v>4888</v>
      </c>
      <c r="I545" s="34" t="s">
        <v>66</v>
      </c>
      <c r="J545" s="36" t="s">
        <v>5442</v>
      </c>
      <c r="K545" s="34" t="s">
        <v>5443</v>
      </c>
      <c r="L545" s="34" t="s">
        <v>3017</v>
      </c>
      <c r="M545" s="37" t="s">
        <v>5444</v>
      </c>
    </row>
    <row r="546" spans="1:13" ht="15.75" thickBot="1" x14ac:dyDescent="0.3">
      <c r="A546" s="28">
        <v>46002.542928240742</v>
      </c>
      <c r="B546" s="29" t="s">
        <v>953</v>
      </c>
      <c r="C546" s="29" t="s">
        <v>2923</v>
      </c>
      <c r="D546" s="29" t="s">
        <v>2924</v>
      </c>
      <c r="E546" s="29" t="s">
        <v>28</v>
      </c>
      <c r="F546" s="30">
        <v>41783</v>
      </c>
      <c r="G546" s="29" t="s">
        <v>2925</v>
      </c>
      <c r="H546" s="29" t="s">
        <v>2926</v>
      </c>
      <c r="I546" s="29" t="s">
        <v>2</v>
      </c>
      <c r="J546" s="31" t="s">
        <v>5445</v>
      </c>
      <c r="K546" s="29" t="s">
        <v>2941</v>
      </c>
      <c r="L546" s="29" t="s">
        <v>3018</v>
      </c>
      <c r="M546" s="32" t="s">
        <v>5446</v>
      </c>
    </row>
    <row r="547" spans="1:13" ht="15.75" thickBot="1" x14ac:dyDescent="0.3">
      <c r="A547" s="33">
        <v>46002.54792824074</v>
      </c>
      <c r="B547" s="34" t="s">
        <v>998</v>
      </c>
      <c r="C547" s="34" t="s">
        <v>4810</v>
      </c>
      <c r="D547" s="34" t="s">
        <v>4891</v>
      </c>
      <c r="E547" s="34" t="s">
        <v>28</v>
      </c>
      <c r="F547" s="35">
        <v>42199</v>
      </c>
      <c r="G547" s="34" t="s">
        <v>4892</v>
      </c>
      <c r="H547" s="34" t="s">
        <v>4893</v>
      </c>
      <c r="I547" s="34" t="s">
        <v>66</v>
      </c>
      <c r="J547" s="36" t="s">
        <v>5447</v>
      </c>
      <c r="K547" s="34" t="s">
        <v>5448</v>
      </c>
      <c r="L547" s="34" t="s">
        <v>4890</v>
      </c>
      <c r="M547" s="37" t="s">
        <v>5449</v>
      </c>
    </row>
    <row r="548" spans="1:13" ht="15.75" thickBot="1" x14ac:dyDescent="0.3">
      <c r="A548" s="28">
        <v>46002.549016203702</v>
      </c>
      <c r="B548" s="29" t="s">
        <v>953</v>
      </c>
      <c r="C548" s="29" t="s">
        <v>2923</v>
      </c>
      <c r="D548" s="29" t="s">
        <v>2950</v>
      </c>
      <c r="E548" s="29" t="s">
        <v>28</v>
      </c>
      <c r="F548" s="30">
        <v>41623</v>
      </c>
      <c r="G548" s="29" t="s">
        <v>2951</v>
      </c>
      <c r="H548" s="29" t="s">
        <v>2952</v>
      </c>
      <c r="I548" s="29" t="s">
        <v>2</v>
      </c>
      <c r="J548" s="31" t="s">
        <v>5450</v>
      </c>
      <c r="K548" s="29" t="s">
        <v>2941</v>
      </c>
      <c r="L548" s="29" t="s">
        <v>3019</v>
      </c>
      <c r="M548" s="32" t="s">
        <v>5451</v>
      </c>
    </row>
    <row r="549" spans="1:13" ht="15.75" thickBot="1" x14ac:dyDescent="0.3">
      <c r="A549" s="33">
        <v>46002.55159722222</v>
      </c>
      <c r="B549" s="34" t="s">
        <v>953</v>
      </c>
      <c r="C549" s="34" t="s">
        <v>2923</v>
      </c>
      <c r="D549" s="34" t="s">
        <v>2937</v>
      </c>
      <c r="E549" s="34" t="s">
        <v>28</v>
      </c>
      <c r="F549" s="35">
        <v>42014</v>
      </c>
      <c r="G549" s="34" t="s">
        <v>2938</v>
      </c>
      <c r="H549" s="34" t="s">
        <v>2939</v>
      </c>
      <c r="I549" s="34" t="s">
        <v>2</v>
      </c>
      <c r="J549" s="36" t="s">
        <v>5452</v>
      </c>
      <c r="K549" s="34" t="s">
        <v>2941</v>
      </c>
      <c r="L549" s="34" t="s">
        <v>3020</v>
      </c>
      <c r="M549" s="37" t="s">
        <v>5453</v>
      </c>
    </row>
    <row r="550" spans="1:13" ht="15.75" thickBot="1" x14ac:dyDescent="0.3">
      <c r="A550" s="28">
        <v>46002.554988425924</v>
      </c>
      <c r="B550" s="29" t="s">
        <v>953</v>
      </c>
      <c r="C550" s="29" t="s">
        <v>2923</v>
      </c>
      <c r="D550" s="29" t="s">
        <v>2956</v>
      </c>
      <c r="E550" s="29" t="s">
        <v>28</v>
      </c>
      <c r="F550" s="30">
        <v>42439</v>
      </c>
      <c r="G550" s="29" t="s">
        <v>2957</v>
      </c>
      <c r="H550" s="29" t="s">
        <v>2958</v>
      </c>
      <c r="I550" s="29" t="s">
        <v>2</v>
      </c>
      <c r="J550" s="31" t="s">
        <v>5454</v>
      </c>
      <c r="K550" s="29" t="s">
        <v>2941</v>
      </c>
      <c r="L550" s="29" t="s">
        <v>3021</v>
      </c>
      <c r="M550" s="32" t="s">
        <v>5455</v>
      </c>
    </row>
    <row r="551" spans="1:13" ht="15.75" thickBot="1" x14ac:dyDescent="0.3">
      <c r="A551" s="33">
        <v>46002.555671296293</v>
      </c>
      <c r="B551" s="34" t="s">
        <v>10</v>
      </c>
      <c r="C551" s="34" t="s">
        <v>4794</v>
      </c>
      <c r="D551" s="34" t="s">
        <v>4898</v>
      </c>
      <c r="E551" s="34" t="s">
        <v>28</v>
      </c>
      <c r="F551" s="35">
        <v>42285</v>
      </c>
      <c r="G551" s="34" t="s">
        <v>4899</v>
      </c>
      <c r="H551" s="34" t="s">
        <v>4900</v>
      </c>
      <c r="I551" s="34" t="s">
        <v>2</v>
      </c>
      <c r="J551" s="36" t="s">
        <v>5456</v>
      </c>
      <c r="K551" s="34" t="s">
        <v>5457</v>
      </c>
      <c r="L551" s="34" t="s">
        <v>4897</v>
      </c>
      <c r="M551" s="37" t="s">
        <v>5458</v>
      </c>
    </row>
    <row r="552" spans="1:13" ht="15.75" thickBot="1" x14ac:dyDescent="0.3">
      <c r="A552" s="28">
        <v>46002.556458333333</v>
      </c>
      <c r="B552" s="29" t="s">
        <v>998</v>
      </c>
      <c r="C552" s="29" t="s">
        <v>4810</v>
      </c>
      <c r="D552" s="29" t="s">
        <v>4902</v>
      </c>
      <c r="E552" s="29" t="s">
        <v>28</v>
      </c>
      <c r="F552" s="30">
        <v>41659</v>
      </c>
      <c r="G552" s="29" t="s">
        <v>4903</v>
      </c>
      <c r="H552" s="29" t="s">
        <v>4904</v>
      </c>
      <c r="I552" s="29" t="s">
        <v>2</v>
      </c>
      <c r="J552" s="31" t="s">
        <v>5459</v>
      </c>
      <c r="K552" s="29" t="s">
        <v>5460</v>
      </c>
      <c r="L552" s="29" t="s">
        <v>5461</v>
      </c>
      <c r="M552" s="32" t="s">
        <v>5462</v>
      </c>
    </row>
    <row r="553" spans="1:13" ht="15.75" thickBot="1" x14ac:dyDescent="0.3">
      <c r="A553" s="33">
        <v>46002.557071759256</v>
      </c>
      <c r="B553" s="34" t="s">
        <v>953</v>
      </c>
      <c r="C553" s="34" t="s">
        <v>2923</v>
      </c>
      <c r="D553" s="34" t="s">
        <v>2962</v>
      </c>
      <c r="E553" s="34" t="s">
        <v>28</v>
      </c>
      <c r="F553" s="35">
        <v>41460</v>
      </c>
      <c r="G553" s="34" t="s">
        <v>2963</v>
      </c>
      <c r="H553" s="34" t="s">
        <v>2964</v>
      </c>
      <c r="I553" s="34" t="s">
        <v>2</v>
      </c>
      <c r="J553" s="36" t="s">
        <v>5463</v>
      </c>
      <c r="K553" s="34" t="s">
        <v>2941</v>
      </c>
      <c r="L553" s="34" t="s">
        <v>3022</v>
      </c>
      <c r="M553" s="37" t="s">
        <v>5464</v>
      </c>
    </row>
    <row r="554" spans="1:13" ht="15.75" thickBot="1" x14ac:dyDescent="0.3">
      <c r="A554" s="28">
        <v>46002.558749999997</v>
      </c>
      <c r="B554" s="29" t="s">
        <v>953</v>
      </c>
      <c r="C554" s="29" t="s">
        <v>2923</v>
      </c>
      <c r="D554" s="29" t="s">
        <v>2968</v>
      </c>
      <c r="E554" s="29" t="s">
        <v>28</v>
      </c>
      <c r="F554" s="30">
        <v>41647</v>
      </c>
      <c r="G554" s="29" t="s">
        <v>2969</v>
      </c>
      <c r="H554" s="29" t="s">
        <v>2970</v>
      </c>
      <c r="I554" s="29" t="s">
        <v>2</v>
      </c>
      <c r="J554" s="31" t="s">
        <v>5465</v>
      </c>
      <c r="K554" s="29" t="s">
        <v>2941</v>
      </c>
      <c r="L554" s="29" t="s">
        <v>3023</v>
      </c>
      <c r="M554" s="32" t="s">
        <v>5466</v>
      </c>
    </row>
    <row r="555" spans="1:13" ht="15.75" thickBot="1" x14ac:dyDescent="0.3">
      <c r="A555" s="33">
        <v>46002.560104166667</v>
      </c>
      <c r="B555" s="34" t="s">
        <v>953</v>
      </c>
      <c r="C555" s="34" t="s">
        <v>2923</v>
      </c>
      <c r="D555" s="34" t="s">
        <v>2981</v>
      </c>
      <c r="E555" s="34" t="s">
        <v>28</v>
      </c>
      <c r="F555" s="35">
        <v>41535</v>
      </c>
      <c r="G555" s="34" t="s">
        <v>2982</v>
      </c>
      <c r="H555" s="34" t="s">
        <v>2983</v>
      </c>
      <c r="I555" s="34" t="s">
        <v>66</v>
      </c>
      <c r="J555" s="36" t="s">
        <v>5467</v>
      </c>
      <c r="K555" s="34" t="s">
        <v>2941</v>
      </c>
      <c r="L555" s="34" t="s">
        <v>3024</v>
      </c>
      <c r="M555" s="37" t="s">
        <v>5468</v>
      </c>
    </row>
    <row r="556" spans="1:13" ht="15.75" thickBot="1" x14ac:dyDescent="0.3">
      <c r="A556" s="28">
        <v>46002.561643518522</v>
      </c>
      <c r="B556" s="29" t="s">
        <v>953</v>
      </c>
      <c r="C556" s="29" t="s">
        <v>2923</v>
      </c>
      <c r="D556" s="29" t="s">
        <v>2990</v>
      </c>
      <c r="E556" s="29" t="s">
        <v>365</v>
      </c>
      <c r="F556" s="30">
        <v>42319</v>
      </c>
      <c r="G556" s="29" t="s">
        <v>2991</v>
      </c>
      <c r="H556" s="29" t="s">
        <v>2992</v>
      </c>
      <c r="I556" s="29" t="s">
        <v>66</v>
      </c>
      <c r="J556" s="31" t="s">
        <v>5469</v>
      </c>
      <c r="K556" s="29" t="s">
        <v>2941</v>
      </c>
      <c r="L556" s="29" t="s">
        <v>3025</v>
      </c>
      <c r="M556" s="32" t="s">
        <v>5470</v>
      </c>
    </row>
    <row r="557" spans="1:13" ht="15.75" thickBot="1" x14ac:dyDescent="0.3">
      <c r="A557" s="33">
        <v>46002.570092592592</v>
      </c>
      <c r="B557" s="34" t="s">
        <v>953</v>
      </c>
      <c r="C557" s="34" t="s">
        <v>2923</v>
      </c>
      <c r="D557" s="34" t="s">
        <v>2962</v>
      </c>
      <c r="E557" s="34" t="s">
        <v>28</v>
      </c>
      <c r="F557" s="35">
        <v>41460</v>
      </c>
      <c r="G557" s="34" t="s">
        <v>2963</v>
      </c>
      <c r="H557" s="34" t="s">
        <v>2964</v>
      </c>
      <c r="I557" s="34" t="s">
        <v>2</v>
      </c>
      <c r="J557" s="36" t="s">
        <v>5471</v>
      </c>
      <c r="K557" s="34" t="s">
        <v>2928</v>
      </c>
      <c r="L557" s="34" t="s">
        <v>3026</v>
      </c>
      <c r="M557" s="37" t="s">
        <v>5472</v>
      </c>
    </row>
    <row r="558" spans="1:13" ht="15.75" thickBot="1" x14ac:dyDescent="0.3">
      <c r="A558" s="28">
        <v>46002.57230324074</v>
      </c>
      <c r="B558" s="29" t="s">
        <v>953</v>
      </c>
      <c r="C558" s="29" t="s">
        <v>2923</v>
      </c>
      <c r="D558" s="29" t="s">
        <v>2956</v>
      </c>
      <c r="E558" s="29" t="s">
        <v>28</v>
      </c>
      <c r="F558" s="30">
        <v>42439</v>
      </c>
      <c r="G558" s="29" t="s">
        <v>2957</v>
      </c>
      <c r="H558" s="29" t="s">
        <v>2958</v>
      </c>
      <c r="I558" s="29" t="s">
        <v>2</v>
      </c>
      <c r="J558" s="31" t="s">
        <v>5473</v>
      </c>
      <c r="K558" s="29" t="s">
        <v>2928</v>
      </c>
      <c r="L558" s="29" t="s">
        <v>3027</v>
      </c>
      <c r="M558" s="32" t="s">
        <v>5474</v>
      </c>
    </row>
    <row r="559" spans="1:13" ht="15.75" thickBot="1" x14ac:dyDescent="0.3">
      <c r="A559" s="33">
        <v>46002.577002314814</v>
      </c>
      <c r="B559" s="34" t="s">
        <v>10</v>
      </c>
      <c r="C559" s="34" t="s">
        <v>4810</v>
      </c>
      <c r="D559" s="34" t="s">
        <v>4887</v>
      </c>
      <c r="E559" s="34" t="s">
        <v>4911</v>
      </c>
      <c r="F559" s="35">
        <v>41575</v>
      </c>
      <c r="G559" s="34" t="s">
        <v>668</v>
      </c>
      <c r="H559" s="34" t="s">
        <v>4888</v>
      </c>
      <c r="I559" s="34" t="s">
        <v>66</v>
      </c>
      <c r="J559" s="36" t="s">
        <v>5475</v>
      </c>
      <c r="K559" s="34" t="s">
        <v>5443</v>
      </c>
      <c r="L559" s="34" t="s">
        <v>4910</v>
      </c>
      <c r="M559" s="37" t="s">
        <v>5476</v>
      </c>
    </row>
    <row r="560" spans="1:13" ht="15.75" thickBot="1" x14ac:dyDescent="0.3">
      <c r="A560" s="28">
        <v>46002.594710648147</v>
      </c>
      <c r="B560" s="29" t="s">
        <v>998</v>
      </c>
      <c r="C560" s="29" t="s">
        <v>4810</v>
      </c>
      <c r="D560" s="29" t="s">
        <v>4902</v>
      </c>
      <c r="E560" s="29" t="s">
        <v>28</v>
      </c>
      <c r="F560" s="30">
        <v>41659</v>
      </c>
      <c r="G560" s="29" t="s">
        <v>4903</v>
      </c>
      <c r="H560" s="29" t="s">
        <v>4904</v>
      </c>
      <c r="I560" s="29" t="s">
        <v>2</v>
      </c>
      <c r="J560" s="31" t="s">
        <v>5477</v>
      </c>
      <c r="K560" s="29" t="s">
        <v>5460</v>
      </c>
      <c r="L560" s="29" t="s">
        <v>4913</v>
      </c>
      <c r="M560" s="32" t="s">
        <v>5478</v>
      </c>
    </row>
    <row r="561" spans="1:13" ht="15.75" thickBot="1" x14ac:dyDescent="0.3">
      <c r="A561" s="33">
        <v>46002.59584490741</v>
      </c>
      <c r="B561" s="34" t="s">
        <v>10</v>
      </c>
      <c r="C561" s="34" t="s">
        <v>4920</v>
      </c>
      <c r="D561" s="34" t="s">
        <v>4916</v>
      </c>
      <c r="E561" s="34" t="s">
        <v>10</v>
      </c>
      <c r="F561" s="35">
        <v>42352</v>
      </c>
      <c r="G561" s="34" t="s">
        <v>4917</v>
      </c>
      <c r="H561" s="34" t="s">
        <v>4918</v>
      </c>
      <c r="I561" s="34" t="s">
        <v>2</v>
      </c>
      <c r="J561" s="36" t="s">
        <v>5479</v>
      </c>
      <c r="K561" s="34" t="s">
        <v>5480</v>
      </c>
      <c r="L561" s="34" t="s">
        <v>4915</v>
      </c>
      <c r="M561" s="37" t="s">
        <v>5481</v>
      </c>
    </row>
    <row r="562" spans="1:13" ht="15.75" thickBot="1" x14ac:dyDescent="0.3">
      <c r="A562" s="28">
        <v>46002.598171296297</v>
      </c>
      <c r="B562" s="29" t="s">
        <v>10</v>
      </c>
      <c r="C562" s="29" t="s">
        <v>490</v>
      </c>
      <c r="D562" s="29" t="s">
        <v>4922</v>
      </c>
      <c r="E562" s="29" t="s">
        <v>10</v>
      </c>
      <c r="F562" s="30">
        <v>41920</v>
      </c>
      <c r="G562" s="29" t="s">
        <v>4923</v>
      </c>
      <c r="H562" s="29" t="s">
        <v>4924</v>
      </c>
      <c r="I562" s="29" t="s">
        <v>2</v>
      </c>
      <c r="J562" s="31" t="s">
        <v>5482</v>
      </c>
      <c r="K562" s="29" t="s">
        <v>5483</v>
      </c>
      <c r="L562" s="29" t="s">
        <v>4921</v>
      </c>
      <c r="M562" s="32" t="s">
        <v>5484</v>
      </c>
    </row>
    <row r="563" spans="1:13" ht="15.75" thickBot="1" x14ac:dyDescent="0.3">
      <c r="A563" s="33">
        <v>46002.598506944443</v>
      </c>
      <c r="B563" s="34" t="s">
        <v>10</v>
      </c>
      <c r="C563" s="34" t="s">
        <v>208</v>
      </c>
      <c r="D563" s="34" t="s">
        <v>4927</v>
      </c>
      <c r="E563" s="34" t="s">
        <v>28</v>
      </c>
      <c r="F563" s="35">
        <v>41740</v>
      </c>
      <c r="G563" s="34" t="s">
        <v>4928</v>
      </c>
      <c r="H563" s="34" t="s">
        <v>200</v>
      </c>
      <c r="I563" s="34" t="s">
        <v>66</v>
      </c>
      <c r="J563" s="36" t="s">
        <v>5485</v>
      </c>
      <c r="K563" s="34" t="s">
        <v>5486</v>
      </c>
      <c r="L563" s="34" t="s">
        <v>4926</v>
      </c>
      <c r="M563" s="37" t="s">
        <v>5487</v>
      </c>
    </row>
    <row r="564" spans="1:13" ht="15.75" thickBot="1" x14ac:dyDescent="0.3">
      <c r="A564" s="28">
        <v>46002.598680555559</v>
      </c>
      <c r="B564" s="29" t="s">
        <v>10</v>
      </c>
      <c r="C564" s="29" t="s">
        <v>490</v>
      </c>
      <c r="D564" s="29" t="s">
        <v>4931</v>
      </c>
      <c r="E564" s="29" t="s">
        <v>10</v>
      </c>
      <c r="F564" s="30">
        <v>42487</v>
      </c>
      <c r="G564" s="29" t="s">
        <v>4932</v>
      </c>
      <c r="H564" s="29" t="s">
        <v>4933</v>
      </c>
      <c r="I564" s="29" t="s">
        <v>2</v>
      </c>
      <c r="J564" s="31" t="s">
        <v>5488</v>
      </c>
      <c r="K564" s="29" t="s">
        <v>5489</v>
      </c>
      <c r="L564" s="29" t="s">
        <v>4930</v>
      </c>
      <c r="M564" s="32" t="s">
        <v>5490</v>
      </c>
    </row>
    <row r="565" spans="1:13" ht="15.75" thickBot="1" x14ac:dyDescent="0.3">
      <c r="A565" s="33">
        <v>46002.604189814818</v>
      </c>
      <c r="B565" s="34" t="s">
        <v>998</v>
      </c>
      <c r="C565" s="34" t="s">
        <v>214</v>
      </c>
      <c r="D565" s="34" t="s">
        <v>4936</v>
      </c>
      <c r="E565" s="34" t="s">
        <v>10</v>
      </c>
      <c r="F565" s="35">
        <v>42578</v>
      </c>
      <c r="G565" s="34" t="s">
        <v>4937</v>
      </c>
      <c r="H565" s="34" t="s">
        <v>4938</v>
      </c>
      <c r="I565" s="34" t="s">
        <v>66</v>
      </c>
      <c r="J565" s="36" t="s">
        <v>5491</v>
      </c>
      <c r="K565" s="34" t="s">
        <v>1031</v>
      </c>
      <c r="L565" s="34" t="s">
        <v>4935</v>
      </c>
      <c r="M565" s="37" t="s">
        <v>5492</v>
      </c>
    </row>
    <row r="566" spans="1:13" ht="15.75" thickBot="1" x14ac:dyDescent="0.3">
      <c r="A566" s="28">
        <v>46002.605011574073</v>
      </c>
      <c r="B566" s="29" t="s">
        <v>10</v>
      </c>
      <c r="C566" s="29" t="s">
        <v>490</v>
      </c>
      <c r="D566" s="29" t="s">
        <v>4941</v>
      </c>
      <c r="E566" s="29" t="s">
        <v>10</v>
      </c>
      <c r="F566" s="30">
        <v>42586</v>
      </c>
      <c r="G566" s="29" t="s">
        <v>4942</v>
      </c>
      <c r="H566" s="29" t="s">
        <v>4943</v>
      </c>
      <c r="I566" s="29" t="s">
        <v>2</v>
      </c>
      <c r="J566" s="31" t="s">
        <v>5493</v>
      </c>
      <c r="K566" s="29" t="s">
        <v>5494</v>
      </c>
      <c r="L566" s="29" t="s">
        <v>4940</v>
      </c>
      <c r="M566" s="32" t="s">
        <v>5495</v>
      </c>
    </row>
    <row r="567" spans="1:13" ht="15.75" thickBot="1" x14ac:dyDescent="0.3">
      <c r="A567" s="33">
        <v>46002.606238425928</v>
      </c>
      <c r="B567" s="34" t="s">
        <v>953</v>
      </c>
      <c r="C567" s="34" t="s">
        <v>609</v>
      </c>
      <c r="D567" s="34" t="s">
        <v>4945</v>
      </c>
      <c r="E567" s="34" t="s">
        <v>10</v>
      </c>
      <c r="F567" s="35">
        <v>41837</v>
      </c>
      <c r="G567" s="34" t="s">
        <v>4946</v>
      </c>
      <c r="H567" s="34" t="s">
        <v>3409</v>
      </c>
      <c r="I567" s="34" t="s">
        <v>2</v>
      </c>
      <c r="J567" s="36" t="s">
        <v>5496</v>
      </c>
      <c r="K567" s="34" t="s">
        <v>5497</v>
      </c>
      <c r="L567" s="34" t="s">
        <v>3028</v>
      </c>
      <c r="M567" s="37" t="s">
        <v>5498</v>
      </c>
    </row>
    <row r="568" spans="1:13" ht="15.75" thickBot="1" x14ac:dyDescent="0.3">
      <c r="A568" s="28">
        <v>46002.608912037038</v>
      </c>
      <c r="B568" s="29" t="s">
        <v>953</v>
      </c>
      <c r="C568" s="29" t="s">
        <v>609</v>
      </c>
      <c r="D568" s="29" t="s">
        <v>4948</v>
      </c>
      <c r="E568" s="29" t="s">
        <v>10</v>
      </c>
      <c r="F568" s="30">
        <v>42941</v>
      </c>
      <c r="G568" s="29" t="s">
        <v>4949</v>
      </c>
      <c r="H568" s="29" t="s">
        <v>4950</v>
      </c>
      <c r="I568" s="29" t="s">
        <v>2</v>
      </c>
      <c r="J568" s="31" t="s">
        <v>5499</v>
      </c>
      <c r="K568" s="29" t="s">
        <v>5497</v>
      </c>
      <c r="L568" s="29" t="s">
        <v>3029</v>
      </c>
      <c r="M568" s="32" t="s">
        <v>5500</v>
      </c>
    </row>
    <row r="569" spans="1:13" ht="15.75" thickBot="1" x14ac:dyDescent="0.3">
      <c r="A569" s="33">
        <v>46002.610625000001</v>
      </c>
      <c r="B569" s="34" t="s">
        <v>10</v>
      </c>
      <c r="C569" s="34" t="s">
        <v>490</v>
      </c>
      <c r="D569" s="34" t="s">
        <v>4953</v>
      </c>
      <c r="E569" s="34" t="s">
        <v>10</v>
      </c>
      <c r="F569" s="35">
        <v>41763</v>
      </c>
      <c r="G569" s="34" t="s">
        <v>4954</v>
      </c>
      <c r="H569" s="34" t="s">
        <v>4955</v>
      </c>
      <c r="I569" s="34" t="s">
        <v>66</v>
      </c>
      <c r="J569" s="36" t="s">
        <v>5501</v>
      </c>
      <c r="K569" s="34" t="s">
        <v>5502</v>
      </c>
      <c r="L569" s="34" t="s">
        <v>4952</v>
      </c>
      <c r="M569" s="37" t="s">
        <v>5503</v>
      </c>
    </row>
    <row r="570" spans="1:13" ht="15.75" thickBot="1" x14ac:dyDescent="0.3">
      <c r="A570" s="28">
        <v>46002.611238425925</v>
      </c>
      <c r="B570" s="29" t="s">
        <v>10</v>
      </c>
      <c r="C570" s="29" t="s">
        <v>490</v>
      </c>
      <c r="D570" s="29" t="s">
        <v>4958</v>
      </c>
      <c r="E570" s="29" t="s">
        <v>10</v>
      </c>
      <c r="F570" s="30">
        <v>42282</v>
      </c>
      <c r="G570" s="29" t="s">
        <v>4959</v>
      </c>
      <c r="H570" s="29" t="s">
        <v>3734</v>
      </c>
      <c r="I570" s="29" t="s">
        <v>2</v>
      </c>
      <c r="J570" s="31" t="s">
        <v>5504</v>
      </c>
      <c r="K570" s="29" t="s">
        <v>5505</v>
      </c>
      <c r="L570" s="29" t="s">
        <v>4957</v>
      </c>
      <c r="M570" s="32" t="s">
        <v>5506</v>
      </c>
    </row>
    <row r="571" spans="1:13" ht="15.75" thickBot="1" x14ac:dyDescent="0.3">
      <c r="A571" s="33">
        <v>46002.613680555558</v>
      </c>
      <c r="B571" s="34" t="s">
        <v>953</v>
      </c>
      <c r="C571" s="34" t="s">
        <v>609</v>
      </c>
      <c r="D571" s="34" t="s">
        <v>4961</v>
      </c>
      <c r="E571" s="34" t="s">
        <v>10</v>
      </c>
      <c r="F571" s="35">
        <v>42760</v>
      </c>
      <c r="G571" s="34" t="s">
        <v>4962</v>
      </c>
      <c r="H571" s="34" t="s">
        <v>4963</v>
      </c>
      <c r="I571" s="34" t="s">
        <v>2</v>
      </c>
      <c r="J571" s="36" t="s">
        <v>5507</v>
      </c>
      <c r="K571" s="34" t="s">
        <v>5508</v>
      </c>
      <c r="L571" s="34" t="s">
        <v>3030</v>
      </c>
      <c r="M571" s="37" t="s">
        <v>5509</v>
      </c>
    </row>
    <row r="572" spans="1:13" ht="15.75" thickBot="1" x14ac:dyDescent="0.3">
      <c r="A572" s="28">
        <v>46002.620081018518</v>
      </c>
      <c r="B572" s="29" t="s">
        <v>953</v>
      </c>
      <c r="C572" s="29" t="s">
        <v>609</v>
      </c>
      <c r="D572" s="29" t="s">
        <v>4965</v>
      </c>
      <c r="E572" s="29" t="s">
        <v>10</v>
      </c>
      <c r="F572" s="30">
        <v>41912</v>
      </c>
      <c r="G572" s="29" t="s">
        <v>4966</v>
      </c>
      <c r="H572" s="29" t="s">
        <v>4967</v>
      </c>
      <c r="I572" s="29" t="s">
        <v>2</v>
      </c>
      <c r="J572" s="31" t="s">
        <v>5510</v>
      </c>
      <c r="K572" s="29" t="s">
        <v>5511</v>
      </c>
      <c r="L572" s="29" t="s">
        <v>3031</v>
      </c>
      <c r="M572" s="32" t="s">
        <v>5512</v>
      </c>
    </row>
    <row r="573" spans="1:13" ht="15.75" thickBot="1" x14ac:dyDescent="0.3">
      <c r="A573" s="33">
        <v>46002.620879629627</v>
      </c>
      <c r="B573" s="34" t="s">
        <v>998</v>
      </c>
      <c r="C573" s="34" t="s">
        <v>4974</v>
      </c>
      <c r="D573" s="34" t="s">
        <v>4970</v>
      </c>
      <c r="E573" s="34" t="s">
        <v>10</v>
      </c>
      <c r="F573" s="35">
        <v>41802</v>
      </c>
      <c r="G573" s="34" t="s">
        <v>4971</v>
      </c>
      <c r="H573" s="34" t="s">
        <v>4972</v>
      </c>
      <c r="I573" s="34" t="s">
        <v>2</v>
      </c>
      <c r="J573" s="36" t="s">
        <v>5513</v>
      </c>
      <c r="K573" s="34" t="s">
        <v>5514</v>
      </c>
      <c r="L573" s="34" t="s">
        <v>4969</v>
      </c>
      <c r="M573" s="37" t="s">
        <v>5515</v>
      </c>
    </row>
    <row r="574" spans="1:13" ht="15.75" thickBot="1" x14ac:dyDescent="0.3">
      <c r="A574" s="28">
        <v>46002.621701388889</v>
      </c>
      <c r="B574" s="29" t="s">
        <v>10</v>
      </c>
      <c r="C574" s="29" t="s">
        <v>490</v>
      </c>
      <c r="D574" s="29" t="s">
        <v>4976</v>
      </c>
      <c r="E574" s="29" t="s">
        <v>10</v>
      </c>
      <c r="F574" s="30">
        <v>42806</v>
      </c>
      <c r="G574" s="29" t="s">
        <v>4977</v>
      </c>
      <c r="H574" s="29" t="s">
        <v>2505</v>
      </c>
      <c r="I574" s="29" t="s">
        <v>2</v>
      </c>
      <c r="J574" s="31" t="s">
        <v>5516</v>
      </c>
      <c r="K574" s="29" t="s">
        <v>5517</v>
      </c>
      <c r="L574" s="29" t="s">
        <v>4975</v>
      </c>
      <c r="M574" s="32" t="s">
        <v>5518</v>
      </c>
    </row>
    <row r="575" spans="1:13" ht="15.75" thickBot="1" x14ac:dyDescent="0.3">
      <c r="A575" s="33">
        <v>46002.622870370367</v>
      </c>
      <c r="B575" s="34" t="s">
        <v>998</v>
      </c>
      <c r="C575" s="34" t="s">
        <v>4974</v>
      </c>
      <c r="D575" s="34" t="s">
        <v>4980</v>
      </c>
      <c r="E575" s="34" t="s">
        <v>10</v>
      </c>
      <c r="F575" s="35">
        <v>41859</v>
      </c>
      <c r="G575" s="34" t="s">
        <v>4981</v>
      </c>
      <c r="H575" s="34" t="s">
        <v>4982</v>
      </c>
      <c r="I575" s="34" t="s">
        <v>2</v>
      </c>
      <c r="J575" s="36" t="s">
        <v>5519</v>
      </c>
      <c r="K575" s="34" t="s">
        <v>5514</v>
      </c>
      <c r="L575" s="34" t="s">
        <v>4979</v>
      </c>
      <c r="M575" s="37" t="s">
        <v>5520</v>
      </c>
    </row>
    <row r="576" spans="1:13" ht="15.75" thickBot="1" x14ac:dyDescent="0.3">
      <c r="A576" s="28">
        <v>46002.624583333331</v>
      </c>
      <c r="B576" s="29" t="s">
        <v>10</v>
      </c>
      <c r="C576" s="29" t="s">
        <v>490</v>
      </c>
      <c r="D576" s="29" t="s">
        <v>4985</v>
      </c>
      <c r="E576" s="29" t="s">
        <v>10</v>
      </c>
      <c r="F576" s="30">
        <v>42602</v>
      </c>
      <c r="G576" s="29" t="s">
        <v>4986</v>
      </c>
      <c r="H576" s="29" t="s">
        <v>4987</v>
      </c>
      <c r="I576" s="29" t="s">
        <v>2</v>
      </c>
      <c r="J576" s="31" t="s">
        <v>5521</v>
      </c>
      <c r="K576" s="29" t="s">
        <v>5522</v>
      </c>
      <c r="L576" s="29" t="s">
        <v>4984</v>
      </c>
      <c r="M576" s="32" t="s">
        <v>5523</v>
      </c>
    </row>
    <row r="577" spans="1:13" ht="15.75" thickBot="1" x14ac:dyDescent="0.3">
      <c r="A577" s="33">
        <v>46002.624710648146</v>
      </c>
      <c r="B577" s="34" t="s">
        <v>10</v>
      </c>
      <c r="C577" s="34" t="s">
        <v>490</v>
      </c>
      <c r="D577" s="34" t="s">
        <v>4990</v>
      </c>
      <c r="E577" s="34" t="s">
        <v>10</v>
      </c>
      <c r="F577" s="35">
        <v>42484</v>
      </c>
      <c r="G577" s="34" t="s">
        <v>4991</v>
      </c>
      <c r="H577" s="34" t="s">
        <v>266</v>
      </c>
      <c r="I577" s="34" t="s">
        <v>2</v>
      </c>
      <c r="J577" s="36" t="s">
        <v>5524</v>
      </c>
      <c r="K577" s="34" t="s">
        <v>5525</v>
      </c>
      <c r="L577" s="34" t="s">
        <v>4989</v>
      </c>
      <c r="M577" s="37" t="s">
        <v>5526</v>
      </c>
    </row>
    <row r="578" spans="1:13" ht="15.75" thickBot="1" x14ac:dyDescent="0.3">
      <c r="A578" s="28">
        <v>46002.624884259261</v>
      </c>
      <c r="B578" s="29" t="s">
        <v>998</v>
      </c>
      <c r="C578" s="29" t="s">
        <v>4974</v>
      </c>
      <c r="D578" s="29" t="s">
        <v>4994</v>
      </c>
      <c r="E578" s="29" t="s">
        <v>10</v>
      </c>
      <c r="F578" s="30">
        <v>41260</v>
      </c>
      <c r="G578" s="29" t="s">
        <v>4995</v>
      </c>
      <c r="H578" s="29" t="s">
        <v>4996</v>
      </c>
      <c r="I578" s="29" t="s">
        <v>66</v>
      </c>
      <c r="J578" s="31" t="s">
        <v>5527</v>
      </c>
      <c r="K578" s="29" t="s">
        <v>5514</v>
      </c>
      <c r="L578" s="29" t="s">
        <v>4993</v>
      </c>
      <c r="M578" s="32" t="s">
        <v>5528</v>
      </c>
    </row>
    <row r="579" spans="1:13" ht="15.75" thickBot="1" x14ac:dyDescent="0.3">
      <c r="A579" s="33">
        <v>46002.625844907408</v>
      </c>
      <c r="B579" s="34" t="s">
        <v>953</v>
      </c>
      <c r="C579" s="34" t="s">
        <v>609</v>
      </c>
      <c r="D579" s="34" t="s">
        <v>4998</v>
      </c>
      <c r="E579" s="34" t="s">
        <v>10</v>
      </c>
      <c r="F579" s="35">
        <v>42824</v>
      </c>
      <c r="G579" s="34" t="s">
        <v>4999</v>
      </c>
      <c r="H579" s="34" t="s">
        <v>2247</v>
      </c>
      <c r="I579" s="34" t="s">
        <v>2</v>
      </c>
      <c r="J579" s="36" t="s">
        <v>5529</v>
      </c>
      <c r="K579" s="34" t="s">
        <v>5530</v>
      </c>
      <c r="L579" s="34" t="s">
        <v>3032</v>
      </c>
      <c r="M579" s="37" t="s">
        <v>5531</v>
      </c>
    </row>
    <row r="580" spans="1:13" ht="15.75" thickBot="1" x14ac:dyDescent="0.3">
      <c r="A580" s="28">
        <v>46002.626631944448</v>
      </c>
      <c r="B580" s="29" t="s">
        <v>998</v>
      </c>
      <c r="C580" s="29" t="s">
        <v>4974</v>
      </c>
      <c r="D580" s="29" t="s">
        <v>5002</v>
      </c>
      <c r="E580" s="29" t="s">
        <v>10</v>
      </c>
      <c r="F580" s="30">
        <v>42392</v>
      </c>
      <c r="G580" s="29" t="s">
        <v>5003</v>
      </c>
      <c r="H580" s="29" t="s">
        <v>5004</v>
      </c>
      <c r="I580" s="29" t="s">
        <v>2</v>
      </c>
      <c r="J580" s="31" t="s">
        <v>5532</v>
      </c>
      <c r="K580" s="29" t="s">
        <v>5514</v>
      </c>
      <c r="L580" s="29" t="s">
        <v>5001</v>
      </c>
      <c r="M580" s="32" t="s">
        <v>5533</v>
      </c>
    </row>
    <row r="581" spans="1:13" ht="15.75" thickBot="1" x14ac:dyDescent="0.3">
      <c r="A581" s="33">
        <v>46002.630428240744</v>
      </c>
      <c r="B581" s="34" t="s">
        <v>953</v>
      </c>
      <c r="C581" s="34" t="s">
        <v>609</v>
      </c>
      <c r="D581" s="34" t="s">
        <v>5006</v>
      </c>
      <c r="E581" s="34" t="s">
        <v>10</v>
      </c>
      <c r="F581" s="35">
        <v>42476</v>
      </c>
      <c r="G581" s="34" t="s">
        <v>5007</v>
      </c>
      <c r="H581" s="34" t="s">
        <v>5008</v>
      </c>
      <c r="I581" s="34" t="s">
        <v>66</v>
      </c>
      <c r="J581" s="36" t="s">
        <v>5534</v>
      </c>
      <c r="K581" s="34" t="s">
        <v>5497</v>
      </c>
      <c r="L581" s="34" t="s">
        <v>3033</v>
      </c>
      <c r="M581" s="37" t="s">
        <v>5535</v>
      </c>
    </row>
    <row r="582" spans="1:13" ht="15.75" thickBot="1" x14ac:dyDescent="0.3">
      <c r="A582" s="28">
        <v>46002.632581018515</v>
      </c>
      <c r="B582" s="29" t="s">
        <v>1317</v>
      </c>
      <c r="C582" s="29" t="s">
        <v>484</v>
      </c>
      <c r="D582" s="29" t="s">
        <v>5011</v>
      </c>
      <c r="E582" s="29" t="s">
        <v>10</v>
      </c>
      <c r="F582" s="30">
        <v>41607</v>
      </c>
      <c r="G582" s="29" t="s">
        <v>590</v>
      </c>
      <c r="H582" s="29" t="s">
        <v>591</v>
      </c>
      <c r="I582" s="29" t="s">
        <v>66</v>
      </c>
      <c r="J582" s="31" t="s">
        <v>5536</v>
      </c>
      <c r="K582" s="29" t="s">
        <v>5537</v>
      </c>
      <c r="L582" s="29" t="s">
        <v>5010</v>
      </c>
      <c r="M582" s="32" t="s">
        <v>5538</v>
      </c>
    </row>
    <row r="583" spans="1:13" ht="15.75" thickBot="1" x14ac:dyDescent="0.3">
      <c r="A583" s="33">
        <v>46002.633564814816</v>
      </c>
      <c r="B583" s="34" t="s">
        <v>10</v>
      </c>
      <c r="C583" s="34" t="s">
        <v>490</v>
      </c>
      <c r="D583" s="34" t="s">
        <v>5013</v>
      </c>
      <c r="E583" s="34" t="s">
        <v>59</v>
      </c>
      <c r="F583" s="35">
        <v>42725</v>
      </c>
      <c r="G583" s="34" t="s">
        <v>5539</v>
      </c>
      <c r="H583" s="34" t="s">
        <v>5014</v>
      </c>
      <c r="I583" s="34" t="s">
        <v>2</v>
      </c>
      <c r="J583" s="36" t="s">
        <v>5540</v>
      </c>
      <c r="K583" s="34" t="s">
        <v>5541</v>
      </c>
      <c r="L583" s="34" t="s">
        <v>5542</v>
      </c>
      <c r="M583" s="37" t="s">
        <v>5543</v>
      </c>
    </row>
    <row r="584" spans="1:13" ht="15.75" thickBot="1" x14ac:dyDescent="0.3">
      <c r="A584" s="28">
        <v>46002.641006944446</v>
      </c>
      <c r="B584" s="29" t="s">
        <v>10</v>
      </c>
      <c r="C584" s="29" t="s">
        <v>14</v>
      </c>
      <c r="D584" s="29" t="s">
        <v>339</v>
      </c>
      <c r="E584" s="29" t="s">
        <v>28</v>
      </c>
      <c r="F584" s="30">
        <v>41405</v>
      </c>
      <c r="G584" s="29" t="s">
        <v>5016</v>
      </c>
      <c r="H584" s="29" t="s">
        <v>5017</v>
      </c>
      <c r="I584" s="29" t="s">
        <v>66</v>
      </c>
      <c r="J584" s="31" t="s">
        <v>5544</v>
      </c>
      <c r="K584" s="29" t="s">
        <v>5545</v>
      </c>
      <c r="L584" s="29" t="s">
        <v>5015</v>
      </c>
      <c r="M584" s="32" t="s">
        <v>5546</v>
      </c>
    </row>
    <row r="585" spans="1:13" ht="15.75" thickBot="1" x14ac:dyDescent="0.3">
      <c r="A585" s="33">
        <v>46002.642361111109</v>
      </c>
      <c r="B585" s="34" t="s">
        <v>10</v>
      </c>
      <c r="C585" s="34" t="s">
        <v>490</v>
      </c>
      <c r="D585" s="34" t="s">
        <v>5020</v>
      </c>
      <c r="E585" s="34" t="s">
        <v>28</v>
      </c>
      <c r="F585" s="35">
        <v>42469</v>
      </c>
      <c r="G585" s="34" t="s">
        <v>5021</v>
      </c>
      <c r="H585" s="34" t="s">
        <v>5022</v>
      </c>
      <c r="I585" s="34" t="s">
        <v>2</v>
      </c>
      <c r="J585" s="36" t="s">
        <v>5547</v>
      </c>
      <c r="K585" s="34" t="s">
        <v>5548</v>
      </c>
      <c r="L585" s="34" t="s">
        <v>5019</v>
      </c>
      <c r="M585" s="37" t="s">
        <v>5549</v>
      </c>
    </row>
    <row r="586" spans="1:13" ht="15.75" thickBot="1" x14ac:dyDescent="0.3">
      <c r="A586" s="28">
        <v>46002.645821759259</v>
      </c>
      <c r="B586" s="29" t="s">
        <v>10</v>
      </c>
      <c r="C586" s="29" t="s">
        <v>490</v>
      </c>
      <c r="D586" s="29" t="s">
        <v>5025</v>
      </c>
      <c r="E586" s="29" t="s">
        <v>28</v>
      </c>
      <c r="F586" s="30">
        <v>42614</v>
      </c>
      <c r="G586" s="29" t="s">
        <v>5026</v>
      </c>
      <c r="H586" s="29" t="s">
        <v>5027</v>
      </c>
      <c r="I586" s="29" t="s">
        <v>2</v>
      </c>
      <c r="J586" s="31" t="s">
        <v>5550</v>
      </c>
      <c r="K586" s="29" t="s">
        <v>5548</v>
      </c>
      <c r="L586" s="29" t="s">
        <v>5024</v>
      </c>
      <c r="M586" s="32" t="s">
        <v>5551</v>
      </c>
    </row>
    <row r="587" spans="1:13" ht="15.75" thickBot="1" x14ac:dyDescent="0.3">
      <c r="A587" s="33">
        <v>46002.646736111114</v>
      </c>
      <c r="B587" s="34" t="s">
        <v>10</v>
      </c>
      <c r="C587" s="34" t="s">
        <v>490</v>
      </c>
      <c r="D587" s="34" t="s">
        <v>5013</v>
      </c>
      <c r="E587" s="34" t="s">
        <v>59</v>
      </c>
      <c r="F587" s="35">
        <v>42725</v>
      </c>
      <c r="G587" s="34" t="s">
        <v>5030</v>
      </c>
      <c r="H587" s="34" t="s">
        <v>5014</v>
      </c>
      <c r="I587" s="34" t="s">
        <v>2</v>
      </c>
      <c r="J587" s="36" t="s">
        <v>5552</v>
      </c>
      <c r="K587" s="34" t="s">
        <v>5541</v>
      </c>
      <c r="L587" s="34" t="s">
        <v>5029</v>
      </c>
      <c r="M587" s="37" t="s">
        <v>5553</v>
      </c>
    </row>
    <row r="588" spans="1:13" ht="15.75" thickBot="1" x14ac:dyDescent="0.3">
      <c r="A588" s="28">
        <v>46002.647511574076</v>
      </c>
      <c r="B588" s="29" t="s">
        <v>10</v>
      </c>
      <c r="C588" s="29" t="s">
        <v>671</v>
      </c>
      <c r="D588" s="29" t="s">
        <v>5554</v>
      </c>
      <c r="E588" s="29" t="s">
        <v>10</v>
      </c>
      <c r="F588" s="30">
        <v>42538</v>
      </c>
      <c r="G588" s="29" t="s">
        <v>5555</v>
      </c>
      <c r="H588" s="29" t="s">
        <v>5556</v>
      </c>
      <c r="I588" s="29" t="s">
        <v>66</v>
      </c>
      <c r="J588" s="31" t="s">
        <v>5557</v>
      </c>
      <c r="K588" s="29" t="s">
        <v>5558</v>
      </c>
      <c r="L588" s="29" t="s">
        <v>5559</v>
      </c>
      <c r="M588" s="32" t="s">
        <v>5560</v>
      </c>
    </row>
    <row r="589" spans="1:13" ht="15.75" thickBot="1" x14ac:dyDescent="0.3">
      <c r="A589" s="33">
        <v>46002.931793981479</v>
      </c>
      <c r="B589" s="34" t="s">
        <v>10</v>
      </c>
      <c r="C589" s="34" t="s">
        <v>671</v>
      </c>
      <c r="D589" s="34" t="s">
        <v>5033</v>
      </c>
      <c r="E589" s="34" t="s">
        <v>28</v>
      </c>
      <c r="F589" s="35">
        <v>42106</v>
      </c>
      <c r="G589" s="34" t="s">
        <v>5034</v>
      </c>
      <c r="H589" s="34" t="s">
        <v>1850</v>
      </c>
      <c r="I589" s="34" t="s">
        <v>66</v>
      </c>
      <c r="J589" s="36" t="s">
        <v>5561</v>
      </c>
      <c r="K589" s="34" t="s">
        <v>5562</v>
      </c>
      <c r="L589" s="34" t="s">
        <v>5032</v>
      </c>
      <c r="M589" s="37" t="s">
        <v>5563</v>
      </c>
    </row>
    <row r="590" spans="1:13" ht="15.75" thickBot="1" x14ac:dyDescent="0.3">
      <c r="A590" s="28">
        <v>46002.649560185186</v>
      </c>
      <c r="B590" s="29" t="s">
        <v>10</v>
      </c>
      <c r="C590" s="29" t="s">
        <v>671</v>
      </c>
      <c r="D590" s="29" t="s">
        <v>5037</v>
      </c>
      <c r="E590" s="29" t="s">
        <v>5564</v>
      </c>
      <c r="F590" s="30">
        <v>42214</v>
      </c>
      <c r="G590" s="29" t="s">
        <v>3856</v>
      </c>
      <c r="H590" s="29" t="s">
        <v>5038</v>
      </c>
      <c r="I590" s="29" t="s">
        <v>2</v>
      </c>
      <c r="J590" s="31" t="s">
        <v>5565</v>
      </c>
      <c r="K590" s="29" t="s">
        <v>5566</v>
      </c>
      <c r="L590" s="29" t="s">
        <v>5036</v>
      </c>
      <c r="M590" s="32" t="s">
        <v>5567</v>
      </c>
    </row>
    <row r="591" spans="1:13" ht="15.75" thickBot="1" x14ac:dyDescent="0.3">
      <c r="A591" s="33">
        <v>46002.652719907404</v>
      </c>
      <c r="B591" s="34" t="s">
        <v>10</v>
      </c>
      <c r="C591" s="34" t="s">
        <v>671</v>
      </c>
      <c r="D591" s="34" t="s">
        <v>5033</v>
      </c>
      <c r="E591" s="34" t="s">
        <v>28</v>
      </c>
      <c r="F591" s="35">
        <v>42342</v>
      </c>
      <c r="G591" s="34" t="s">
        <v>5034</v>
      </c>
      <c r="H591" s="34" t="s">
        <v>1850</v>
      </c>
      <c r="I591" s="34" t="s">
        <v>66</v>
      </c>
      <c r="J591" s="36" t="s">
        <v>5568</v>
      </c>
      <c r="K591" s="34" t="s">
        <v>5562</v>
      </c>
      <c r="L591" s="34" t="s">
        <v>5040</v>
      </c>
      <c r="M591" s="37" t="s">
        <v>5569</v>
      </c>
    </row>
    <row r="592" spans="1:13" ht="15.75" thickBot="1" x14ac:dyDescent="0.3">
      <c r="A592" s="28">
        <v>46002.65284722222</v>
      </c>
      <c r="B592" s="29" t="s">
        <v>10</v>
      </c>
      <c r="C592" s="29" t="s">
        <v>671</v>
      </c>
      <c r="D592" s="29" t="s">
        <v>5037</v>
      </c>
      <c r="E592" s="29" t="s">
        <v>5564</v>
      </c>
      <c r="F592" s="30">
        <v>42214</v>
      </c>
      <c r="G592" s="29" t="s">
        <v>3856</v>
      </c>
      <c r="H592" s="29" t="s">
        <v>5038</v>
      </c>
      <c r="I592" s="29" t="s">
        <v>2</v>
      </c>
      <c r="J592" s="31" t="s">
        <v>5570</v>
      </c>
      <c r="K592" s="29" t="s">
        <v>5566</v>
      </c>
      <c r="L592" s="29" t="s">
        <v>5571</v>
      </c>
      <c r="M592" s="32" t="s">
        <v>5572</v>
      </c>
    </row>
    <row r="593" spans="1:13" ht="15.75" thickBot="1" x14ac:dyDescent="0.3">
      <c r="A593" s="33">
        <v>46002.654780092591</v>
      </c>
      <c r="B593" s="34" t="s">
        <v>10</v>
      </c>
      <c r="C593" s="34" t="s">
        <v>671</v>
      </c>
      <c r="D593" s="34" t="s">
        <v>5554</v>
      </c>
      <c r="E593" s="34" t="s">
        <v>10</v>
      </c>
      <c r="F593" s="35">
        <v>42538</v>
      </c>
      <c r="G593" s="34" t="s">
        <v>5555</v>
      </c>
      <c r="H593" s="34" t="s">
        <v>5573</v>
      </c>
      <c r="I593" s="34" t="s">
        <v>66</v>
      </c>
      <c r="J593" s="36" t="s">
        <v>5574</v>
      </c>
      <c r="K593" s="34" t="s">
        <v>5558</v>
      </c>
      <c r="L593" s="34" t="s">
        <v>5575</v>
      </c>
      <c r="M593" s="37" t="s">
        <v>5576</v>
      </c>
    </row>
    <row r="594" spans="1:13" ht="15.75" thickBot="1" x14ac:dyDescent="0.3">
      <c r="A594" s="28">
        <v>46002.658750000002</v>
      </c>
      <c r="B594" s="29" t="s">
        <v>10</v>
      </c>
      <c r="C594" s="29" t="s">
        <v>671</v>
      </c>
      <c r="D594" s="29" t="s">
        <v>5042</v>
      </c>
      <c r="E594" s="29" t="s">
        <v>28</v>
      </c>
      <c r="F594" s="30">
        <v>41784</v>
      </c>
      <c r="G594" s="29" t="s">
        <v>5043</v>
      </c>
      <c r="H594" s="29" t="s">
        <v>5044</v>
      </c>
      <c r="I594" s="29" t="s">
        <v>2</v>
      </c>
      <c r="J594" s="31" t="s">
        <v>5577</v>
      </c>
      <c r="K594" s="29" t="s">
        <v>5578</v>
      </c>
      <c r="L594" s="29" t="s">
        <v>5579</v>
      </c>
      <c r="M594" s="32" t="s">
        <v>5580</v>
      </c>
    </row>
    <row r="595" spans="1:13" ht="15.75" thickBot="1" x14ac:dyDescent="0.3">
      <c r="A595" s="33">
        <v>46002.659097222226</v>
      </c>
      <c r="B595" s="34" t="s">
        <v>10</v>
      </c>
      <c r="C595" s="34" t="s">
        <v>671</v>
      </c>
      <c r="D595" s="34" t="s">
        <v>5554</v>
      </c>
      <c r="E595" s="34" t="s">
        <v>10</v>
      </c>
      <c r="F595" s="35">
        <v>42538</v>
      </c>
      <c r="G595" s="34" t="s">
        <v>5555</v>
      </c>
      <c r="H595" s="34" t="s">
        <v>5556</v>
      </c>
      <c r="I595" s="34" t="s">
        <v>66</v>
      </c>
      <c r="J595" s="36" t="s">
        <v>5581</v>
      </c>
      <c r="K595" s="34" t="s">
        <v>5558</v>
      </c>
      <c r="L595" s="34" t="s">
        <v>5582</v>
      </c>
      <c r="M595" s="37" t="s">
        <v>5583</v>
      </c>
    </row>
    <row r="596" spans="1:13" ht="15.75" thickBot="1" x14ac:dyDescent="0.3">
      <c r="A596" s="28">
        <v>46002.662361111114</v>
      </c>
      <c r="B596" s="29" t="s">
        <v>10</v>
      </c>
      <c r="C596" s="29" t="s">
        <v>671</v>
      </c>
      <c r="D596" s="29" t="s">
        <v>5046</v>
      </c>
      <c r="E596" s="29" t="s">
        <v>10</v>
      </c>
      <c r="F596" s="30">
        <v>41731</v>
      </c>
      <c r="G596" s="29" t="s">
        <v>5047</v>
      </c>
      <c r="H596" s="29" t="s">
        <v>5048</v>
      </c>
      <c r="I596" s="29" t="s">
        <v>66</v>
      </c>
      <c r="J596" s="31" t="s">
        <v>5584</v>
      </c>
      <c r="K596" s="29" t="s">
        <v>5585</v>
      </c>
      <c r="L596" s="29" t="s">
        <v>5045</v>
      </c>
      <c r="M596" s="32" t="s">
        <v>5586</v>
      </c>
    </row>
    <row r="597" spans="1:13" ht="15.75" thickBot="1" x14ac:dyDescent="0.3">
      <c r="A597" s="33">
        <v>46002.665150462963</v>
      </c>
      <c r="B597" s="34" t="s">
        <v>10</v>
      </c>
      <c r="C597" s="34" t="s">
        <v>671</v>
      </c>
      <c r="D597" s="34" t="s">
        <v>5587</v>
      </c>
      <c r="E597" s="34" t="s">
        <v>10</v>
      </c>
      <c r="F597" s="35">
        <v>42538</v>
      </c>
      <c r="G597" s="34" t="s">
        <v>5555</v>
      </c>
      <c r="H597" s="34" t="s">
        <v>5573</v>
      </c>
      <c r="I597" s="34" t="s">
        <v>66</v>
      </c>
      <c r="J597" s="36" t="s">
        <v>5588</v>
      </c>
      <c r="K597" s="34" t="s">
        <v>5558</v>
      </c>
      <c r="L597" s="34" t="s">
        <v>5589</v>
      </c>
      <c r="M597" s="37" t="s">
        <v>5590</v>
      </c>
    </row>
    <row r="598" spans="1:13" ht="15.75" thickBot="1" x14ac:dyDescent="0.3">
      <c r="A598" s="28">
        <v>46002.668599537035</v>
      </c>
      <c r="B598" s="29" t="s">
        <v>10</v>
      </c>
      <c r="C598" s="29" t="s">
        <v>671</v>
      </c>
      <c r="D598" s="29" t="s">
        <v>5042</v>
      </c>
      <c r="E598" s="29" t="s">
        <v>28</v>
      </c>
      <c r="F598" s="30">
        <v>41784</v>
      </c>
      <c r="G598" s="29" t="s">
        <v>5043</v>
      </c>
      <c r="H598" s="29" t="s">
        <v>5044</v>
      </c>
      <c r="I598" s="29" t="s">
        <v>2</v>
      </c>
      <c r="J598" s="31" t="s">
        <v>5591</v>
      </c>
      <c r="K598" s="29" t="s">
        <v>5578</v>
      </c>
      <c r="L598" s="29" t="s">
        <v>5592</v>
      </c>
      <c r="M598" s="32" t="s">
        <v>5593</v>
      </c>
    </row>
    <row r="599" spans="1:13" ht="15.75" thickBot="1" x14ac:dyDescent="0.3">
      <c r="A599" s="33">
        <v>46002.673043981478</v>
      </c>
      <c r="B599" s="34" t="s">
        <v>1153</v>
      </c>
      <c r="C599" s="34" t="s">
        <v>256</v>
      </c>
      <c r="D599" s="34" t="s">
        <v>5051</v>
      </c>
      <c r="E599" s="34" t="s">
        <v>116</v>
      </c>
      <c r="F599" s="35">
        <v>42205</v>
      </c>
      <c r="G599" s="34" t="s">
        <v>5052</v>
      </c>
      <c r="H599" s="34" t="s">
        <v>5053</v>
      </c>
      <c r="I599" s="34" t="s">
        <v>2</v>
      </c>
      <c r="J599" s="36" t="s">
        <v>5594</v>
      </c>
      <c r="K599" s="34" t="s">
        <v>5595</v>
      </c>
      <c r="L599" s="34" t="s">
        <v>5050</v>
      </c>
      <c r="M599" s="37" t="s">
        <v>5596</v>
      </c>
    </row>
    <row r="600" spans="1:13" ht="15.75" thickBot="1" x14ac:dyDescent="0.3">
      <c r="A600" s="28">
        <v>46002.808587962965</v>
      </c>
      <c r="B600" s="29" t="s">
        <v>10</v>
      </c>
      <c r="C600" s="29" t="s">
        <v>671</v>
      </c>
      <c r="D600" s="29" t="s">
        <v>5055</v>
      </c>
      <c r="E600" s="29" t="s">
        <v>28</v>
      </c>
      <c r="F600" s="30">
        <v>41409</v>
      </c>
      <c r="G600" s="29" t="s">
        <v>5056</v>
      </c>
      <c r="H600" s="29" t="s">
        <v>5057</v>
      </c>
      <c r="I600" s="29" t="s">
        <v>2</v>
      </c>
      <c r="J600" s="31" t="s">
        <v>5597</v>
      </c>
      <c r="K600" s="29" t="s">
        <v>5598</v>
      </c>
      <c r="L600" s="29" t="s">
        <v>5599</v>
      </c>
      <c r="M600" s="32" t="s">
        <v>5600</v>
      </c>
    </row>
    <row r="601" spans="1:13" ht="15.75" thickBot="1" x14ac:dyDescent="0.3">
      <c r="A601" s="33">
        <v>46002.676527777781</v>
      </c>
      <c r="B601" s="34" t="s">
        <v>10</v>
      </c>
      <c r="C601" s="34" t="s">
        <v>671</v>
      </c>
      <c r="D601" s="34" t="s">
        <v>5587</v>
      </c>
      <c r="E601" s="34" t="s">
        <v>5601</v>
      </c>
      <c r="F601" s="35">
        <v>42538</v>
      </c>
      <c r="G601" s="34" t="s">
        <v>5555</v>
      </c>
      <c r="H601" s="34" t="s">
        <v>5573</v>
      </c>
      <c r="I601" s="34" t="s">
        <v>66</v>
      </c>
      <c r="J601" s="36" t="s">
        <v>5602</v>
      </c>
      <c r="K601" s="34" t="s">
        <v>5558</v>
      </c>
      <c r="L601" s="34" t="s">
        <v>5603</v>
      </c>
      <c r="M601" s="37" t="s">
        <v>5604</v>
      </c>
    </row>
    <row r="602" spans="1:13" ht="15.75" thickBot="1" x14ac:dyDescent="0.3">
      <c r="A602" s="28">
        <v>46002.682939814818</v>
      </c>
      <c r="B602" s="29" t="s">
        <v>10</v>
      </c>
      <c r="C602" s="29" t="s">
        <v>671</v>
      </c>
      <c r="D602" s="29" t="s">
        <v>5046</v>
      </c>
      <c r="E602" s="29" t="s">
        <v>10</v>
      </c>
      <c r="F602" s="30">
        <v>41731</v>
      </c>
      <c r="G602" s="29" t="s">
        <v>5047</v>
      </c>
      <c r="H602" s="29" t="s">
        <v>5048</v>
      </c>
      <c r="I602" s="29" t="s">
        <v>66</v>
      </c>
      <c r="J602" s="31" t="s">
        <v>5605</v>
      </c>
      <c r="K602" s="29" t="s">
        <v>5585</v>
      </c>
      <c r="L602" s="29" t="s">
        <v>5606</v>
      </c>
      <c r="M602" s="32" t="s">
        <v>5607</v>
      </c>
    </row>
    <row r="603" spans="1:13" ht="15.75" thickBot="1" x14ac:dyDescent="0.3">
      <c r="A603" s="33">
        <v>46002.692118055558</v>
      </c>
      <c r="B603" s="34" t="s">
        <v>10</v>
      </c>
      <c r="C603" s="34" t="s">
        <v>342</v>
      </c>
      <c r="D603" s="34" t="s">
        <v>5059</v>
      </c>
      <c r="E603" s="34" t="s">
        <v>28</v>
      </c>
      <c r="F603" s="35">
        <v>42229</v>
      </c>
      <c r="G603" s="34" t="s">
        <v>5060</v>
      </c>
      <c r="H603" s="34" t="s">
        <v>5061</v>
      </c>
      <c r="I603" s="34" t="s">
        <v>2</v>
      </c>
      <c r="J603" s="36" t="s">
        <v>5608</v>
      </c>
      <c r="K603" s="34" t="s">
        <v>5609</v>
      </c>
      <c r="L603" s="34" t="s">
        <v>5058</v>
      </c>
      <c r="M603" s="37" t="s">
        <v>5610</v>
      </c>
    </row>
    <row r="604" spans="1:13" ht="15.75" thickBot="1" x14ac:dyDescent="0.3">
      <c r="A604" s="28">
        <v>46002.692280092589</v>
      </c>
      <c r="B604" s="29" t="s">
        <v>10</v>
      </c>
      <c r="C604" s="29" t="s">
        <v>671</v>
      </c>
      <c r="D604" s="29" t="s">
        <v>5063</v>
      </c>
      <c r="E604" s="29" t="s">
        <v>28</v>
      </c>
      <c r="F604" s="30">
        <v>42135</v>
      </c>
      <c r="G604" s="29" t="s">
        <v>5064</v>
      </c>
      <c r="H604" s="29" t="s">
        <v>5065</v>
      </c>
      <c r="I604" s="29" t="s">
        <v>2</v>
      </c>
      <c r="J604" s="31" t="s">
        <v>5611</v>
      </c>
      <c r="K604" s="29" t="s">
        <v>5612</v>
      </c>
      <c r="L604" s="29" t="s">
        <v>5613</v>
      </c>
      <c r="M604" s="32" t="s">
        <v>5614</v>
      </c>
    </row>
    <row r="605" spans="1:13" ht="15.75" thickBot="1" x14ac:dyDescent="0.3">
      <c r="A605" s="33">
        <v>46002.704965277779</v>
      </c>
      <c r="B605" s="34" t="s">
        <v>10</v>
      </c>
      <c r="C605" s="34" t="s">
        <v>671</v>
      </c>
      <c r="D605" s="34" t="s">
        <v>5066</v>
      </c>
      <c r="E605" s="34" t="s">
        <v>579</v>
      </c>
      <c r="F605" s="35">
        <v>42057</v>
      </c>
      <c r="G605" s="34" t="s">
        <v>5615</v>
      </c>
      <c r="H605" s="34" t="s">
        <v>5067</v>
      </c>
      <c r="I605" s="34" t="s">
        <v>2</v>
      </c>
      <c r="J605" s="36" t="s">
        <v>5616</v>
      </c>
      <c r="K605" s="34" t="s">
        <v>5617</v>
      </c>
      <c r="L605" s="34" t="s">
        <v>5618</v>
      </c>
      <c r="M605" s="37" t="s">
        <v>5619</v>
      </c>
    </row>
    <row r="606" spans="1:13" ht="15.75" thickBot="1" x14ac:dyDescent="0.3">
      <c r="A606" s="28">
        <v>46002.694074074076</v>
      </c>
      <c r="B606" s="29" t="s">
        <v>10</v>
      </c>
      <c r="C606" s="29" t="s">
        <v>671</v>
      </c>
      <c r="D606" s="29" t="s">
        <v>5042</v>
      </c>
      <c r="E606" s="29" t="s">
        <v>28</v>
      </c>
      <c r="F606" s="30">
        <v>41784</v>
      </c>
      <c r="G606" s="29" t="s">
        <v>5043</v>
      </c>
      <c r="H606" s="29" t="s">
        <v>5044</v>
      </c>
      <c r="I606" s="29" t="s">
        <v>2</v>
      </c>
      <c r="J606" s="31" t="s">
        <v>5620</v>
      </c>
      <c r="K606" s="29" t="s">
        <v>5578</v>
      </c>
      <c r="L606" s="29" t="s">
        <v>5621</v>
      </c>
      <c r="M606" s="32" t="s">
        <v>5622</v>
      </c>
    </row>
    <row r="607" spans="1:13" ht="15.75" thickBot="1" x14ac:dyDescent="0.3">
      <c r="A607" s="33">
        <v>46002.695694444446</v>
      </c>
      <c r="B607" s="34" t="s">
        <v>10</v>
      </c>
      <c r="C607" s="34" t="s">
        <v>342</v>
      </c>
      <c r="D607" s="34" t="s">
        <v>5059</v>
      </c>
      <c r="E607" s="34" t="s">
        <v>5069</v>
      </c>
      <c r="F607" s="35">
        <v>42231</v>
      </c>
      <c r="G607" s="34" t="s">
        <v>5070</v>
      </c>
      <c r="H607" s="34" t="s">
        <v>5061</v>
      </c>
      <c r="I607" s="34" t="s">
        <v>2</v>
      </c>
      <c r="J607" s="36" t="s">
        <v>5623</v>
      </c>
      <c r="K607" s="34" t="s">
        <v>5609</v>
      </c>
      <c r="L607" s="34" t="s">
        <v>5068</v>
      </c>
      <c r="M607" s="37" t="s">
        <v>5624</v>
      </c>
    </row>
    <row r="608" spans="1:13" ht="15.75" thickBot="1" x14ac:dyDescent="0.3">
      <c r="A608" s="28">
        <v>46002.696412037039</v>
      </c>
      <c r="B608" s="29" t="s">
        <v>10</v>
      </c>
      <c r="C608" s="29" t="s">
        <v>671</v>
      </c>
      <c r="D608" s="29" t="s">
        <v>5063</v>
      </c>
      <c r="E608" s="29" t="s">
        <v>28</v>
      </c>
      <c r="F608" s="30">
        <v>42135</v>
      </c>
      <c r="G608" s="29" t="s">
        <v>5064</v>
      </c>
      <c r="H608" s="29" t="s">
        <v>5065</v>
      </c>
      <c r="I608" s="29" t="s">
        <v>2</v>
      </c>
      <c r="J608" s="31" t="s">
        <v>5625</v>
      </c>
      <c r="K608" s="29" t="s">
        <v>5626</v>
      </c>
      <c r="L608" s="29" t="s">
        <v>5627</v>
      </c>
      <c r="M608" s="32" t="s">
        <v>5628</v>
      </c>
    </row>
    <row r="609" spans="1:13" ht="15.75" thickBot="1" x14ac:dyDescent="0.3">
      <c r="A609" s="33">
        <v>46002.696539351855</v>
      </c>
      <c r="B609" s="34" t="s">
        <v>10</v>
      </c>
      <c r="C609" s="34" t="s">
        <v>671</v>
      </c>
      <c r="D609" s="34" t="s">
        <v>5587</v>
      </c>
      <c r="E609" s="34" t="s">
        <v>10</v>
      </c>
      <c r="F609" s="35">
        <v>42538</v>
      </c>
      <c r="G609" s="34" t="s">
        <v>5555</v>
      </c>
      <c r="H609" s="34" t="s">
        <v>5573</v>
      </c>
      <c r="I609" s="34" t="s">
        <v>66</v>
      </c>
      <c r="J609" s="36" t="s">
        <v>5629</v>
      </c>
      <c r="K609" s="34" t="s">
        <v>5630</v>
      </c>
      <c r="L609" s="34" t="s">
        <v>5631</v>
      </c>
      <c r="M609" s="37" t="s">
        <v>5632</v>
      </c>
    </row>
    <row r="610" spans="1:13" ht="15.75" thickBot="1" x14ac:dyDescent="0.3">
      <c r="A610" s="28">
        <v>46002.699305555558</v>
      </c>
      <c r="B610" s="29" t="s">
        <v>10</v>
      </c>
      <c r="C610" s="29" t="s">
        <v>671</v>
      </c>
      <c r="D610" s="29" t="s">
        <v>5042</v>
      </c>
      <c r="E610" s="29" t="s">
        <v>28</v>
      </c>
      <c r="F610" s="30">
        <v>41784</v>
      </c>
      <c r="G610" s="29" t="s">
        <v>5043</v>
      </c>
      <c r="H610" s="29" t="s">
        <v>5044</v>
      </c>
      <c r="I610" s="29" t="s">
        <v>2</v>
      </c>
      <c r="J610" s="31" t="s">
        <v>5633</v>
      </c>
      <c r="K610" s="29" t="s">
        <v>5578</v>
      </c>
      <c r="L610" s="29" t="s">
        <v>5634</v>
      </c>
      <c r="M610" s="32" t="s">
        <v>5635</v>
      </c>
    </row>
    <row r="611" spans="1:13" ht="15.75" thickBot="1" x14ac:dyDescent="0.3">
      <c r="A611" s="33">
        <v>46002.699641203704</v>
      </c>
      <c r="B611" s="34" t="s">
        <v>10</v>
      </c>
      <c r="C611" s="34" t="s">
        <v>671</v>
      </c>
      <c r="D611" s="34" t="s">
        <v>5033</v>
      </c>
      <c r="E611" s="34" t="s">
        <v>28</v>
      </c>
      <c r="F611" s="35">
        <v>42342</v>
      </c>
      <c r="G611" s="34" t="s">
        <v>5034</v>
      </c>
      <c r="H611" s="34" t="s">
        <v>1850</v>
      </c>
      <c r="I611" s="34" t="s">
        <v>66</v>
      </c>
      <c r="J611" s="36" t="s">
        <v>5636</v>
      </c>
      <c r="K611" s="34" t="s">
        <v>5562</v>
      </c>
      <c r="L611" s="34" t="s">
        <v>5637</v>
      </c>
      <c r="M611" s="37" t="s">
        <v>5638</v>
      </c>
    </row>
    <row r="612" spans="1:13" ht="15.75" thickBot="1" x14ac:dyDescent="0.3">
      <c r="A612" s="28">
        <v>46002.702060185184</v>
      </c>
      <c r="B612" s="29" t="s">
        <v>10</v>
      </c>
      <c r="C612" s="29" t="s">
        <v>5639</v>
      </c>
      <c r="D612" s="29" t="s">
        <v>5073</v>
      </c>
      <c r="E612" s="29" t="s">
        <v>10</v>
      </c>
      <c r="F612" s="30">
        <v>41641</v>
      </c>
      <c r="G612" s="29" t="s">
        <v>5074</v>
      </c>
      <c r="H612" s="29" t="s">
        <v>5075</v>
      </c>
      <c r="I612" s="29" t="s">
        <v>2</v>
      </c>
      <c r="J612" s="31" t="s">
        <v>5640</v>
      </c>
      <c r="K612" s="29" t="s">
        <v>5641</v>
      </c>
      <c r="L612" s="29" t="s">
        <v>5072</v>
      </c>
      <c r="M612" s="32" t="s">
        <v>5642</v>
      </c>
    </row>
    <row r="613" spans="1:13" ht="15.75" thickBot="1" x14ac:dyDescent="0.3">
      <c r="A613" s="33">
        <v>46002.702256944445</v>
      </c>
      <c r="B613" s="34" t="s">
        <v>10</v>
      </c>
      <c r="C613" s="34" t="s">
        <v>671</v>
      </c>
      <c r="D613" s="34" t="s">
        <v>5055</v>
      </c>
      <c r="E613" s="34" t="s">
        <v>28</v>
      </c>
      <c r="F613" s="35">
        <v>41409</v>
      </c>
      <c r="G613" s="34" t="s">
        <v>5056</v>
      </c>
      <c r="H613" s="34" t="s">
        <v>5057</v>
      </c>
      <c r="I613" s="34" t="s">
        <v>2</v>
      </c>
      <c r="J613" s="36" t="s">
        <v>5643</v>
      </c>
      <c r="K613" s="34" t="s">
        <v>5598</v>
      </c>
      <c r="L613" s="34" t="s">
        <v>5644</v>
      </c>
      <c r="M613" s="37" t="s">
        <v>5645</v>
      </c>
    </row>
    <row r="614" spans="1:13" ht="15.75" thickBot="1" x14ac:dyDescent="0.3">
      <c r="A614" s="28">
        <v>46002.70275462963</v>
      </c>
      <c r="B614" s="29" t="s">
        <v>10</v>
      </c>
      <c r="C614" s="29" t="s">
        <v>671</v>
      </c>
      <c r="D614" s="29" t="s">
        <v>5646</v>
      </c>
      <c r="E614" s="29" t="s">
        <v>10</v>
      </c>
      <c r="F614" s="30">
        <v>42485</v>
      </c>
      <c r="G614" s="29" t="s">
        <v>5647</v>
      </c>
      <c r="H614" s="29" t="s">
        <v>5648</v>
      </c>
      <c r="I614" s="29" t="s">
        <v>2</v>
      </c>
      <c r="J614" s="31" t="s">
        <v>5649</v>
      </c>
      <c r="K614" s="29" t="s">
        <v>5650</v>
      </c>
      <c r="L614" s="29" t="s">
        <v>5651</v>
      </c>
      <c r="M614" s="32" t="s">
        <v>5652</v>
      </c>
    </row>
    <row r="615" spans="1:13" ht="15.75" thickBot="1" x14ac:dyDescent="0.3">
      <c r="A615" s="33">
        <v>46002.703182870369</v>
      </c>
      <c r="B615" s="34" t="s">
        <v>10</v>
      </c>
      <c r="C615" s="34" t="s">
        <v>671</v>
      </c>
      <c r="D615" s="34" t="s">
        <v>5063</v>
      </c>
      <c r="E615" s="34" t="s">
        <v>28</v>
      </c>
      <c r="F615" s="35">
        <v>42135</v>
      </c>
      <c r="G615" s="34" t="s">
        <v>5064</v>
      </c>
      <c r="H615" s="34" t="s">
        <v>5065</v>
      </c>
      <c r="I615" s="34" t="s">
        <v>2</v>
      </c>
      <c r="J615" s="36" t="s">
        <v>5653</v>
      </c>
      <c r="K615" s="34" t="s">
        <v>5612</v>
      </c>
      <c r="L615" s="34" t="s">
        <v>5654</v>
      </c>
      <c r="M615" s="37" t="s">
        <v>5655</v>
      </c>
    </row>
    <row r="616" spans="1:13" ht="15.75" thickBot="1" x14ac:dyDescent="0.3">
      <c r="A616" s="28">
        <v>46002.703935185185</v>
      </c>
      <c r="B616" s="29" t="s">
        <v>10</v>
      </c>
      <c r="C616" s="29" t="s">
        <v>671</v>
      </c>
      <c r="D616" s="29" t="s">
        <v>5042</v>
      </c>
      <c r="E616" s="29" t="s">
        <v>28</v>
      </c>
      <c r="F616" s="30">
        <v>41784</v>
      </c>
      <c r="G616" s="29" t="s">
        <v>5043</v>
      </c>
      <c r="H616" s="29" t="s">
        <v>5044</v>
      </c>
      <c r="I616" s="29" t="s">
        <v>2</v>
      </c>
      <c r="J616" s="31" t="s">
        <v>5656</v>
      </c>
      <c r="K616" s="29" t="s">
        <v>5578</v>
      </c>
      <c r="L616" s="29" t="s">
        <v>5657</v>
      </c>
      <c r="M616" s="32" t="s">
        <v>5658</v>
      </c>
    </row>
    <row r="617" spans="1:13" ht="15.75" thickBot="1" x14ac:dyDescent="0.3">
      <c r="A617" s="33">
        <v>46002.719259259262</v>
      </c>
      <c r="B617" s="34" t="s">
        <v>10</v>
      </c>
      <c r="C617" s="34" t="s">
        <v>671</v>
      </c>
      <c r="D617" s="34" t="s">
        <v>5079</v>
      </c>
      <c r="E617" s="34" t="s">
        <v>10</v>
      </c>
      <c r="F617" s="35">
        <v>42032</v>
      </c>
      <c r="G617" s="34" t="s">
        <v>5077</v>
      </c>
      <c r="H617" s="34" t="s">
        <v>5078</v>
      </c>
      <c r="I617" s="34" t="s">
        <v>2</v>
      </c>
      <c r="J617" s="36" t="s">
        <v>5659</v>
      </c>
      <c r="K617" s="34" t="s">
        <v>5660</v>
      </c>
      <c r="L617" s="128"/>
      <c r="M617" s="38"/>
    </row>
    <row r="618" spans="1:13" ht="15.75" thickBot="1" x14ac:dyDescent="0.3">
      <c r="A618" s="28">
        <v>46002.704293981478</v>
      </c>
      <c r="B618" s="29" t="s">
        <v>10</v>
      </c>
      <c r="C618" s="29" t="s">
        <v>671</v>
      </c>
      <c r="D618" s="29" t="s">
        <v>5587</v>
      </c>
      <c r="E618" s="29" t="s">
        <v>10</v>
      </c>
      <c r="F618" s="30">
        <v>42538</v>
      </c>
      <c r="G618" s="29" t="s">
        <v>5555</v>
      </c>
      <c r="H618" s="29" t="s">
        <v>5573</v>
      </c>
      <c r="I618" s="29" t="s">
        <v>66</v>
      </c>
      <c r="J618" s="31" t="s">
        <v>5661</v>
      </c>
      <c r="K618" s="29" t="s">
        <v>5630</v>
      </c>
      <c r="L618" s="29" t="s">
        <v>5662</v>
      </c>
      <c r="M618" s="32" t="s">
        <v>5663</v>
      </c>
    </row>
    <row r="619" spans="1:13" ht="15.75" thickBot="1" x14ac:dyDescent="0.3">
      <c r="A619" s="33">
        <v>46002.708356481482</v>
      </c>
      <c r="B619" s="34" t="s">
        <v>10</v>
      </c>
      <c r="C619" s="34" t="s">
        <v>671</v>
      </c>
      <c r="D619" s="34" t="s">
        <v>5063</v>
      </c>
      <c r="E619" s="34" t="s">
        <v>28</v>
      </c>
      <c r="F619" s="35">
        <v>42135</v>
      </c>
      <c r="G619" s="34" t="s">
        <v>5064</v>
      </c>
      <c r="H619" s="34" t="s">
        <v>5065</v>
      </c>
      <c r="I619" s="34" t="s">
        <v>2</v>
      </c>
      <c r="J619" s="36" t="s">
        <v>5664</v>
      </c>
      <c r="K619" s="34" t="s">
        <v>5665</v>
      </c>
      <c r="L619" s="34" t="s">
        <v>5666</v>
      </c>
      <c r="M619" s="37" t="s">
        <v>5667</v>
      </c>
    </row>
    <row r="620" spans="1:13" ht="15.75" thickBot="1" x14ac:dyDescent="0.3">
      <c r="A620" s="28">
        <v>46002.708784722221</v>
      </c>
      <c r="B620" s="29" t="s">
        <v>10</v>
      </c>
      <c r="C620" s="29" t="s">
        <v>671</v>
      </c>
      <c r="D620" s="29" t="s">
        <v>5033</v>
      </c>
      <c r="E620" s="29" t="s">
        <v>28</v>
      </c>
      <c r="F620" s="30">
        <v>42106</v>
      </c>
      <c r="G620" s="29" t="s">
        <v>5034</v>
      </c>
      <c r="H620" s="29" t="s">
        <v>1850</v>
      </c>
      <c r="I620" s="29" t="s">
        <v>66</v>
      </c>
      <c r="J620" s="31" t="s">
        <v>5668</v>
      </c>
      <c r="K620" s="29" t="s">
        <v>5562</v>
      </c>
      <c r="L620" s="29" t="s">
        <v>5669</v>
      </c>
      <c r="M620" s="32" t="s">
        <v>5670</v>
      </c>
    </row>
    <row r="621" spans="1:13" ht="15.75" thickBot="1" x14ac:dyDescent="0.3">
      <c r="A621" s="33">
        <v>46002.709155092591</v>
      </c>
      <c r="B621" s="34" t="s">
        <v>10</v>
      </c>
      <c r="C621" s="34" t="s">
        <v>671</v>
      </c>
      <c r="D621" s="34" t="s">
        <v>5066</v>
      </c>
      <c r="E621" s="34" t="s">
        <v>10</v>
      </c>
      <c r="F621" s="35">
        <v>42057</v>
      </c>
      <c r="G621" s="34" t="s">
        <v>5080</v>
      </c>
      <c r="H621" s="34" t="s">
        <v>5067</v>
      </c>
      <c r="I621" s="34" t="s">
        <v>2</v>
      </c>
      <c r="J621" s="36" t="s">
        <v>5671</v>
      </c>
      <c r="K621" s="34" t="s">
        <v>5617</v>
      </c>
      <c r="L621" s="34" t="s">
        <v>5672</v>
      </c>
      <c r="M621" s="37" t="s">
        <v>5673</v>
      </c>
    </row>
    <row r="622" spans="1:13" ht="15.75" thickBot="1" x14ac:dyDescent="0.3">
      <c r="A622" s="28">
        <v>46002.709282407406</v>
      </c>
      <c r="B622" s="29" t="s">
        <v>10</v>
      </c>
      <c r="C622" s="29" t="s">
        <v>671</v>
      </c>
      <c r="D622" s="29" t="s">
        <v>5042</v>
      </c>
      <c r="E622" s="29" t="s">
        <v>28</v>
      </c>
      <c r="F622" s="30">
        <v>41784</v>
      </c>
      <c r="G622" s="29" t="s">
        <v>5043</v>
      </c>
      <c r="H622" s="29" t="s">
        <v>5044</v>
      </c>
      <c r="I622" s="29" t="s">
        <v>2</v>
      </c>
      <c r="J622" s="31" t="s">
        <v>5674</v>
      </c>
      <c r="K622" s="29" t="s">
        <v>5578</v>
      </c>
      <c r="L622" s="29" t="s">
        <v>5675</v>
      </c>
      <c r="M622" s="32" t="s">
        <v>5676</v>
      </c>
    </row>
    <row r="623" spans="1:13" ht="15.75" thickBot="1" x14ac:dyDescent="0.3">
      <c r="A623" s="33">
        <v>46002.70988425926</v>
      </c>
      <c r="B623" s="34" t="s">
        <v>10</v>
      </c>
      <c r="C623" s="34" t="s">
        <v>671</v>
      </c>
      <c r="D623" s="34" t="s">
        <v>5554</v>
      </c>
      <c r="E623" s="34" t="s">
        <v>10</v>
      </c>
      <c r="F623" s="35">
        <v>42538</v>
      </c>
      <c r="G623" s="34" t="s">
        <v>5555</v>
      </c>
      <c r="H623" s="34" t="s">
        <v>5556</v>
      </c>
      <c r="I623" s="34" t="s">
        <v>66</v>
      </c>
      <c r="J623" s="36" t="s">
        <v>5677</v>
      </c>
      <c r="K623" s="34" t="s">
        <v>5558</v>
      </c>
      <c r="L623" s="34" t="s">
        <v>5678</v>
      </c>
      <c r="M623" s="37" t="s">
        <v>5679</v>
      </c>
    </row>
    <row r="624" spans="1:13" ht="15.75" thickBot="1" x14ac:dyDescent="0.3">
      <c r="A624" s="28">
        <v>46002.710057870368</v>
      </c>
      <c r="B624" s="29" t="s">
        <v>10</v>
      </c>
      <c r="C624" s="29" t="s">
        <v>671</v>
      </c>
      <c r="D624" s="29" t="s">
        <v>5082</v>
      </c>
      <c r="E624" s="29" t="s">
        <v>10</v>
      </c>
      <c r="F624" s="30">
        <v>41796</v>
      </c>
      <c r="G624" s="29" t="s">
        <v>5083</v>
      </c>
      <c r="H624" s="29" t="s">
        <v>5084</v>
      </c>
      <c r="I624" s="29" t="s">
        <v>2</v>
      </c>
      <c r="J624" s="31" t="s">
        <v>5680</v>
      </c>
      <c r="K624" s="29" t="s">
        <v>5681</v>
      </c>
      <c r="L624" s="29" t="s">
        <v>5081</v>
      </c>
      <c r="M624" s="32" t="s">
        <v>5682</v>
      </c>
    </row>
    <row r="625" spans="1:13" ht="15.75" thickBot="1" x14ac:dyDescent="0.3">
      <c r="A625" s="33">
        <v>46002.766481481478</v>
      </c>
      <c r="B625" s="34" t="s">
        <v>10</v>
      </c>
      <c r="C625" s="34" t="s">
        <v>671</v>
      </c>
      <c r="D625" s="34" t="s">
        <v>5086</v>
      </c>
      <c r="E625" s="34" t="s">
        <v>10</v>
      </c>
      <c r="F625" s="35">
        <v>41630</v>
      </c>
      <c r="G625" s="34" t="s">
        <v>5087</v>
      </c>
      <c r="H625" s="34" t="s">
        <v>5088</v>
      </c>
      <c r="I625" s="34" t="s">
        <v>2</v>
      </c>
      <c r="J625" s="36" t="s">
        <v>5683</v>
      </c>
      <c r="K625" s="34" t="s">
        <v>5684</v>
      </c>
      <c r="L625" s="34" t="s">
        <v>5685</v>
      </c>
      <c r="M625" s="37" t="s">
        <v>5686</v>
      </c>
    </row>
    <row r="626" spans="1:13" ht="15.75" thickBot="1" x14ac:dyDescent="0.3">
      <c r="A626" s="28">
        <v>46002.712731481479</v>
      </c>
      <c r="B626" s="29" t="s">
        <v>10</v>
      </c>
      <c r="C626" s="29" t="s">
        <v>671</v>
      </c>
      <c r="D626" s="29" t="s">
        <v>5063</v>
      </c>
      <c r="E626" s="29" t="s">
        <v>28</v>
      </c>
      <c r="F626" s="30">
        <v>42135</v>
      </c>
      <c r="G626" s="29" t="s">
        <v>5064</v>
      </c>
      <c r="H626" s="29" t="s">
        <v>5065</v>
      </c>
      <c r="I626" s="29" t="s">
        <v>2</v>
      </c>
      <c r="J626" s="31" t="s">
        <v>5687</v>
      </c>
      <c r="K626" s="29" t="s">
        <v>5665</v>
      </c>
      <c r="L626" s="29" t="s">
        <v>5688</v>
      </c>
      <c r="M626" s="32" t="s">
        <v>5689</v>
      </c>
    </row>
    <row r="627" spans="1:13" ht="15.75" thickBot="1" x14ac:dyDescent="0.3">
      <c r="A627" s="33">
        <v>46002.713078703702</v>
      </c>
      <c r="B627" s="34" t="s">
        <v>10</v>
      </c>
      <c r="C627" s="34" t="s">
        <v>671</v>
      </c>
      <c r="D627" s="34" t="s">
        <v>5079</v>
      </c>
      <c r="E627" s="34" t="s">
        <v>10</v>
      </c>
      <c r="F627" s="35">
        <v>42032</v>
      </c>
      <c r="G627" s="34" t="s">
        <v>5077</v>
      </c>
      <c r="H627" s="34" t="s">
        <v>5078</v>
      </c>
      <c r="I627" s="34" t="s">
        <v>2</v>
      </c>
      <c r="J627" s="36" t="s">
        <v>5690</v>
      </c>
      <c r="K627" s="34" t="s">
        <v>5691</v>
      </c>
      <c r="L627" s="34" t="s">
        <v>5089</v>
      </c>
      <c r="M627" s="37" t="s">
        <v>5692</v>
      </c>
    </row>
    <row r="628" spans="1:13" ht="15.75" thickBot="1" x14ac:dyDescent="0.3">
      <c r="A628" s="28">
        <v>46002.713599537034</v>
      </c>
      <c r="B628" s="29" t="s">
        <v>10</v>
      </c>
      <c r="C628" s="29" t="s">
        <v>671</v>
      </c>
      <c r="D628" s="29" t="s">
        <v>5055</v>
      </c>
      <c r="E628" s="29" t="s">
        <v>28</v>
      </c>
      <c r="F628" s="30">
        <v>41409</v>
      </c>
      <c r="G628" s="29" t="s">
        <v>5056</v>
      </c>
      <c r="H628" s="29" t="s">
        <v>5057</v>
      </c>
      <c r="I628" s="29" t="s">
        <v>2</v>
      </c>
      <c r="J628" s="31" t="s">
        <v>5693</v>
      </c>
      <c r="K628" s="29" t="s">
        <v>5598</v>
      </c>
      <c r="L628" s="29" t="s">
        <v>5694</v>
      </c>
      <c r="M628" s="32" t="s">
        <v>5695</v>
      </c>
    </row>
    <row r="629" spans="1:13" ht="15.75" thickBot="1" x14ac:dyDescent="0.3">
      <c r="A629" s="33">
        <v>46002.714270833334</v>
      </c>
      <c r="B629" s="34" t="s">
        <v>10</v>
      </c>
      <c r="C629" s="34" t="s">
        <v>671</v>
      </c>
      <c r="D629" s="34" t="s">
        <v>5042</v>
      </c>
      <c r="E629" s="34" t="s">
        <v>28</v>
      </c>
      <c r="F629" s="35">
        <v>41784</v>
      </c>
      <c r="G629" s="34" t="s">
        <v>5043</v>
      </c>
      <c r="H629" s="34" t="s">
        <v>5044</v>
      </c>
      <c r="I629" s="34" t="s">
        <v>2</v>
      </c>
      <c r="J629" s="36" t="s">
        <v>5696</v>
      </c>
      <c r="K629" s="34" t="s">
        <v>5578</v>
      </c>
      <c r="L629" s="34" t="s">
        <v>5697</v>
      </c>
      <c r="M629" s="37" t="s">
        <v>5698</v>
      </c>
    </row>
    <row r="630" spans="1:13" ht="15.75" thickBot="1" x14ac:dyDescent="0.3">
      <c r="A630" s="28">
        <v>46002.714560185188</v>
      </c>
      <c r="B630" s="29" t="s">
        <v>10</v>
      </c>
      <c r="C630" s="29" t="s">
        <v>671</v>
      </c>
      <c r="D630" s="29" t="s">
        <v>5091</v>
      </c>
      <c r="E630" s="29" t="s">
        <v>28</v>
      </c>
      <c r="F630" s="30">
        <v>42538</v>
      </c>
      <c r="G630" s="29" t="s">
        <v>5092</v>
      </c>
      <c r="H630" s="29" t="s">
        <v>5093</v>
      </c>
      <c r="I630" s="29" t="s">
        <v>66</v>
      </c>
      <c r="J630" s="31" t="s">
        <v>5699</v>
      </c>
      <c r="K630" s="29" t="s">
        <v>5630</v>
      </c>
      <c r="L630" s="29" t="s">
        <v>5700</v>
      </c>
      <c r="M630" s="32" t="s">
        <v>5701</v>
      </c>
    </row>
    <row r="631" spans="1:13" ht="15.75" thickBot="1" x14ac:dyDescent="0.3">
      <c r="A631" s="33">
        <v>46002.717372685183</v>
      </c>
      <c r="B631" s="34" t="s">
        <v>10</v>
      </c>
      <c r="C631" s="34" t="s">
        <v>671</v>
      </c>
      <c r="D631" s="34" t="s">
        <v>5073</v>
      </c>
      <c r="E631" s="34" t="s">
        <v>28</v>
      </c>
      <c r="F631" s="35">
        <v>41641</v>
      </c>
      <c r="G631" s="34" t="s">
        <v>5074</v>
      </c>
      <c r="H631" s="34" t="s">
        <v>5075</v>
      </c>
      <c r="I631" s="34" t="s">
        <v>2</v>
      </c>
      <c r="J631" s="36" t="s">
        <v>5702</v>
      </c>
      <c r="K631" s="34" t="s">
        <v>5641</v>
      </c>
      <c r="L631" s="34" t="s">
        <v>5703</v>
      </c>
      <c r="M631" s="37" t="s">
        <v>5704</v>
      </c>
    </row>
    <row r="632" spans="1:13" ht="15.75" thickBot="1" x14ac:dyDescent="0.3">
      <c r="A632" s="28">
        <v>46002.717870370368</v>
      </c>
      <c r="B632" s="29" t="s">
        <v>10</v>
      </c>
      <c r="C632" s="29" t="s">
        <v>671</v>
      </c>
      <c r="D632" s="29" t="s">
        <v>5079</v>
      </c>
      <c r="E632" s="29" t="s">
        <v>10</v>
      </c>
      <c r="F632" s="30">
        <v>42032</v>
      </c>
      <c r="G632" s="29" t="s">
        <v>5077</v>
      </c>
      <c r="H632" s="29" t="s">
        <v>5078</v>
      </c>
      <c r="I632" s="29" t="s">
        <v>2</v>
      </c>
      <c r="J632" s="31" t="s">
        <v>5705</v>
      </c>
      <c r="K632" s="29" t="s">
        <v>5691</v>
      </c>
      <c r="L632" s="29" t="s">
        <v>5706</v>
      </c>
      <c r="M632" s="32" t="s">
        <v>5707</v>
      </c>
    </row>
    <row r="633" spans="1:13" ht="15.75" thickBot="1" x14ac:dyDescent="0.3">
      <c r="A633" s="33">
        <v>46002.717986111114</v>
      </c>
      <c r="B633" s="34" t="s">
        <v>10</v>
      </c>
      <c r="C633" s="34" t="s">
        <v>671</v>
      </c>
      <c r="D633" s="34" t="s">
        <v>5066</v>
      </c>
      <c r="E633" s="34" t="s">
        <v>10</v>
      </c>
      <c r="F633" s="35">
        <v>42057</v>
      </c>
      <c r="G633" s="34" t="s">
        <v>5080</v>
      </c>
      <c r="H633" s="34" t="s">
        <v>5067</v>
      </c>
      <c r="I633" s="34" t="s">
        <v>2</v>
      </c>
      <c r="J633" s="36" t="s">
        <v>5708</v>
      </c>
      <c r="K633" s="34" t="s">
        <v>5617</v>
      </c>
      <c r="L633" s="34" t="s">
        <v>5709</v>
      </c>
      <c r="M633" s="37" t="s">
        <v>5710</v>
      </c>
    </row>
    <row r="634" spans="1:13" ht="15.75" thickBot="1" x14ac:dyDescent="0.3">
      <c r="A634" s="28">
        <v>46002.718263888892</v>
      </c>
      <c r="B634" s="29" t="s">
        <v>10</v>
      </c>
      <c r="C634" s="29" t="s">
        <v>671</v>
      </c>
      <c r="D634" s="29" t="s">
        <v>5095</v>
      </c>
      <c r="E634" s="29" t="s">
        <v>28</v>
      </c>
      <c r="F634" s="30">
        <v>42538</v>
      </c>
      <c r="G634" s="29" t="s">
        <v>5092</v>
      </c>
      <c r="H634" s="29" t="s">
        <v>5093</v>
      </c>
      <c r="I634" s="29" t="s">
        <v>66</v>
      </c>
      <c r="J634" s="31" t="s">
        <v>5711</v>
      </c>
      <c r="K634" s="29" t="s">
        <v>5712</v>
      </c>
      <c r="L634" s="29" t="s">
        <v>5094</v>
      </c>
      <c r="M634" s="32" t="s">
        <v>5713</v>
      </c>
    </row>
    <row r="635" spans="1:13" ht="15.75" thickBot="1" x14ac:dyDescent="0.3">
      <c r="A635" s="33">
        <v>46002.718668981484</v>
      </c>
      <c r="B635" s="34" t="s">
        <v>10</v>
      </c>
      <c r="C635" s="34" t="s">
        <v>671</v>
      </c>
      <c r="D635" s="34" t="s">
        <v>5098</v>
      </c>
      <c r="E635" s="34" t="s">
        <v>10</v>
      </c>
      <c r="F635" s="35">
        <v>42534</v>
      </c>
      <c r="G635" s="34" t="s">
        <v>5714</v>
      </c>
      <c r="H635" s="34" t="s">
        <v>5715</v>
      </c>
      <c r="I635" s="34" t="s">
        <v>2</v>
      </c>
      <c r="J635" s="36" t="s">
        <v>5716</v>
      </c>
      <c r="K635" s="34" t="s">
        <v>5717</v>
      </c>
      <c r="L635" s="34" t="s">
        <v>5097</v>
      </c>
      <c r="M635" s="37" t="s">
        <v>5718</v>
      </c>
    </row>
    <row r="636" spans="1:13" ht="15.75" thickBot="1" x14ac:dyDescent="0.3">
      <c r="A636" s="28">
        <v>46002.720335648148</v>
      </c>
      <c r="B636" s="29" t="s">
        <v>10</v>
      </c>
      <c r="C636" s="29" t="s">
        <v>671</v>
      </c>
      <c r="D636" s="29" t="s">
        <v>5033</v>
      </c>
      <c r="E636" s="29" t="s">
        <v>28</v>
      </c>
      <c r="F636" s="30">
        <v>42106</v>
      </c>
      <c r="G636" s="29" t="s">
        <v>5034</v>
      </c>
      <c r="H636" s="29" t="s">
        <v>1850</v>
      </c>
      <c r="I636" s="29" t="s">
        <v>66</v>
      </c>
      <c r="J636" s="31" t="s">
        <v>5719</v>
      </c>
      <c r="K636" s="29" t="s">
        <v>5562</v>
      </c>
      <c r="L636" s="29" t="s">
        <v>5720</v>
      </c>
      <c r="M636" s="32" t="s">
        <v>5721</v>
      </c>
    </row>
    <row r="637" spans="1:13" ht="15.75" thickBot="1" x14ac:dyDescent="0.3">
      <c r="A637" s="33">
        <v>46002.719664351855</v>
      </c>
      <c r="B637" s="34" t="s">
        <v>10</v>
      </c>
      <c r="C637" s="34" t="s">
        <v>671</v>
      </c>
      <c r="D637" s="34" t="s">
        <v>5099</v>
      </c>
      <c r="E637" s="34" t="s">
        <v>10</v>
      </c>
      <c r="F637" s="35">
        <v>41473</v>
      </c>
      <c r="G637" s="34" t="s">
        <v>5100</v>
      </c>
      <c r="H637" s="34" t="s">
        <v>5101</v>
      </c>
      <c r="I637" s="34" t="s">
        <v>2</v>
      </c>
      <c r="J637" s="36" t="s">
        <v>5722</v>
      </c>
      <c r="K637" s="34" t="s">
        <v>5723</v>
      </c>
      <c r="L637" s="34" t="s">
        <v>5724</v>
      </c>
      <c r="M637" s="37" t="s">
        <v>5725</v>
      </c>
    </row>
    <row r="638" spans="1:13" ht="15.75" thickBot="1" x14ac:dyDescent="0.3">
      <c r="A638" s="28">
        <v>46002.720995370371</v>
      </c>
      <c r="B638" s="29" t="s">
        <v>10</v>
      </c>
      <c r="C638" s="29" t="s">
        <v>490</v>
      </c>
      <c r="D638" s="29" t="s">
        <v>5103</v>
      </c>
      <c r="E638" s="29" t="s">
        <v>10</v>
      </c>
      <c r="F638" s="30">
        <v>42498</v>
      </c>
      <c r="G638" s="29" t="s">
        <v>5104</v>
      </c>
      <c r="H638" s="29" t="s">
        <v>5105</v>
      </c>
      <c r="I638" s="29" t="s">
        <v>2</v>
      </c>
      <c r="J638" s="31" t="s">
        <v>5726</v>
      </c>
      <c r="K638" s="29" t="s">
        <v>5727</v>
      </c>
      <c r="L638" s="29" t="s">
        <v>5102</v>
      </c>
      <c r="M638" s="32" t="s">
        <v>5728</v>
      </c>
    </row>
    <row r="639" spans="1:13" ht="15.75" thickBot="1" x14ac:dyDescent="0.3">
      <c r="A639" s="33">
        <v>46002.721759259257</v>
      </c>
      <c r="B639" s="34" t="s">
        <v>10</v>
      </c>
      <c r="C639" s="34" t="s">
        <v>671</v>
      </c>
      <c r="D639" s="34" t="s">
        <v>5073</v>
      </c>
      <c r="E639" s="34" t="s">
        <v>10</v>
      </c>
      <c r="F639" s="35">
        <v>41641</v>
      </c>
      <c r="G639" s="34" t="s">
        <v>5074</v>
      </c>
      <c r="H639" s="34" t="s">
        <v>5075</v>
      </c>
      <c r="I639" s="34" t="s">
        <v>2</v>
      </c>
      <c r="J639" s="36" t="s">
        <v>5729</v>
      </c>
      <c r="K639" s="34" t="s">
        <v>5641</v>
      </c>
      <c r="L639" s="34" t="s">
        <v>5730</v>
      </c>
      <c r="M639" s="37" t="s">
        <v>5731</v>
      </c>
    </row>
    <row r="640" spans="1:13" ht="15.75" thickBot="1" x14ac:dyDescent="0.3">
      <c r="A640" s="28">
        <v>46002.721863425926</v>
      </c>
      <c r="B640" s="29" t="s">
        <v>10</v>
      </c>
      <c r="C640" s="29" t="s">
        <v>671</v>
      </c>
      <c r="D640" s="29" t="s">
        <v>5063</v>
      </c>
      <c r="E640" s="29" t="s">
        <v>28</v>
      </c>
      <c r="F640" s="30">
        <v>42313</v>
      </c>
      <c r="G640" s="29" t="s">
        <v>5064</v>
      </c>
      <c r="H640" s="29" t="s">
        <v>5065</v>
      </c>
      <c r="I640" s="29" t="s">
        <v>2</v>
      </c>
      <c r="J640" s="31" t="s">
        <v>5732</v>
      </c>
      <c r="K640" s="29" t="s">
        <v>5733</v>
      </c>
      <c r="L640" s="29" t="s">
        <v>5107</v>
      </c>
      <c r="M640" s="32" t="s">
        <v>5734</v>
      </c>
    </row>
    <row r="641" spans="1:13" ht="15.75" thickBot="1" x14ac:dyDescent="0.3">
      <c r="A641" s="33">
        <v>46002.722141203703</v>
      </c>
      <c r="B641" s="34" t="s">
        <v>10</v>
      </c>
      <c r="C641" s="34" t="s">
        <v>671</v>
      </c>
      <c r="D641" s="34" t="s">
        <v>5055</v>
      </c>
      <c r="E641" s="34" t="s">
        <v>28</v>
      </c>
      <c r="F641" s="35">
        <v>41409</v>
      </c>
      <c r="G641" s="34" t="s">
        <v>5056</v>
      </c>
      <c r="H641" s="34" t="s">
        <v>5057</v>
      </c>
      <c r="I641" s="34" t="s">
        <v>2</v>
      </c>
      <c r="J641" s="36" t="s">
        <v>5735</v>
      </c>
      <c r="K641" s="34" t="s">
        <v>5598</v>
      </c>
      <c r="L641" s="34" t="s">
        <v>5736</v>
      </c>
      <c r="M641" s="37" t="s">
        <v>5737</v>
      </c>
    </row>
    <row r="642" spans="1:13" ht="15.75" thickBot="1" x14ac:dyDescent="0.3">
      <c r="A642" s="28">
        <v>46002.722916666666</v>
      </c>
      <c r="B642" s="29" t="s">
        <v>10</v>
      </c>
      <c r="C642" s="29" t="s">
        <v>671</v>
      </c>
      <c r="D642" s="29" t="s">
        <v>5091</v>
      </c>
      <c r="E642" s="29" t="s">
        <v>28</v>
      </c>
      <c r="F642" s="30">
        <v>42538</v>
      </c>
      <c r="G642" s="29" t="s">
        <v>5092</v>
      </c>
      <c r="H642" s="29" t="s">
        <v>5093</v>
      </c>
      <c r="I642" s="29" t="s">
        <v>66</v>
      </c>
      <c r="J642" s="31" t="s">
        <v>5738</v>
      </c>
      <c r="K642" s="29" t="s">
        <v>5712</v>
      </c>
      <c r="L642" s="29" t="s">
        <v>5739</v>
      </c>
      <c r="M642" s="32" t="s">
        <v>5740</v>
      </c>
    </row>
    <row r="643" spans="1:13" ht="15.75" thickBot="1" x14ac:dyDescent="0.3">
      <c r="A643" s="33">
        <v>46002.723553240743</v>
      </c>
      <c r="B643" s="34" t="s">
        <v>10</v>
      </c>
      <c r="C643" s="34" t="s">
        <v>671</v>
      </c>
      <c r="D643" s="34" t="s">
        <v>5086</v>
      </c>
      <c r="E643" s="34" t="s">
        <v>10</v>
      </c>
      <c r="F643" s="35">
        <v>41630</v>
      </c>
      <c r="G643" s="34" t="s">
        <v>5087</v>
      </c>
      <c r="H643" s="34" t="s">
        <v>5088</v>
      </c>
      <c r="I643" s="34" t="s">
        <v>2</v>
      </c>
      <c r="J643" s="36" t="s">
        <v>5741</v>
      </c>
      <c r="K643" s="34" t="s">
        <v>5684</v>
      </c>
      <c r="L643" s="128"/>
      <c r="M643" s="38"/>
    </row>
    <row r="644" spans="1:13" ht="15.75" thickBot="1" x14ac:dyDescent="0.3">
      <c r="A644" s="28">
        <v>46002.723564814813</v>
      </c>
      <c r="B644" s="29" t="s">
        <v>10</v>
      </c>
      <c r="C644" s="29" t="s">
        <v>671</v>
      </c>
      <c r="D644" s="29" t="s">
        <v>5066</v>
      </c>
      <c r="E644" s="29" t="s">
        <v>10</v>
      </c>
      <c r="F644" s="30">
        <v>42057</v>
      </c>
      <c r="G644" s="29" t="s">
        <v>5080</v>
      </c>
      <c r="H644" s="29" t="s">
        <v>5067</v>
      </c>
      <c r="I644" s="29" t="s">
        <v>2</v>
      </c>
      <c r="J644" s="31" t="s">
        <v>5742</v>
      </c>
      <c r="K644" s="29" t="s">
        <v>5617</v>
      </c>
      <c r="L644" s="29" t="s">
        <v>5743</v>
      </c>
      <c r="M644" s="32" t="s">
        <v>5744</v>
      </c>
    </row>
    <row r="645" spans="1:13" ht="15.75" thickBot="1" x14ac:dyDescent="0.3">
      <c r="A645" s="33">
        <v>46002.723680555559</v>
      </c>
      <c r="B645" s="34" t="s">
        <v>10</v>
      </c>
      <c r="C645" s="34" t="s">
        <v>671</v>
      </c>
      <c r="D645" s="34" t="s">
        <v>5073</v>
      </c>
      <c r="E645" s="34" t="s">
        <v>10</v>
      </c>
      <c r="F645" s="35">
        <v>41641</v>
      </c>
      <c r="G645" s="34" t="s">
        <v>5074</v>
      </c>
      <c r="H645" s="34" t="s">
        <v>5075</v>
      </c>
      <c r="I645" s="34" t="s">
        <v>2</v>
      </c>
      <c r="J645" s="36" t="s">
        <v>5745</v>
      </c>
      <c r="K645" s="34" t="s">
        <v>5641</v>
      </c>
      <c r="L645" s="34" t="s">
        <v>5746</v>
      </c>
      <c r="M645" s="37" t="s">
        <v>5747</v>
      </c>
    </row>
    <row r="646" spans="1:13" ht="15.75" thickBot="1" x14ac:dyDescent="0.3">
      <c r="A646" s="28">
        <v>46002.724189814813</v>
      </c>
      <c r="B646" s="29" t="s">
        <v>10</v>
      </c>
      <c r="C646" s="29" t="s">
        <v>671</v>
      </c>
      <c r="D646" s="29" t="s">
        <v>5748</v>
      </c>
      <c r="E646" s="29" t="s">
        <v>10</v>
      </c>
      <c r="F646" s="30">
        <v>41784</v>
      </c>
      <c r="G646" s="29" t="s">
        <v>5749</v>
      </c>
      <c r="H646" s="29" t="s">
        <v>5750</v>
      </c>
      <c r="I646" s="29" t="s">
        <v>2</v>
      </c>
      <c r="J646" s="31" t="s">
        <v>5751</v>
      </c>
      <c r="K646" s="29" t="s">
        <v>5578</v>
      </c>
      <c r="L646" s="29" t="s">
        <v>5752</v>
      </c>
      <c r="M646" s="32" t="s">
        <v>5753</v>
      </c>
    </row>
    <row r="647" spans="1:13" ht="15.75" thickBot="1" x14ac:dyDescent="0.3">
      <c r="A647" s="33">
        <v>46002.724942129629</v>
      </c>
      <c r="B647" s="34" t="s">
        <v>10</v>
      </c>
      <c r="C647" s="34" t="s">
        <v>671</v>
      </c>
      <c r="D647" s="34" t="s">
        <v>5098</v>
      </c>
      <c r="E647" s="34" t="s">
        <v>10</v>
      </c>
      <c r="F647" s="35">
        <v>42534</v>
      </c>
      <c r="G647" s="34" t="s">
        <v>5109</v>
      </c>
      <c r="H647" s="34" t="s">
        <v>5754</v>
      </c>
      <c r="I647" s="34" t="s">
        <v>2</v>
      </c>
      <c r="J647" s="36" t="s">
        <v>5755</v>
      </c>
      <c r="K647" s="34" t="s">
        <v>5717</v>
      </c>
      <c r="L647" s="34" t="s">
        <v>5756</v>
      </c>
      <c r="M647" s="37" t="s">
        <v>5757</v>
      </c>
    </row>
    <row r="648" spans="1:13" ht="15.75" thickBot="1" x14ac:dyDescent="0.3">
      <c r="A648" s="28">
        <v>46002.728252314817</v>
      </c>
      <c r="B648" s="29" t="s">
        <v>10</v>
      </c>
      <c r="C648" s="29" t="s">
        <v>671</v>
      </c>
      <c r="D648" s="29" t="s">
        <v>5098</v>
      </c>
      <c r="E648" s="29" t="s">
        <v>10</v>
      </c>
      <c r="F648" s="30">
        <v>42534</v>
      </c>
      <c r="G648" s="29" t="s">
        <v>5109</v>
      </c>
      <c r="H648" s="29" t="s">
        <v>5110</v>
      </c>
      <c r="I648" s="29" t="s">
        <v>2</v>
      </c>
      <c r="J648" s="31" t="s">
        <v>5758</v>
      </c>
      <c r="K648" s="29" t="s">
        <v>5759</v>
      </c>
      <c r="L648" s="29" t="s">
        <v>5760</v>
      </c>
      <c r="M648" s="32" t="s">
        <v>5761</v>
      </c>
    </row>
    <row r="649" spans="1:13" ht="15.75" thickBot="1" x14ac:dyDescent="0.3">
      <c r="A649" s="33">
        <v>46002.728460648148</v>
      </c>
      <c r="B649" s="34" t="s">
        <v>10</v>
      </c>
      <c r="C649" s="34" t="s">
        <v>671</v>
      </c>
      <c r="D649" s="34" t="s">
        <v>5091</v>
      </c>
      <c r="E649" s="34" t="s">
        <v>28</v>
      </c>
      <c r="F649" s="35">
        <v>42538</v>
      </c>
      <c r="G649" s="34" t="s">
        <v>5092</v>
      </c>
      <c r="H649" s="34" t="s">
        <v>5093</v>
      </c>
      <c r="I649" s="34" t="s">
        <v>66</v>
      </c>
      <c r="J649" s="36" t="s">
        <v>5762</v>
      </c>
      <c r="K649" s="34" t="s">
        <v>5712</v>
      </c>
      <c r="L649" s="34" t="s">
        <v>5763</v>
      </c>
      <c r="M649" s="37" t="s">
        <v>5764</v>
      </c>
    </row>
    <row r="650" spans="1:13" ht="15.75" thickBot="1" x14ac:dyDescent="0.3">
      <c r="A650" s="28">
        <v>46002.769733796296</v>
      </c>
      <c r="B650" s="29" t="s">
        <v>10</v>
      </c>
      <c r="C650" s="29" t="s">
        <v>671</v>
      </c>
      <c r="D650" s="29" t="s">
        <v>5113</v>
      </c>
      <c r="E650" s="29" t="s">
        <v>10</v>
      </c>
      <c r="F650" s="30">
        <v>41761</v>
      </c>
      <c r="G650" s="29" t="s">
        <v>5114</v>
      </c>
      <c r="H650" s="29" t="s">
        <v>5115</v>
      </c>
      <c r="I650" s="29" t="s">
        <v>66</v>
      </c>
      <c r="J650" s="31" t="s">
        <v>5765</v>
      </c>
      <c r="K650" s="29" t="s">
        <v>5766</v>
      </c>
      <c r="L650" s="29" t="s">
        <v>5112</v>
      </c>
      <c r="M650" s="32" t="s">
        <v>5767</v>
      </c>
    </row>
    <row r="651" spans="1:13" ht="15.75" thickBot="1" x14ac:dyDescent="0.3">
      <c r="A651" s="33">
        <v>46002.729004629633</v>
      </c>
      <c r="B651" s="34" t="s">
        <v>10</v>
      </c>
      <c r="C651" s="34" t="s">
        <v>671</v>
      </c>
      <c r="D651" s="34" t="s">
        <v>5066</v>
      </c>
      <c r="E651" s="34" t="s">
        <v>10</v>
      </c>
      <c r="F651" s="35">
        <v>42057</v>
      </c>
      <c r="G651" s="34" t="s">
        <v>5080</v>
      </c>
      <c r="H651" s="34" t="s">
        <v>5067</v>
      </c>
      <c r="I651" s="34" t="s">
        <v>2</v>
      </c>
      <c r="J651" s="36" t="s">
        <v>5768</v>
      </c>
      <c r="K651" s="34" t="s">
        <v>5769</v>
      </c>
      <c r="L651" s="34" t="s">
        <v>5770</v>
      </c>
      <c r="M651" s="37" t="s">
        <v>5771</v>
      </c>
    </row>
    <row r="652" spans="1:13" ht="15.75" thickBot="1" x14ac:dyDescent="0.3">
      <c r="A652" s="28">
        <v>46002.729375000003</v>
      </c>
      <c r="B652" s="29" t="s">
        <v>10</v>
      </c>
      <c r="C652" s="29" t="s">
        <v>671</v>
      </c>
      <c r="D652" s="29" t="s">
        <v>5772</v>
      </c>
      <c r="E652" s="29" t="s">
        <v>10</v>
      </c>
      <c r="F652" s="30">
        <v>42214</v>
      </c>
      <c r="G652" s="29" t="s">
        <v>3856</v>
      </c>
      <c r="H652" s="29" t="s">
        <v>5038</v>
      </c>
      <c r="I652" s="29" t="s">
        <v>2</v>
      </c>
      <c r="J652" s="31" t="s">
        <v>5773</v>
      </c>
      <c r="K652" s="29" t="s">
        <v>5774</v>
      </c>
      <c r="L652" s="29" t="s">
        <v>5775</v>
      </c>
      <c r="M652" s="32" t="s">
        <v>5776</v>
      </c>
    </row>
    <row r="653" spans="1:13" ht="15.75" thickBot="1" x14ac:dyDescent="0.3">
      <c r="A653" s="33">
        <v>46002.729664351849</v>
      </c>
      <c r="B653" s="34" t="s">
        <v>10</v>
      </c>
      <c r="C653" s="34" t="s">
        <v>671</v>
      </c>
      <c r="D653" s="34" t="s">
        <v>5086</v>
      </c>
      <c r="E653" s="34" t="s">
        <v>10</v>
      </c>
      <c r="F653" s="35">
        <v>41630</v>
      </c>
      <c r="G653" s="34" t="s">
        <v>5087</v>
      </c>
      <c r="H653" s="34" t="s">
        <v>5088</v>
      </c>
      <c r="I653" s="34" t="s">
        <v>2</v>
      </c>
      <c r="J653" s="36" t="s">
        <v>5777</v>
      </c>
      <c r="K653" s="34" t="s">
        <v>5684</v>
      </c>
      <c r="L653" s="34" t="s">
        <v>5778</v>
      </c>
      <c r="M653" s="37" t="s">
        <v>5779</v>
      </c>
    </row>
    <row r="654" spans="1:13" ht="15.75" thickBot="1" x14ac:dyDescent="0.3">
      <c r="A654" s="28">
        <v>46002.72991898148</v>
      </c>
      <c r="B654" s="29" t="s">
        <v>10</v>
      </c>
      <c r="C654" s="29" t="s">
        <v>671</v>
      </c>
      <c r="D654" s="29" t="s">
        <v>5554</v>
      </c>
      <c r="E654" s="29" t="s">
        <v>10</v>
      </c>
      <c r="F654" s="30">
        <v>42538</v>
      </c>
      <c r="G654" s="29" t="s">
        <v>5555</v>
      </c>
      <c r="H654" s="29" t="s">
        <v>5556</v>
      </c>
      <c r="I654" s="29" t="s">
        <v>66</v>
      </c>
      <c r="J654" s="31" t="s">
        <v>5780</v>
      </c>
      <c r="K654" s="29" t="s">
        <v>5630</v>
      </c>
      <c r="L654" s="29" t="s">
        <v>5781</v>
      </c>
      <c r="M654" s="32" t="s">
        <v>5782</v>
      </c>
    </row>
    <row r="655" spans="1:13" ht="15.75" thickBot="1" x14ac:dyDescent="0.3">
      <c r="A655" s="33">
        <v>46002.730428240742</v>
      </c>
      <c r="B655" s="34" t="s">
        <v>10</v>
      </c>
      <c r="C655" s="34" t="s">
        <v>671</v>
      </c>
      <c r="D655" s="34" t="s">
        <v>5117</v>
      </c>
      <c r="E655" s="34" t="s">
        <v>10</v>
      </c>
      <c r="F655" s="35">
        <v>42144</v>
      </c>
      <c r="G655" s="34" t="s">
        <v>5118</v>
      </c>
      <c r="H655" s="34" t="s">
        <v>2186</v>
      </c>
      <c r="I655" s="34" t="s">
        <v>66</v>
      </c>
      <c r="J655" s="36" t="s">
        <v>5783</v>
      </c>
      <c r="K655" s="34" t="s">
        <v>5784</v>
      </c>
      <c r="L655" s="34" t="s">
        <v>5785</v>
      </c>
      <c r="M655" s="37" t="s">
        <v>5786</v>
      </c>
    </row>
    <row r="656" spans="1:13" ht="15.75" thickBot="1" x14ac:dyDescent="0.3">
      <c r="A656" s="28">
        <v>46002.731435185182</v>
      </c>
      <c r="B656" s="29" t="s">
        <v>10</v>
      </c>
      <c r="C656" s="29" t="s">
        <v>671</v>
      </c>
      <c r="D656" s="29" t="s">
        <v>5073</v>
      </c>
      <c r="E656" s="29" t="s">
        <v>10</v>
      </c>
      <c r="F656" s="30">
        <v>41641</v>
      </c>
      <c r="G656" s="29" t="s">
        <v>5074</v>
      </c>
      <c r="H656" s="29" t="s">
        <v>5075</v>
      </c>
      <c r="I656" s="29" t="s">
        <v>2</v>
      </c>
      <c r="J656" s="31" t="s">
        <v>5787</v>
      </c>
      <c r="K656" s="29" t="s">
        <v>5788</v>
      </c>
      <c r="L656" s="29" t="s">
        <v>5789</v>
      </c>
      <c r="M656" s="32" t="s">
        <v>5790</v>
      </c>
    </row>
    <row r="657" spans="1:13" ht="15.75" thickBot="1" x14ac:dyDescent="0.3">
      <c r="A657" s="33">
        <v>46002.732488425929</v>
      </c>
      <c r="B657" s="34" t="s">
        <v>953</v>
      </c>
      <c r="C657" s="34" t="s">
        <v>725</v>
      </c>
      <c r="D657" s="34" t="s">
        <v>5119</v>
      </c>
      <c r="E657" s="34" t="s">
        <v>10</v>
      </c>
      <c r="F657" s="35">
        <v>42524</v>
      </c>
      <c r="G657" s="34" t="s">
        <v>4740</v>
      </c>
      <c r="H657" s="34" t="s">
        <v>4741</v>
      </c>
      <c r="I657" s="34" t="s">
        <v>66</v>
      </c>
      <c r="J657" s="36" t="s">
        <v>5791</v>
      </c>
      <c r="K657" s="34" t="s">
        <v>5362</v>
      </c>
      <c r="L657" s="34" t="s">
        <v>3034</v>
      </c>
      <c r="M657" s="37" t="s">
        <v>5792</v>
      </c>
    </row>
    <row r="658" spans="1:13" ht="15.75" thickBot="1" x14ac:dyDescent="0.3">
      <c r="A658" s="28">
        <v>46002.732743055552</v>
      </c>
      <c r="B658" s="29" t="s">
        <v>10</v>
      </c>
      <c r="C658" s="29" t="s">
        <v>671</v>
      </c>
      <c r="D658" s="29" t="s">
        <v>5117</v>
      </c>
      <c r="E658" s="29" t="s">
        <v>10</v>
      </c>
      <c r="F658" s="30">
        <v>42144</v>
      </c>
      <c r="G658" s="29" t="s">
        <v>5118</v>
      </c>
      <c r="H658" s="29" t="s">
        <v>2186</v>
      </c>
      <c r="I658" s="29" t="s">
        <v>66</v>
      </c>
      <c r="J658" s="31" t="s">
        <v>5793</v>
      </c>
      <c r="K658" s="29" t="s">
        <v>5784</v>
      </c>
      <c r="L658" s="29" t="s">
        <v>5794</v>
      </c>
      <c r="M658" s="32" t="s">
        <v>5795</v>
      </c>
    </row>
    <row r="659" spans="1:13" ht="15.75" thickBot="1" x14ac:dyDescent="0.3">
      <c r="A659" s="33">
        <v>46002.733263888891</v>
      </c>
      <c r="B659" s="34" t="s">
        <v>10</v>
      </c>
      <c r="C659" s="34" t="s">
        <v>671</v>
      </c>
      <c r="D659" s="34" t="s">
        <v>5121</v>
      </c>
      <c r="E659" s="34" t="s">
        <v>28</v>
      </c>
      <c r="F659" s="35">
        <v>42549</v>
      </c>
      <c r="G659" s="34" t="s">
        <v>5122</v>
      </c>
      <c r="H659" s="34" t="s">
        <v>5123</v>
      </c>
      <c r="I659" s="34" t="s">
        <v>2</v>
      </c>
      <c r="J659" s="36" t="s">
        <v>5796</v>
      </c>
      <c r="K659" s="34" t="s">
        <v>5797</v>
      </c>
      <c r="L659" s="34" t="s">
        <v>5798</v>
      </c>
      <c r="M659" s="37" t="s">
        <v>5799</v>
      </c>
    </row>
    <row r="660" spans="1:13" ht="15.75" thickBot="1" x14ac:dyDescent="0.3">
      <c r="A660" s="28">
        <v>46002.734305555554</v>
      </c>
      <c r="B660" s="29" t="s">
        <v>10</v>
      </c>
      <c r="C660" s="29" t="s">
        <v>671</v>
      </c>
      <c r="D660" s="29" t="s">
        <v>5042</v>
      </c>
      <c r="E660" s="29" t="s">
        <v>28</v>
      </c>
      <c r="F660" s="30">
        <v>41784</v>
      </c>
      <c r="G660" s="29" t="s">
        <v>5043</v>
      </c>
      <c r="H660" s="29" t="s">
        <v>5044</v>
      </c>
      <c r="I660" s="29" t="s">
        <v>2</v>
      </c>
      <c r="J660" s="31" t="s">
        <v>5800</v>
      </c>
      <c r="K660" s="29" t="s">
        <v>5578</v>
      </c>
      <c r="L660" s="29" t="s">
        <v>5801</v>
      </c>
      <c r="M660" s="32" t="s">
        <v>5802</v>
      </c>
    </row>
    <row r="661" spans="1:13" ht="15.75" thickBot="1" x14ac:dyDescent="0.3">
      <c r="A661" s="33">
        <v>46002.734490740739</v>
      </c>
      <c r="B661" s="34" t="s">
        <v>10</v>
      </c>
      <c r="C661" s="34" t="s">
        <v>671</v>
      </c>
      <c r="D661" s="34" t="s">
        <v>5124</v>
      </c>
      <c r="E661" s="34" t="s">
        <v>10</v>
      </c>
      <c r="F661" s="35">
        <v>42485</v>
      </c>
      <c r="G661" s="34" t="s">
        <v>5803</v>
      </c>
      <c r="H661" s="34" t="s">
        <v>5804</v>
      </c>
      <c r="I661" s="34" t="s">
        <v>2</v>
      </c>
      <c r="J661" s="36" t="s">
        <v>5805</v>
      </c>
      <c r="K661" s="34" t="s">
        <v>5650</v>
      </c>
      <c r="L661" s="34" t="s">
        <v>5806</v>
      </c>
      <c r="M661" s="37" t="s">
        <v>5807</v>
      </c>
    </row>
    <row r="662" spans="1:13" ht="15.75" thickBot="1" x14ac:dyDescent="0.3">
      <c r="A662" s="28">
        <v>46002.734594907408</v>
      </c>
      <c r="B662" s="29" t="s">
        <v>10</v>
      </c>
      <c r="C662" s="29" t="s">
        <v>671</v>
      </c>
      <c r="D662" s="29" t="s">
        <v>5808</v>
      </c>
      <c r="E662" s="29" t="s">
        <v>10</v>
      </c>
      <c r="F662" s="30">
        <v>42149</v>
      </c>
      <c r="G662" s="29" t="s">
        <v>5809</v>
      </c>
      <c r="H662" s="29" t="s">
        <v>5750</v>
      </c>
      <c r="I662" s="29" t="s">
        <v>2</v>
      </c>
      <c r="J662" s="31" t="s">
        <v>5810</v>
      </c>
      <c r="K662" s="29" t="s">
        <v>5811</v>
      </c>
      <c r="L662" s="29" t="s">
        <v>5812</v>
      </c>
      <c r="M662" s="32" t="s">
        <v>5813</v>
      </c>
    </row>
    <row r="663" spans="1:13" ht="15.75" thickBot="1" x14ac:dyDescent="0.3">
      <c r="A663" s="33">
        <v>46002.734826388885</v>
      </c>
      <c r="B663" s="34" t="s">
        <v>10</v>
      </c>
      <c r="C663" s="34" t="s">
        <v>671</v>
      </c>
      <c r="D663" s="34" t="s">
        <v>5055</v>
      </c>
      <c r="E663" s="34" t="s">
        <v>28</v>
      </c>
      <c r="F663" s="35">
        <v>41409</v>
      </c>
      <c r="G663" s="34" t="s">
        <v>5056</v>
      </c>
      <c r="H663" s="34" t="s">
        <v>5057</v>
      </c>
      <c r="I663" s="34" t="s">
        <v>2</v>
      </c>
      <c r="J663" s="36" t="s">
        <v>5814</v>
      </c>
      <c r="K663" s="34" t="s">
        <v>5598</v>
      </c>
      <c r="L663" s="34" t="s">
        <v>5815</v>
      </c>
      <c r="M663" s="37" t="s">
        <v>5816</v>
      </c>
    </row>
    <row r="664" spans="1:13" ht="15.75" thickBot="1" x14ac:dyDescent="0.3">
      <c r="A664" s="28">
        <v>46002.737083333333</v>
      </c>
      <c r="B664" s="29" t="s">
        <v>10</v>
      </c>
      <c r="C664" s="29" t="s">
        <v>671</v>
      </c>
      <c r="D664" s="29" t="s">
        <v>5117</v>
      </c>
      <c r="E664" s="29" t="s">
        <v>10</v>
      </c>
      <c r="F664" s="30">
        <v>42144</v>
      </c>
      <c r="G664" s="29" t="s">
        <v>5118</v>
      </c>
      <c r="H664" s="29" t="s">
        <v>2186</v>
      </c>
      <c r="I664" s="29" t="s">
        <v>66</v>
      </c>
      <c r="J664" s="31" t="s">
        <v>5817</v>
      </c>
      <c r="K664" s="29" t="s">
        <v>5784</v>
      </c>
      <c r="L664" s="29" t="s">
        <v>5818</v>
      </c>
      <c r="M664" s="32" t="s">
        <v>5819</v>
      </c>
    </row>
    <row r="665" spans="1:13" ht="15.75" thickBot="1" x14ac:dyDescent="0.3">
      <c r="A665" s="33">
        <v>46002.737557870372</v>
      </c>
      <c r="B665" s="34" t="s">
        <v>10</v>
      </c>
      <c r="C665" s="34" t="s">
        <v>671</v>
      </c>
      <c r="D665" s="34" t="s">
        <v>5055</v>
      </c>
      <c r="E665" s="34" t="s">
        <v>28</v>
      </c>
      <c r="F665" s="35">
        <v>41409</v>
      </c>
      <c r="G665" s="34" t="s">
        <v>5056</v>
      </c>
      <c r="H665" s="34" t="s">
        <v>5057</v>
      </c>
      <c r="I665" s="34" t="s">
        <v>2</v>
      </c>
      <c r="J665" s="36" t="s">
        <v>5820</v>
      </c>
      <c r="K665" s="34" t="s">
        <v>5598</v>
      </c>
      <c r="L665" s="34" t="s">
        <v>5821</v>
      </c>
      <c r="M665" s="37" t="s">
        <v>5822</v>
      </c>
    </row>
    <row r="666" spans="1:13" ht="15.75" thickBot="1" x14ac:dyDescent="0.3">
      <c r="A666" s="28">
        <v>46002.738530092596</v>
      </c>
      <c r="B666" s="29" t="s">
        <v>10</v>
      </c>
      <c r="C666" s="29" t="s">
        <v>671</v>
      </c>
      <c r="D666" s="29" t="s">
        <v>5125</v>
      </c>
      <c r="E666" s="29" t="s">
        <v>10</v>
      </c>
      <c r="F666" s="30">
        <v>41977</v>
      </c>
      <c r="G666" s="29" t="s">
        <v>5823</v>
      </c>
      <c r="H666" s="29" t="s">
        <v>5126</v>
      </c>
      <c r="I666" s="29" t="s">
        <v>66</v>
      </c>
      <c r="J666" s="31" t="s">
        <v>5824</v>
      </c>
      <c r="K666" s="29" t="s">
        <v>5825</v>
      </c>
      <c r="L666" s="29" t="s">
        <v>5826</v>
      </c>
      <c r="M666" s="32" t="s">
        <v>5827</v>
      </c>
    </row>
    <row r="667" spans="1:13" ht="15.75" thickBot="1" x14ac:dyDescent="0.3">
      <c r="A667" s="33">
        <v>46002.739791666667</v>
      </c>
      <c r="B667" s="34" t="s">
        <v>10</v>
      </c>
      <c r="C667" s="34" t="s">
        <v>671</v>
      </c>
      <c r="D667" s="34" t="s">
        <v>5117</v>
      </c>
      <c r="E667" s="34" t="s">
        <v>10</v>
      </c>
      <c r="F667" s="35">
        <v>42144</v>
      </c>
      <c r="G667" s="34" t="s">
        <v>5118</v>
      </c>
      <c r="H667" s="34" t="s">
        <v>2186</v>
      </c>
      <c r="I667" s="34" t="s">
        <v>66</v>
      </c>
      <c r="J667" s="36" t="s">
        <v>5828</v>
      </c>
      <c r="K667" s="34" t="s">
        <v>5784</v>
      </c>
      <c r="L667" s="34" t="s">
        <v>5127</v>
      </c>
      <c r="M667" s="37" t="s">
        <v>5829</v>
      </c>
    </row>
    <row r="668" spans="1:13" ht="15.75" thickBot="1" x14ac:dyDescent="0.3">
      <c r="A668" s="28">
        <v>46002.740543981483</v>
      </c>
      <c r="B668" s="29" t="s">
        <v>10</v>
      </c>
      <c r="C668" s="29" t="s">
        <v>671</v>
      </c>
      <c r="D668" s="29" t="s">
        <v>5125</v>
      </c>
      <c r="E668" s="29" t="s">
        <v>10</v>
      </c>
      <c r="F668" s="30">
        <v>41977</v>
      </c>
      <c r="G668" s="29" t="s">
        <v>5129</v>
      </c>
      <c r="H668" s="29" t="s">
        <v>5126</v>
      </c>
      <c r="I668" s="29" t="s">
        <v>66</v>
      </c>
      <c r="J668" s="31" t="s">
        <v>5830</v>
      </c>
      <c r="K668" s="29" t="s">
        <v>5825</v>
      </c>
      <c r="L668" s="29" t="s">
        <v>5831</v>
      </c>
      <c r="M668" s="32" t="s">
        <v>5832</v>
      </c>
    </row>
    <row r="669" spans="1:13" ht="15.75" thickBot="1" x14ac:dyDescent="0.3">
      <c r="A669" s="33">
        <v>46002.740706018521</v>
      </c>
      <c r="B669" s="34" t="s">
        <v>10</v>
      </c>
      <c r="C669" s="34" t="s">
        <v>671</v>
      </c>
      <c r="D669" s="34" t="s">
        <v>5131</v>
      </c>
      <c r="E669" s="34" t="s">
        <v>10</v>
      </c>
      <c r="F669" s="35">
        <v>41641</v>
      </c>
      <c r="G669" s="34" t="s">
        <v>5074</v>
      </c>
      <c r="H669" s="34" t="s">
        <v>5075</v>
      </c>
      <c r="I669" s="34" t="s">
        <v>2</v>
      </c>
      <c r="J669" s="36" t="s">
        <v>5833</v>
      </c>
      <c r="K669" s="34" t="s">
        <v>5834</v>
      </c>
      <c r="L669" s="34" t="s">
        <v>5130</v>
      </c>
      <c r="M669" s="37" t="s">
        <v>5835</v>
      </c>
    </row>
    <row r="670" spans="1:13" ht="15.75" thickBot="1" x14ac:dyDescent="0.3">
      <c r="A670" s="28">
        <v>46002.742511574077</v>
      </c>
      <c r="B670" s="29" t="s">
        <v>10</v>
      </c>
      <c r="C670" s="29" t="s">
        <v>671</v>
      </c>
      <c r="D670" s="29" t="s">
        <v>5808</v>
      </c>
      <c r="E670" s="29" t="s">
        <v>10</v>
      </c>
      <c r="F670" s="30">
        <v>41784</v>
      </c>
      <c r="G670" s="29" t="s">
        <v>5809</v>
      </c>
      <c r="H670" s="29" t="s">
        <v>5750</v>
      </c>
      <c r="I670" s="29" t="s">
        <v>2</v>
      </c>
      <c r="J670" s="31" t="s">
        <v>5836</v>
      </c>
      <c r="K670" s="29" t="s">
        <v>5681</v>
      </c>
      <c r="L670" s="29" t="s">
        <v>5837</v>
      </c>
      <c r="M670" s="32" t="s">
        <v>5838</v>
      </c>
    </row>
    <row r="671" spans="1:13" ht="15.75" thickBot="1" x14ac:dyDescent="0.3">
      <c r="A671" s="33">
        <v>46002.742696759262</v>
      </c>
      <c r="B671" s="34" t="s">
        <v>10</v>
      </c>
      <c r="C671" s="34" t="s">
        <v>671</v>
      </c>
      <c r="D671" s="34" t="s">
        <v>5772</v>
      </c>
      <c r="E671" s="34" t="s">
        <v>10</v>
      </c>
      <c r="F671" s="35">
        <v>42214</v>
      </c>
      <c r="G671" s="34" t="s">
        <v>3856</v>
      </c>
      <c r="H671" s="34" t="s">
        <v>5038</v>
      </c>
      <c r="I671" s="34" t="s">
        <v>2</v>
      </c>
      <c r="J671" s="36" t="s">
        <v>5839</v>
      </c>
      <c r="K671" s="34" t="s">
        <v>5840</v>
      </c>
      <c r="L671" s="34" t="s">
        <v>5841</v>
      </c>
      <c r="M671" s="37" t="s">
        <v>5842</v>
      </c>
    </row>
    <row r="672" spans="1:13" ht="15.75" thickBot="1" x14ac:dyDescent="0.3">
      <c r="A672" s="28">
        <v>46002.743923611109</v>
      </c>
      <c r="B672" s="29" t="s">
        <v>10</v>
      </c>
      <c r="C672" s="29" t="s">
        <v>671</v>
      </c>
      <c r="D672" s="29" t="s">
        <v>5843</v>
      </c>
      <c r="E672" s="29" t="s">
        <v>10</v>
      </c>
      <c r="F672" s="30">
        <v>42485</v>
      </c>
      <c r="G672" s="29" t="s">
        <v>5803</v>
      </c>
      <c r="H672" s="29" t="s">
        <v>5804</v>
      </c>
      <c r="I672" s="29" t="s">
        <v>2</v>
      </c>
      <c r="J672" s="31" t="s">
        <v>5844</v>
      </c>
      <c r="K672" s="29" t="s">
        <v>5845</v>
      </c>
      <c r="L672" s="29" t="s">
        <v>5846</v>
      </c>
      <c r="M672" s="32" t="s">
        <v>5847</v>
      </c>
    </row>
    <row r="673" spans="1:13" ht="15.75" thickBot="1" x14ac:dyDescent="0.3">
      <c r="A673" s="33">
        <v>46002.746805555558</v>
      </c>
      <c r="B673" s="34" t="s">
        <v>10</v>
      </c>
      <c r="C673" s="34" t="s">
        <v>671</v>
      </c>
      <c r="D673" s="34" t="s">
        <v>5133</v>
      </c>
      <c r="E673" s="34" t="s">
        <v>28</v>
      </c>
      <c r="F673" s="35">
        <v>41826</v>
      </c>
      <c r="G673" s="34" t="s">
        <v>5134</v>
      </c>
      <c r="H673" s="34" t="s">
        <v>5135</v>
      </c>
      <c r="I673" s="34" t="s">
        <v>66</v>
      </c>
      <c r="J673" s="36" t="s">
        <v>5848</v>
      </c>
      <c r="K673" s="34" t="s">
        <v>5849</v>
      </c>
      <c r="L673" s="34" t="s">
        <v>5850</v>
      </c>
      <c r="M673" s="37" t="s">
        <v>5851</v>
      </c>
    </row>
    <row r="674" spans="1:13" ht="15.75" thickBot="1" x14ac:dyDescent="0.3">
      <c r="A674" s="28">
        <v>46002.747060185182</v>
      </c>
      <c r="B674" s="29" t="s">
        <v>953</v>
      </c>
      <c r="C674" s="29" t="s">
        <v>2923</v>
      </c>
      <c r="D674" s="29" t="s">
        <v>2931</v>
      </c>
      <c r="E674" s="29" t="s">
        <v>28</v>
      </c>
      <c r="F674" s="30">
        <v>42162</v>
      </c>
      <c r="G674" s="29" t="s">
        <v>2932</v>
      </c>
      <c r="H674" s="29" t="s">
        <v>2933</v>
      </c>
      <c r="I674" s="29" t="s">
        <v>2</v>
      </c>
      <c r="J674" s="31" t="s">
        <v>5852</v>
      </c>
      <c r="K674" s="29" t="s">
        <v>2928</v>
      </c>
      <c r="L674" s="29" t="s">
        <v>3035</v>
      </c>
      <c r="M674" s="32" t="s">
        <v>5853</v>
      </c>
    </row>
    <row r="675" spans="1:13" ht="15.75" thickBot="1" x14ac:dyDescent="0.3">
      <c r="A675" s="33">
        <v>46002.748495370368</v>
      </c>
      <c r="B675" s="34" t="s">
        <v>10</v>
      </c>
      <c r="C675" s="34" t="s">
        <v>671</v>
      </c>
      <c r="D675" s="34" t="s">
        <v>5113</v>
      </c>
      <c r="E675" s="34" t="s">
        <v>28</v>
      </c>
      <c r="F675" s="35">
        <v>41761</v>
      </c>
      <c r="G675" s="34" t="s">
        <v>4149</v>
      </c>
      <c r="H675" s="34" t="s">
        <v>5115</v>
      </c>
      <c r="I675" s="34" t="s">
        <v>66</v>
      </c>
      <c r="J675" s="36" t="s">
        <v>5854</v>
      </c>
      <c r="K675" s="34" t="s">
        <v>5766</v>
      </c>
      <c r="L675" s="34" t="s">
        <v>5855</v>
      </c>
      <c r="M675" s="37" t="s">
        <v>5856</v>
      </c>
    </row>
    <row r="676" spans="1:13" ht="15.75" thickBot="1" x14ac:dyDescent="0.3">
      <c r="A676" s="28">
        <v>46002.748923611114</v>
      </c>
      <c r="B676" s="29" t="s">
        <v>10</v>
      </c>
      <c r="C676" s="29" t="s">
        <v>671</v>
      </c>
      <c r="D676" s="29" t="s">
        <v>5125</v>
      </c>
      <c r="E676" s="29" t="s">
        <v>10</v>
      </c>
      <c r="F676" s="30">
        <v>41977</v>
      </c>
      <c r="G676" s="29" t="s">
        <v>5129</v>
      </c>
      <c r="H676" s="29" t="s">
        <v>5126</v>
      </c>
      <c r="I676" s="29" t="s">
        <v>66</v>
      </c>
      <c r="J676" s="31" t="s">
        <v>5857</v>
      </c>
      <c r="K676" s="29" t="s">
        <v>5825</v>
      </c>
      <c r="L676" s="29" t="s">
        <v>5858</v>
      </c>
      <c r="M676" s="32" t="s">
        <v>5859</v>
      </c>
    </row>
    <row r="677" spans="1:13" ht="15.75" thickBot="1" x14ac:dyDescent="0.3">
      <c r="A677" s="33">
        <v>46002.750821759262</v>
      </c>
      <c r="B677" s="34" t="s">
        <v>10</v>
      </c>
      <c r="C677" s="34" t="s">
        <v>671</v>
      </c>
      <c r="D677" s="34" t="s">
        <v>5125</v>
      </c>
      <c r="E677" s="34" t="s">
        <v>10</v>
      </c>
      <c r="F677" s="35">
        <v>41977</v>
      </c>
      <c r="G677" s="34" t="s">
        <v>5129</v>
      </c>
      <c r="H677" s="34" t="s">
        <v>5126</v>
      </c>
      <c r="I677" s="34" t="s">
        <v>66</v>
      </c>
      <c r="J677" s="36" t="s">
        <v>5860</v>
      </c>
      <c r="K677" s="34" t="s">
        <v>5825</v>
      </c>
      <c r="L677" s="34" t="s">
        <v>5861</v>
      </c>
      <c r="M677" s="37" t="s">
        <v>5862</v>
      </c>
    </row>
    <row r="678" spans="1:13" ht="15.75" thickBot="1" x14ac:dyDescent="0.3">
      <c r="A678" s="28">
        <v>46002.753078703703</v>
      </c>
      <c r="B678" s="29" t="s">
        <v>10</v>
      </c>
      <c r="C678" s="29" t="s">
        <v>671</v>
      </c>
      <c r="D678" s="29" t="s">
        <v>5133</v>
      </c>
      <c r="E678" s="29" t="s">
        <v>28</v>
      </c>
      <c r="F678" s="30">
        <v>41826</v>
      </c>
      <c r="G678" s="29" t="s">
        <v>5134</v>
      </c>
      <c r="H678" s="29" t="s">
        <v>5135</v>
      </c>
      <c r="I678" s="29" t="s">
        <v>66</v>
      </c>
      <c r="J678" s="31" t="s">
        <v>5863</v>
      </c>
      <c r="K678" s="29" t="s">
        <v>5849</v>
      </c>
      <c r="L678" s="129"/>
      <c r="M678" s="126"/>
    </row>
    <row r="679" spans="1:13" ht="15.75" thickBot="1" x14ac:dyDescent="0.3">
      <c r="A679" s="33">
        <v>46002.753078703703</v>
      </c>
      <c r="B679" s="34" t="s">
        <v>10</v>
      </c>
      <c r="C679" s="34" t="s">
        <v>671</v>
      </c>
      <c r="D679" s="34" t="s">
        <v>5121</v>
      </c>
      <c r="E679" s="34" t="s">
        <v>28</v>
      </c>
      <c r="F679" s="35">
        <v>42549</v>
      </c>
      <c r="G679" s="34" t="s">
        <v>5122</v>
      </c>
      <c r="H679" s="34" t="s">
        <v>5123</v>
      </c>
      <c r="I679" s="34" t="s">
        <v>2</v>
      </c>
      <c r="J679" s="36" t="s">
        <v>5864</v>
      </c>
      <c r="K679" s="34" t="s">
        <v>5797</v>
      </c>
      <c r="L679" s="34" t="s">
        <v>5865</v>
      </c>
      <c r="M679" s="37" t="s">
        <v>5866</v>
      </c>
    </row>
    <row r="680" spans="1:13" ht="15.75" thickBot="1" x14ac:dyDescent="0.3">
      <c r="A680" s="28">
        <v>46002.754236111112</v>
      </c>
      <c r="B680" s="29" t="s">
        <v>10</v>
      </c>
      <c r="C680" s="29" t="s">
        <v>671</v>
      </c>
      <c r="D680" s="29" t="s">
        <v>5033</v>
      </c>
      <c r="E680" s="29" t="s">
        <v>10</v>
      </c>
      <c r="F680" s="30">
        <v>42106</v>
      </c>
      <c r="G680" s="29" t="s">
        <v>5137</v>
      </c>
      <c r="H680" s="29" t="s">
        <v>1850</v>
      </c>
      <c r="I680" s="29" t="s">
        <v>66</v>
      </c>
      <c r="J680" s="31" t="s">
        <v>5867</v>
      </c>
      <c r="K680" s="29" t="s">
        <v>5868</v>
      </c>
      <c r="L680" s="29" t="s">
        <v>5869</v>
      </c>
      <c r="M680" s="32" t="s">
        <v>5870</v>
      </c>
    </row>
    <row r="681" spans="1:13" ht="15.75" thickBot="1" x14ac:dyDescent="0.3">
      <c r="A681" s="33">
        <v>46002.75503472222</v>
      </c>
      <c r="B681" s="34" t="s">
        <v>10</v>
      </c>
      <c r="C681" s="34" t="s">
        <v>671</v>
      </c>
      <c r="D681" s="34" t="s">
        <v>5133</v>
      </c>
      <c r="E681" s="34" t="s">
        <v>28</v>
      </c>
      <c r="F681" s="35">
        <v>41826</v>
      </c>
      <c r="G681" s="34" t="s">
        <v>5134</v>
      </c>
      <c r="H681" s="34" t="s">
        <v>5135</v>
      </c>
      <c r="I681" s="34" t="s">
        <v>66</v>
      </c>
      <c r="J681" s="36" t="s">
        <v>5871</v>
      </c>
      <c r="K681" s="34" t="s">
        <v>5849</v>
      </c>
      <c r="L681" s="34" t="s">
        <v>5872</v>
      </c>
      <c r="M681" s="37" t="s">
        <v>5873</v>
      </c>
    </row>
    <row r="682" spans="1:13" ht="15.75" thickBot="1" x14ac:dyDescent="0.3">
      <c r="A682" s="28">
        <v>46002.756631944445</v>
      </c>
      <c r="B682" s="29" t="s">
        <v>10</v>
      </c>
      <c r="C682" s="29" t="s">
        <v>671</v>
      </c>
      <c r="D682" s="29" t="s">
        <v>5125</v>
      </c>
      <c r="E682" s="29" t="s">
        <v>10</v>
      </c>
      <c r="F682" s="30">
        <v>41977</v>
      </c>
      <c r="G682" s="29" t="s">
        <v>5129</v>
      </c>
      <c r="H682" s="29" t="s">
        <v>5126</v>
      </c>
      <c r="I682" s="29" t="s">
        <v>66</v>
      </c>
      <c r="J682" s="31" t="s">
        <v>5874</v>
      </c>
      <c r="K682" s="29" t="s">
        <v>5825</v>
      </c>
      <c r="L682" s="29" t="s">
        <v>5138</v>
      </c>
      <c r="M682" s="32" t="s">
        <v>5875</v>
      </c>
    </row>
    <row r="683" spans="1:13" ht="15.75" thickBot="1" x14ac:dyDescent="0.3">
      <c r="A683" s="33">
        <v>46002.756041666667</v>
      </c>
      <c r="B683" s="34" t="s">
        <v>10</v>
      </c>
      <c r="C683" s="34" t="s">
        <v>671</v>
      </c>
      <c r="D683" s="34" t="s">
        <v>5042</v>
      </c>
      <c r="E683" s="34" t="s">
        <v>28</v>
      </c>
      <c r="F683" s="35">
        <v>41784</v>
      </c>
      <c r="G683" s="34" t="s">
        <v>5043</v>
      </c>
      <c r="H683" s="34" t="s">
        <v>5044</v>
      </c>
      <c r="I683" s="34" t="s">
        <v>2</v>
      </c>
      <c r="J683" s="36" t="s">
        <v>5876</v>
      </c>
      <c r="K683" s="34" t="s">
        <v>5578</v>
      </c>
      <c r="L683" s="34" t="s">
        <v>5877</v>
      </c>
      <c r="M683" s="37" t="s">
        <v>5878</v>
      </c>
    </row>
    <row r="684" spans="1:13" ht="15.75" thickBot="1" x14ac:dyDescent="0.3">
      <c r="A684" s="28">
        <v>46002.758159722223</v>
      </c>
      <c r="B684" s="29" t="s">
        <v>10</v>
      </c>
      <c r="C684" s="29" t="s">
        <v>671</v>
      </c>
      <c r="D684" s="29" t="s">
        <v>5141</v>
      </c>
      <c r="E684" s="29" t="s">
        <v>10</v>
      </c>
      <c r="F684" s="30">
        <v>41773</v>
      </c>
      <c r="G684" s="29" t="s">
        <v>5142</v>
      </c>
      <c r="H684" s="29" t="s">
        <v>5143</v>
      </c>
      <c r="I684" s="29" t="s">
        <v>66</v>
      </c>
      <c r="J684" s="31" t="s">
        <v>5879</v>
      </c>
      <c r="K684" s="29" t="s">
        <v>5880</v>
      </c>
      <c r="L684" s="29" t="s">
        <v>5140</v>
      </c>
      <c r="M684" s="32" t="s">
        <v>5881</v>
      </c>
    </row>
    <row r="685" spans="1:13" ht="15.75" thickBot="1" x14ac:dyDescent="0.3">
      <c r="A685" s="33">
        <v>46002.759108796294</v>
      </c>
      <c r="B685" s="34" t="s">
        <v>10</v>
      </c>
      <c r="C685" s="34" t="s">
        <v>671</v>
      </c>
      <c r="D685" s="34" t="s">
        <v>5121</v>
      </c>
      <c r="E685" s="34" t="s">
        <v>28</v>
      </c>
      <c r="F685" s="35">
        <v>42549</v>
      </c>
      <c r="G685" s="34" t="s">
        <v>5122</v>
      </c>
      <c r="H685" s="34" t="s">
        <v>5123</v>
      </c>
      <c r="I685" s="34" t="s">
        <v>2</v>
      </c>
      <c r="J685" s="36" t="s">
        <v>5882</v>
      </c>
      <c r="K685" s="34" t="s">
        <v>5797</v>
      </c>
      <c r="L685" s="34" t="s">
        <v>5145</v>
      </c>
      <c r="M685" s="37" t="s">
        <v>5883</v>
      </c>
    </row>
    <row r="686" spans="1:13" ht="15.75" thickBot="1" x14ac:dyDescent="0.3">
      <c r="A686" s="28">
        <v>46002.76021990741</v>
      </c>
      <c r="B686" s="29" t="s">
        <v>10</v>
      </c>
      <c r="C686" s="29" t="s">
        <v>671</v>
      </c>
      <c r="D686" s="29" t="s">
        <v>5133</v>
      </c>
      <c r="E686" s="29" t="s">
        <v>28</v>
      </c>
      <c r="F686" s="30">
        <v>41797</v>
      </c>
      <c r="G686" s="29" t="s">
        <v>5134</v>
      </c>
      <c r="H686" s="29" t="s">
        <v>5135</v>
      </c>
      <c r="I686" s="29" t="s">
        <v>66</v>
      </c>
      <c r="J686" s="31" t="s">
        <v>5884</v>
      </c>
      <c r="K686" s="29" t="s">
        <v>5885</v>
      </c>
      <c r="L686" s="29" t="s">
        <v>5147</v>
      </c>
      <c r="M686" s="32" t="s">
        <v>5886</v>
      </c>
    </row>
    <row r="687" spans="1:13" ht="15.75" thickBot="1" x14ac:dyDescent="0.3">
      <c r="A687" s="33">
        <v>46002.762233796297</v>
      </c>
      <c r="B687" s="34" t="s">
        <v>10</v>
      </c>
      <c r="C687" s="34" t="s">
        <v>671</v>
      </c>
      <c r="D687" s="34" t="s">
        <v>5042</v>
      </c>
      <c r="E687" s="34" t="s">
        <v>28</v>
      </c>
      <c r="F687" s="35">
        <v>41784</v>
      </c>
      <c r="G687" s="34" t="s">
        <v>5043</v>
      </c>
      <c r="H687" s="34" t="s">
        <v>5044</v>
      </c>
      <c r="I687" s="34" t="s">
        <v>2</v>
      </c>
      <c r="J687" s="36" t="s">
        <v>5887</v>
      </c>
      <c r="K687" s="34" t="s">
        <v>5578</v>
      </c>
      <c r="L687" s="34" t="s">
        <v>5888</v>
      </c>
      <c r="M687" s="37" t="s">
        <v>5889</v>
      </c>
    </row>
    <row r="688" spans="1:13" ht="15.75" thickBot="1" x14ac:dyDescent="0.3">
      <c r="A688" s="28">
        <v>46002.765046296299</v>
      </c>
      <c r="B688" s="29" t="s">
        <v>10</v>
      </c>
      <c r="C688" s="29" t="s">
        <v>671</v>
      </c>
      <c r="D688" s="29" t="s">
        <v>5033</v>
      </c>
      <c r="E688" s="29" t="s">
        <v>28</v>
      </c>
      <c r="F688" s="30">
        <v>42106</v>
      </c>
      <c r="G688" s="29" t="s">
        <v>5034</v>
      </c>
      <c r="H688" s="29" t="s">
        <v>1850</v>
      </c>
      <c r="I688" s="29" t="s">
        <v>66</v>
      </c>
      <c r="J688" s="31" t="s">
        <v>5890</v>
      </c>
      <c r="K688" s="29" t="s">
        <v>5562</v>
      </c>
      <c r="L688" s="29" t="s">
        <v>5891</v>
      </c>
      <c r="M688" s="32" t="s">
        <v>5892</v>
      </c>
    </row>
    <row r="689" spans="1:13" ht="15.75" thickBot="1" x14ac:dyDescent="0.3">
      <c r="A689" s="33">
        <v>46002.765613425923</v>
      </c>
      <c r="B689" s="34" t="s">
        <v>10</v>
      </c>
      <c r="C689" s="34" t="s">
        <v>671</v>
      </c>
      <c r="D689" s="34" t="s">
        <v>5086</v>
      </c>
      <c r="E689" s="34" t="s">
        <v>10</v>
      </c>
      <c r="F689" s="35">
        <v>41630</v>
      </c>
      <c r="G689" s="34" t="s">
        <v>5087</v>
      </c>
      <c r="H689" s="34" t="s">
        <v>5088</v>
      </c>
      <c r="I689" s="34" t="s">
        <v>2</v>
      </c>
      <c r="J689" s="36" t="s">
        <v>5893</v>
      </c>
      <c r="K689" s="34" t="s">
        <v>5684</v>
      </c>
      <c r="L689" s="34" t="s">
        <v>5894</v>
      </c>
      <c r="M689" s="37" t="s">
        <v>5895</v>
      </c>
    </row>
    <row r="690" spans="1:13" ht="15.75" thickBot="1" x14ac:dyDescent="0.3">
      <c r="A690" s="28">
        <v>46002.766261574077</v>
      </c>
      <c r="B690" s="29" t="s">
        <v>10</v>
      </c>
      <c r="C690" s="29" t="s">
        <v>671</v>
      </c>
      <c r="D690" s="29" t="s">
        <v>5042</v>
      </c>
      <c r="E690" s="29" t="s">
        <v>28</v>
      </c>
      <c r="F690" s="30">
        <v>41784</v>
      </c>
      <c r="G690" s="29" t="s">
        <v>5043</v>
      </c>
      <c r="H690" s="29" t="s">
        <v>5044</v>
      </c>
      <c r="I690" s="29" t="s">
        <v>2</v>
      </c>
      <c r="J690" s="31" t="s">
        <v>5896</v>
      </c>
      <c r="K690" s="29" t="s">
        <v>5578</v>
      </c>
      <c r="L690" s="29" t="s">
        <v>5149</v>
      </c>
      <c r="M690" s="32" t="s">
        <v>5897</v>
      </c>
    </row>
    <row r="691" spans="1:13" ht="15.75" thickBot="1" x14ac:dyDescent="0.3">
      <c r="A691" s="33">
        <v>46002.767754629633</v>
      </c>
      <c r="B691" s="34" t="s">
        <v>10</v>
      </c>
      <c r="C691" s="34" t="s">
        <v>671</v>
      </c>
      <c r="D691" s="34" t="s">
        <v>5898</v>
      </c>
      <c r="E691" s="34" t="s">
        <v>10</v>
      </c>
      <c r="F691" s="35">
        <v>41198</v>
      </c>
      <c r="G691" s="34" t="s">
        <v>5151</v>
      </c>
      <c r="H691" s="34" t="s">
        <v>5152</v>
      </c>
      <c r="I691" s="34" t="s">
        <v>66</v>
      </c>
      <c r="J691" s="36" t="s">
        <v>5899</v>
      </c>
      <c r="K691" s="34" t="s">
        <v>5900</v>
      </c>
      <c r="L691" s="128"/>
      <c r="M691" s="38"/>
    </row>
    <row r="692" spans="1:13" ht="15.75" thickBot="1" x14ac:dyDescent="0.3">
      <c r="A692" s="28">
        <v>46002.767766203702</v>
      </c>
      <c r="B692" s="29" t="s">
        <v>10</v>
      </c>
      <c r="C692" s="29" t="s">
        <v>671</v>
      </c>
      <c r="D692" s="29" t="s">
        <v>5125</v>
      </c>
      <c r="E692" s="29" t="s">
        <v>10</v>
      </c>
      <c r="F692" s="30">
        <v>41977</v>
      </c>
      <c r="G692" s="29" t="s">
        <v>5129</v>
      </c>
      <c r="H692" s="29" t="s">
        <v>5126</v>
      </c>
      <c r="I692" s="29" t="s">
        <v>66</v>
      </c>
      <c r="J692" s="31" t="s">
        <v>5901</v>
      </c>
      <c r="K692" s="29" t="s">
        <v>5825</v>
      </c>
      <c r="L692" s="29" t="s">
        <v>5902</v>
      </c>
      <c r="M692" s="32" t="s">
        <v>5903</v>
      </c>
    </row>
    <row r="693" spans="1:13" ht="15.75" thickBot="1" x14ac:dyDescent="0.3">
      <c r="A693" s="33">
        <v>46002.769594907404</v>
      </c>
      <c r="B693" s="34" t="s">
        <v>10</v>
      </c>
      <c r="C693" s="34" t="s">
        <v>671</v>
      </c>
      <c r="D693" s="34" t="s">
        <v>5898</v>
      </c>
      <c r="E693" s="34" t="s">
        <v>10</v>
      </c>
      <c r="F693" s="35">
        <v>41198</v>
      </c>
      <c r="G693" s="34" t="s">
        <v>5151</v>
      </c>
      <c r="H693" s="34" t="s">
        <v>5152</v>
      </c>
      <c r="I693" s="34" t="s">
        <v>66</v>
      </c>
      <c r="J693" s="36" t="s">
        <v>5904</v>
      </c>
      <c r="K693" s="34" t="s">
        <v>5900</v>
      </c>
      <c r="L693" s="34" t="s">
        <v>5905</v>
      </c>
      <c r="M693" s="37" t="s">
        <v>5906</v>
      </c>
    </row>
    <row r="694" spans="1:13" ht="15.75" thickBot="1" x14ac:dyDescent="0.3">
      <c r="A694" s="28">
        <v>46002.771261574075</v>
      </c>
      <c r="B694" s="29" t="s">
        <v>10</v>
      </c>
      <c r="C694" s="29" t="s">
        <v>671</v>
      </c>
      <c r="D694" s="29" t="s">
        <v>5125</v>
      </c>
      <c r="E694" s="29" t="s">
        <v>10</v>
      </c>
      <c r="F694" s="30">
        <v>41977</v>
      </c>
      <c r="G694" s="29" t="s">
        <v>5129</v>
      </c>
      <c r="H694" s="29" t="s">
        <v>5126</v>
      </c>
      <c r="I694" s="29" t="s">
        <v>66</v>
      </c>
      <c r="J694" s="31" t="s">
        <v>5907</v>
      </c>
      <c r="K694" s="29" t="s">
        <v>5825</v>
      </c>
      <c r="L694" s="29" t="s">
        <v>5908</v>
      </c>
      <c r="M694" s="32" t="s">
        <v>5909</v>
      </c>
    </row>
    <row r="695" spans="1:13" ht="15.75" thickBot="1" x14ac:dyDescent="0.3">
      <c r="A695" s="33">
        <v>46002.773773148147</v>
      </c>
      <c r="B695" s="34" t="s">
        <v>10</v>
      </c>
      <c r="C695" s="34" t="s">
        <v>671</v>
      </c>
      <c r="D695" s="34" t="s">
        <v>5033</v>
      </c>
      <c r="E695" s="34" t="s">
        <v>28</v>
      </c>
      <c r="F695" s="35">
        <v>42106</v>
      </c>
      <c r="G695" s="34" t="s">
        <v>5137</v>
      </c>
      <c r="H695" s="34" t="s">
        <v>1850</v>
      </c>
      <c r="I695" s="34" t="s">
        <v>66</v>
      </c>
      <c r="J695" s="36" t="s">
        <v>5910</v>
      </c>
      <c r="K695" s="34" t="s">
        <v>5868</v>
      </c>
      <c r="L695" s="34" t="s">
        <v>5911</v>
      </c>
      <c r="M695" s="37" t="s">
        <v>5912</v>
      </c>
    </row>
    <row r="696" spans="1:13" ht="15.75" thickBot="1" x14ac:dyDescent="0.3">
      <c r="A696" s="28">
        <v>46002.774687500001</v>
      </c>
      <c r="B696" s="29" t="s">
        <v>10</v>
      </c>
      <c r="C696" s="29" t="s">
        <v>671</v>
      </c>
      <c r="D696" s="29" t="s">
        <v>5154</v>
      </c>
      <c r="E696" s="29" t="s">
        <v>10</v>
      </c>
      <c r="F696" s="30">
        <v>41198</v>
      </c>
      <c r="G696" s="29" t="s">
        <v>5151</v>
      </c>
      <c r="H696" s="29" t="s">
        <v>5152</v>
      </c>
      <c r="I696" s="29" t="s">
        <v>66</v>
      </c>
      <c r="J696" s="31" t="s">
        <v>5913</v>
      </c>
      <c r="K696" s="29" t="s">
        <v>5900</v>
      </c>
      <c r="L696" s="29" t="s">
        <v>5153</v>
      </c>
      <c r="M696" s="32" t="s">
        <v>5914</v>
      </c>
    </row>
    <row r="697" spans="1:13" ht="15.75" thickBot="1" x14ac:dyDescent="0.3">
      <c r="A697" s="33">
        <v>46002.777233796296</v>
      </c>
      <c r="B697" s="34" t="s">
        <v>10</v>
      </c>
      <c r="C697" s="34" t="s">
        <v>671</v>
      </c>
      <c r="D697" s="34" t="s">
        <v>5125</v>
      </c>
      <c r="E697" s="34" t="s">
        <v>10</v>
      </c>
      <c r="F697" s="35">
        <v>41977</v>
      </c>
      <c r="G697" s="34" t="s">
        <v>5129</v>
      </c>
      <c r="H697" s="34" t="s">
        <v>5126</v>
      </c>
      <c r="I697" s="34" t="s">
        <v>66</v>
      </c>
      <c r="J697" s="36" t="s">
        <v>5915</v>
      </c>
      <c r="K697" s="34" t="s">
        <v>5825</v>
      </c>
      <c r="L697" s="34" t="s">
        <v>5916</v>
      </c>
      <c r="M697" s="37" t="s">
        <v>5917</v>
      </c>
    </row>
    <row r="698" spans="1:13" ht="15.75" thickBot="1" x14ac:dyDescent="0.3">
      <c r="A698" s="28">
        <v>46002.782453703701</v>
      </c>
      <c r="B698" s="29" t="s">
        <v>953</v>
      </c>
      <c r="C698" s="29" t="s">
        <v>725</v>
      </c>
      <c r="D698" s="29" t="s">
        <v>5156</v>
      </c>
      <c r="E698" s="29" t="s">
        <v>28</v>
      </c>
      <c r="F698" s="30">
        <v>42125</v>
      </c>
      <c r="G698" s="29" t="s">
        <v>5157</v>
      </c>
      <c r="H698" s="29" t="s">
        <v>5158</v>
      </c>
      <c r="I698" s="29" t="s">
        <v>2</v>
      </c>
      <c r="J698" s="31" t="s">
        <v>5918</v>
      </c>
      <c r="K698" s="29" t="s">
        <v>5919</v>
      </c>
      <c r="L698" s="29" t="s">
        <v>3036</v>
      </c>
      <c r="M698" s="32" t="s">
        <v>5920</v>
      </c>
    </row>
    <row r="699" spans="1:13" ht="15.75" thickBot="1" x14ac:dyDescent="0.3">
      <c r="A699" s="33">
        <v>46002.793368055558</v>
      </c>
      <c r="B699" s="34" t="s">
        <v>10</v>
      </c>
      <c r="C699" s="34" t="s">
        <v>671</v>
      </c>
      <c r="D699" s="34" t="s">
        <v>5160</v>
      </c>
      <c r="E699" s="34" t="s">
        <v>5921</v>
      </c>
      <c r="F699" s="35">
        <v>41188</v>
      </c>
      <c r="G699" s="34" t="s">
        <v>5161</v>
      </c>
      <c r="H699" s="34" t="s">
        <v>5162</v>
      </c>
      <c r="I699" s="34" t="s">
        <v>66</v>
      </c>
      <c r="J699" s="36" t="s">
        <v>5922</v>
      </c>
      <c r="K699" s="34" t="s">
        <v>5923</v>
      </c>
      <c r="L699" s="34" t="s">
        <v>5924</v>
      </c>
      <c r="M699" s="37" t="s">
        <v>5925</v>
      </c>
    </row>
    <row r="700" spans="1:13" ht="15.75" thickBot="1" x14ac:dyDescent="0.3">
      <c r="A700" s="28">
        <v>46002.793263888889</v>
      </c>
      <c r="B700" s="29" t="s">
        <v>10</v>
      </c>
      <c r="C700" s="29" t="s">
        <v>671</v>
      </c>
      <c r="D700" s="29" t="s">
        <v>5073</v>
      </c>
      <c r="E700" s="29" t="s">
        <v>10</v>
      </c>
      <c r="F700" s="30">
        <v>41641</v>
      </c>
      <c r="G700" s="29" t="s">
        <v>5926</v>
      </c>
      <c r="H700" s="29" t="s">
        <v>5075</v>
      </c>
      <c r="I700" s="29" t="s">
        <v>2</v>
      </c>
      <c r="J700" s="31" t="s">
        <v>5927</v>
      </c>
      <c r="K700" s="29" t="s">
        <v>5641</v>
      </c>
      <c r="L700" s="29" t="s">
        <v>5928</v>
      </c>
      <c r="M700" s="32" t="s">
        <v>5929</v>
      </c>
    </row>
    <row r="701" spans="1:13" ht="15.75" thickBot="1" x14ac:dyDescent="0.3">
      <c r="A701" s="33">
        <v>46002.7965625</v>
      </c>
      <c r="B701" s="34" t="s">
        <v>10</v>
      </c>
      <c r="C701" s="34" t="s">
        <v>671</v>
      </c>
      <c r="D701" s="34" t="s">
        <v>5930</v>
      </c>
      <c r="E701" s="34" t="s">
        <v>10</v>
      </c>
      <c r="F701" s="35">
        <v>41641</v>
      </c>
      <c r="G701" s="34" t="s">
        <v>5926</v>
      </c>
      <c r="H701" s="34" t="s">
        <v>5075</v>
      </c>
      <c r="I701" s="34" t="s">
        <v>2</v>
      </c>
      <c r="J701" s="36" t="s">
        <v>5931</v>
      </c>
      <c r="K701" s="34" t="s">
        <v>5641</v>
      </c>
      <c r="L701" s="34" t="s">
        <v>5932</v>
      </c>
      <c r="M701" s="37" t="s">
        <v>5933</v>
      </c>
    </row>
    <row r="702" spans="1:13" ht="15.75" thickBot="1" x14ac:dyDescent="0.3">
      <c r="A702" s="28">
        <v>46002.798703703702</v>
      </c>
      <c r="B702" s="29" t="s">
        <v>10</v>
      </c>
      <c r="C702" s="29" t="s">
        <v>671</v>
      </c>
      <c r="D702" s="29" t="s">
        <v>5066</v>
      </c>
      <c r="E702" s="29" t="s">
        <v>10</v>
      </c>
      <c r="F702" s="30">
        <v>42057</v>
      </c>
      <c r="G702" s="29" t="s">
        <v>5080</v>
      </c>
      <c r="H702" s="29" t="s">
        <v>5067</v>
      </c>
      <c r="I702" s="29" t="s">
        <v>2</v>
      </c>
      <c r="J702" s="31" t="s">
        <v>5934</v>
      </c>
      <c r="K702" s="29" t="s">
        <v>5617</v>
      </c>
      <c r="L702" s="29" t="s">
        <v>5163</v>
      </c>
      <c r="M702" s="32" t="s">
        <v>5935</v>
      </c>
    </row>
    <row r="703" spans="1:13" ht="15.75" thickBot="1" x14ac:dyDescent="0.3">
      <c r="A703" s="33">
        <v>46002.803472222222</v>
      </c>
      <c r="B703" s="34" t="s">
        <v>10</v>
      </c>
      <c r="C703" s="34" t="s">
        <v>671</v>
      </c>
      <c r="D703" s="34" t="s">
        <v>5055</v>
      </c>
      <c r="E703" s="34" t="s">
        <v>28</v>
      </c>
      <c r="F703" s="35">
        <v>41409</v>
      </c>
      <c r="G703" s="34" t="s">
        <v>5056</v>
      </c>
      <c r="H703" s="34" t="s">
        <v>5057</v>
      </c>
      <c r="I703" s="34" t="s">
        <v>2</v>
      </c>
      <c r="J703" s="36" t="s">
        <v>5936</v>
      </c>
      <c r="K703" s="34" t="s">
        <v>5598</v>
      </c>
      <c r="L703" s="34" t="s">
        <v>5937</v>
      </c>
      <c r="M703" s="37" t="s">
        <v>5938</v>
      </c>
    </row>
    <row r="704" spans="1:13" ht="15.75" thickBot="1" x14ac:dyDescent="0.3">
      <c r="A704" s="28">
        <v>46002.807789351849</v>
      </c>
      <c r="B704" s="29" t="s">
        <v>10</v>
      </c>
      <c r="C704" s="29" t="s">
        <v>671</v>
      </c>
      <c r="D704" s="29" t="s">
        <v>5055</v>
      </c>
      <c r="E704" s="29" t="s">
        <v>28</v>
      </c>
      <c r="F704" s="30">
        <v>46002</v>
      </c>
      <c r="G704" s="29" t="s">
        <v>5056</v>
      </c>
      <c r="H704" s="29" t="s">
        <v>5057</v>
      </c>
      <c r="I704" s="29" t="s">
        <v>2</v>
      </c>
      <c r="J704" s="31" t="s">
        <v>5939</v>
      </c>
      <c r="K704" s="29" t="s">
        <v>5598</v>
      </c>
      <c r="L704" s="29" t="s">
        <v>5940</v>
      </c>
      <c r="M704" s="32" t="s">
        <v>5941</v>
      </c>
    </row>
    <row r="705" spans="1:13" ht="15.75" thickBot="1" x14ac:dyDescent="0.3">
      <c r="A705" s="33">
        <v>46002.807905092595</v>
      </c>
      <c r="B705" s="34" t="s">
        <v>10</v>
      </c>
      <c r="C705" s="34" t="s">
        <v>490</v>
      </c>
      <c r="D705" s="34" t="s">
        <v>3323</v>
      </c>
      <c r="E705" s="34" t="s">
        <v>28</v>
      </c>
      <c r="F705" s="35">
        <v>42868</v>
      </c>
      <c r="G705" s="34" t="s">
        <v>5166</v>
      </c>
      <c r="H705" s="34" t="s">
        <v>5167</v>
      </c>
      <c r="I705" s="34" t="s">
        <v>2</v>
      </c>
      <c r="J705" s="36" t="s">
        <v>5942</v>
      </c>
      <c r="K705" s="34" t="s">
        <v>5548</v>
      </c>
      <c r="L705" s="34" t="s">
        <v>5165</v>
      </c>
      <c r="M705" s="37" t="s">
        <v>5943</v>
      </c>
    </row>
    <row r="706" spans="1:13" ht="15.75" thickBot="1" x14ac:dyDescent="0.3">
      <c r="A706" s="28">
        <v>46002.808483796296</v>
      </c>
      <c r="B706" s="29" t="s">
        <v>10</v>
      </c>
      <c r="C706" s="29" t="s">
        <v>671</v>
      </c>
      <c r="D706" s="29" t="s">
        <v>5042</v>
      </c>
      <c r="E706" s="29" t="s">
        <v>28</v>
      </c>
      <c r="F706" s="30">
        <v>41784</v>
      </c>
      <c r="G706" s="29" t="s">
        <v>5043</v>
      </c>
      <c r="H706" s="29" t="s">
        <v>5044</v>
      </c>
      <c r="I706" s="29" t="s">
        <v>2</v>
      </c>
      <c r="J706" s="31" t="s">
        <v>5944</v>
      </c>
      <c r="K706" s="29" t="s">
        <v>5578</v>
      </c>
      <c r="L706" s="29" t="s">
        <v>5945</v>
      </c>
      <c r="M706" s="32" t="s">
        <v>5946</v>
      </c>
    </row>
    <row r="707" spans="1:13" ht="15.75" thickBot="1" x14ac:dyDescent="0.3">
      <c r="A707" s="33">
        <v>46002.811238425929</v>
      </c>
      <c r="B707" s="34" t="s">
        <v>10</v>
      </c>
      <c r="C707" s="34" t="s">
        <v>671</v>
      </c>
      <c r="D707" s="34" t="s">
        <v>5091</v>
      </c>
      <c r="E707" s="34" t="s">
        <v>10</v>
      </c>
      <c r="F707" s="35">
        <v>42538</v>
      </c>
      <c r="G707" s="34" t="s">
        <v>5092</v>
      </c>
      <c r="H707" s="34" t="s">
        <v>5093</v>
      </c>
      <c r="I707" s="34" t="s">
        <v>66</v>
      </c>
      <c r="J707" s="36" t="s">
        <v>5947</v>
      </c>
      <c r="K707" s="34" t="s">
        <v>5948</v>
      </c>
      <c r="L707" s="34" t="s">
        <v>5169</v>
      </c>
      <c r="M707" s="37" t="s">
        <v>5949</v>
      </c>
    </row>
    <row r="708" spans="1:13" ht="15.75" thickBot="1" x14ac:dyDescent="0.3">
      <c r="A708" s="28">
        <v>46002.812361111108</v>
      </c>
      <c r="B708" s="29" t="s">
        <v>10</v>
      </c>
      <c r="C708" s="29" t="s">
        <v>671</v>
      </c>
      <c r="D708" s="29" t="s">
        <v>5099</v>
      </c>
      <c r="E708" s="29" t="s">
        <v>28</v>
      </c>
      <c r="F708" s="30">
        <v>41473</v>
      </c>
      <c r="G708" s="29" t="s">
        <v>5100</v>
      </c>
      <c r="H708" s="29" t="s">
        <v>5101</v>
      </c>
      <c r="I708" s="29" t="s">
        <v>2</v>
      </c>
      <c r="J708" s="31" t="s">
        <v>5950</v>
      </c>
      <c r="K708" s="29" t="s">
        <v>5723</v>
      </c>
      <c r="L708" s="29" t="s">
        <v>5171</v>
      </c>
      <c r="M708" s="32" t="s">
        <v>5951</v>
      </c>
    </row>
    <row r="709" spans="1:13" ht="15.75" thickBot="1" x14ac:dyDescent="0.3">
      <c r="A709" s="33">
        <v>46002.815428240741</v>
      </c>
      <c r="B709" s="34" t="s">
        <v>10</v>
      </c>
      <c r="C709" s="34" t="s">
        <v>854</v>
      </c>
      <c r="D709" s="34" t="s">
        <v>814</v>
      </c>
      <c r="E709" s="34" t="s">
        <v>5174</v>
      </c>
      <c r="F709" s="35">
        <v>42005</v>
      </c>
      <c r="G709" s="34" t="s">
        <v>816</v>
      </c>
      <c r="H709" s="34" t="s">
        <v>817</v>
      </c>
      <c r="I709" s="34" t="s">
        <v>2</v>
      </c>
      <c r="J709" s="36" t="s">
        <v>5952</v>
      </c>
      <c r="K709" s="34" t="s">
        <v>1867</v>
      </c>
      <c r="L709" s="34" t="s">
        <v>5173</v>
      </c>
      <c r="M709" s="37" t="s">
        <v>5953</v>
      </c>
    </row>
    <row r="710" spans="1:13" ht="15.75" thickBot="1" x14ac:dyDescent="0.3">
      <c r="A710" s="28">
        <v>46002.815868055557</v>
      </c>
      <c r="B710" s="29" t="s">
        <v>10</v>
      </c>
      <c r="C710" s="29" t="s">
        <v>671</v>
      </c>
      <c r="D710" s="29" t="s">
        <v>5091</v>
      </c>
      <c r="E710" s="29" t="s">
        <v>10</v>
      </c>
      <c r="F710" s="30">
        <v>42538</v>
      </c>
      <c r="G710" s="29" t="s">
        <v>5555</v>
      </c>
      <c r="H710" s="29" t="s">
        <v>5573</v>
      </c>
      <c r="I710" s="29" t="s">
        <v>66</v>
      </c>
      <c r="J710" s="31" t="s">
        <v>5954</v>
      </c>
      <c r="K710" s="29" t="s">
        <v>5948</v>
      </c>
      <c r="L710" s="29" t="s">
        <v>5955</v>
      </c>
      <c r="M710" s="32" t="s">
        <v>5956</v>
      </c>
    </row>
    <row r="711" spans="1:13" ht="15.75" thickBot="1" x14ac:dyDescent="0.3">
      <c r="A711" s="33">
        <v>46002.816527777781</v>
      </c>
      <c r="B711" s="34" t="s">
        <v>10</v>
      </c>
      <c r="C711" s="34" t="s">
        <v>671</v>
      </c>
      <c r="D711" s="34" t="s">
        <v>5957</v>
      </c>
      <c r="E711" s="34" t="s">
        <v>402</v>
      </c>
      <c r="F711" s="35">
        <v>41409</v>
      </c>
      <c r="G711" s="34" t="s">
        <v>5958</v>
      </c>
      <c r="H711" s="34" t="s">
        <v>5959</v>
      </c>
      <c r="I711" s="34" t="s">
        <v>2</v>
      </c>
      <c r="J711" s="36" t="s">
        <v>5960</v>
      </c>
      <c r="K711" s="34" t="s">
        <v>5961</v>
      </c>
      <c r="L711" s="34" t="s">
        <v>5962</v>
      </c>
      <c r="M711" s="37" t="s">
        <v>5963</v>
      </c>
    </row>
    <row r="712" spans="1:13" ht="15.75" thickBot="1" x14ac:dyDescent="0.3">
      <c r="A712" s="28">
        <v>46002.821296296293</v>
      </c>
      <c r="B712" s="29" t="s">
        <v>10</v>
      </c>
      <c r="C712" s="29" t="s">
        <v>671</v>
      </c>
      <c r="D712" s="29" t="s">
        <v>5124</v>
      </c>
      <c r="E712" s="29" t="s">
        <v>10</v>
      </c>
      <c r="F712" s="30">
        <v>42485</v>
      </c>
      <c r="G712" s="29" t="s">
        <v>5177</v>
      </c>
      <c r="H712" s="29" t="s">
        <v>5178</v>
      </c>
      <c r="I712" s="29" t="s">
        <v>2</v>
      </c>
      <c r="J712" s="31" t="s">
        <v>5964</v>
      </c>
      <c r="K712" s="29" t="s">
        <v>5650</v>
      </c>
      <c r="L712" s="29" t="s">
        <v>5176</v>
      </c>
      <c r="M712" s="32" t="s">
        <v>5965</v>
      </c>
    </row>
    <row r="713" spans="1:13" ht="15.75" thickBot="1" x14ac:dyDescent="0.3">
      <c r="A713" s="33">
        <v>46002.825277777774</v>
      </c>
      <c r="B713" s="34" t="s">
        <v>10</v>
      </c>
      <c r="C713" s="34" t="s">
        <v>5185</v>
      </c>
      <c r="D713" s="34" t="s">
        <v>5181</v>
      </c>
      <c r="E713" s="34" t="s">
        <v>59</v>
      </c>
      <c r="F713" s="35">
        <v>42203</v>
      </c>
      <c r="G713" s="34" t="s">
        <v>5182</v>
      </c>
      <c r="H713" s="34" t="s">
        <v>5183</v>
      </c>
      <c r="I713" s="34" t="s">
        <v>2</v>
      </c>
      <c r="J713" s="36" t="s">
        <v>5966</v>
      </c>
      <c r="K713" s="34" t="s">
        <v>5967</v>
      </c>
      <c r="L713" s="34" t="s">
        <v>5180</v>
      </c>
      <c r="M713" s="37" t="s">
        <v>5968</v>
      </c>
    </row>
    <row r="714" spans="1:13" ht="15.75" thickBot="1" x14ac:dyDescent="0.3">
      <c r="A714" s="28">
        <v>46002.83084490741</v>
      </c>
      <c r="B714" s="29" t="s">
        <v>10</v>
      </c>
      <c r="C714" s="29" t="s">
        <v>5185</v>
      </c>
      <c r="D714" s="29" t="s">
        <v>5181</v>
      </c>
      <c r="E714" s="29" t="s">
        <v>59</v>
      </c>
      <c r="F714" s="30">
        <v>42203</v>
      </c>
      <c r="G714" s="29" t="s">
        <v>5182</v>
      </c>
      <c r="H714" s="29" t="s">
        <v>5183</v>
      </c>
      <c r="I714" s="29" t="s">
        <v>2</v>
      </c>
      <c r="J714" s="31" t="s">
        <v>5969</v>
      </c>
      <c r="K714" s="29" t="s">
        <v>5967</v>
      </c>
      <c r="L714" s="29" t="s">
        <v>5970</v>
      </c>
      <c r="M714" s="32" t="s">
        <v>5971</v>
      </c>
    </row>
    <row r="715" spans="1:13" ht="15.75" thickBot="1" x14ac:dyDescent="0.3">
      <c r="A715" s="33">
        <v>46002.838321759256</v>
      </c>
      <c r="B715" s="34" t="s">
        <v>10</v>
      </c>
      <c r="C715" s="34" t="s">
        <v>671</v>
      </c>
      <c r="D715" s="34" t="s">
        <v>5033</v>
      </c>
      <c r="E715" s="34" t="s">
        <v>28</v>
      </c>
      <c r="F715" s="35">
        <v>42106</v>
      </c>
      <c r="G715" s="34" t="s">
        <v>5137</v>
      </c>
      <c r="H715" s="34" t="s">
        <v>1850</v>
      </c>
      <c r="I715" s="34" t="s">
        <v>66</v>
      </c>
      <c r="J715" s="36" t="s">
        <v>5972</v>
      </c>
      <c r="K715" s="34" t="s">
        <v>5868</v>
      </c>
      <c r="L715" s="34" t="s">
        <v>5973</v>
      </c>
      <c r="M715" s="37" t="s">
        <v>5974</v>
      </c>
    </row>
    <row r="716" spans="1:13" ht="15.75" thickBot="1" x14ac:dyDescent="0.3">
      <c r="A716" s="28">
        <v>46002.841516203705</v>
      </c>
      <c r="B716" s="29" t="s">
        <v>10</v>
      </c>
      <c r="C716" s="29" t="s">
        <v>671</v>
      </c>
      <c r="D716" s="29" t="s">
        <v>5121</v>
      </c>
      <c r="E716" s="29" t="s">
        <v>10</v>
      </c>
      <c r="F716" s="30">
        <v>42549</v>
      </c>
      <c r="G716" s="29" t="s">
        <v>5975</v>
      </c>
      <c r="H716" s="29" t="s">
        <v>5976</v>
      </c>
      <c r="I716" s="29" t="s">
        <v>2</v>
      </c>
      <c r="J716" s="31" t="s">
        <v>5977</v>
      </c>
      <c r="K716" s="29" t="s">
        <v>5978</v>
      </c>
      <c r="L716" s="29" t="s">
        <v>5979</v>
      </c>
      <c r="M716" s="32" t="s">
        <v>5980</v>
      </c>
    </row>
    <row r="717" spans="1:13" ht="15.75" thickBot="1" x14ac:dyDescent="0.3">
      <c r="A717" s="33">
        <v>46002.847187500003</v>
      </c>
      <c r="B717" s="34" t="s">
        <v>10</v>
      </c>
      <c r="C717" s="34" t="s">
        <v>671</v>
      </c>
      <c r="D717" s="34" t="s">
        <v>5981</v>
      </c>
      <c r="E717" s="34" t="s">
        <v>10</v>
      </c>
      <c r="F717" s="35">
        <v>41977</v>
      </c>
      <c r="G717" s="34" t="s">
        <v>5823</v>
      </c>
      <c r="H717" s="34" t="s">
        <v>5126</v>
      </c>
      <c r="I717" s="34" t="s">
        <v>66</v>
      </c>
      <c r="J717" s="36" t="s">
        <v>5982</v>
      </c>
      <c r="K717" s="34" t="s">
        <v>5825</v>
      </c>
      <c r="L717" s="34" t="s">
        <v>5983</v>
      </c>
      <c r="M717" s="37" t="s">
        <v>5984</v>
      </c>
    </row>
    <row r="718" spans="1:13" ht="15.75" thickBot="1" x14ac:dyDescent="0.3">
      <c r="A718" s="28">
        <v>46002.845034722224</v>
      </c>
      <c r="B718" s="29" t="s">
        <v>10</v>
      </c>
      <c r="C718" s="29" t="s">
        <v>671</v>
      </c>
      <c r="D718" s="29" t="s">
        <v>5121</v>
      </c>
      <c r="E718" s="29" t="s">
        <v>10</v>
      </c>
      <c r="F718" s="30">
        <v>42549</v>
      </c>
      <c r="G718" s="29" t="s">
        <v>5975</v>
      </c>
      <c r="H718" s="29" t="s">
        <v>5976</v>
      </c>
      <c r="I718" s="29" t="s">
        <v>2</v>
      </c>
      <c r="J718" s="31" t="s">
        <v>5985</v>
      </c>
      <c r="K718" s="29" t="s">
        <v>5978</v>
      </c>
      <c r="L718" s="29" t="s">
        <v>5986</v>
      </c>
      <c r="M718" s="32" t="s">
        <v>5987</v>
      </c>
    </row>
    <row r="719" spans="1:13" ht="15.75" thickBot="1" x14ac:dyDescent="0.3">
      <c r="A719" s="33">
        <v>46002.847662037035</v>
      </c>
      <c r="B719" s="34" t="s">
        <v>10</v>
      </c>
      <c r="C719" s="34" t="s">
        <v>671</v>
      </c>
      <c r="D719" s="34" t="s">
        <v>5121</v>
      </c>
      <c r="E719" s="34" t="s">
        <v>10</v>
      </c>
      <c r="F719" s="35">
        <v>42549</v>
      </c>
      <c r="G719" s="34" t="s">
        <v>5975</v>
      </c>
      <c r="H719" s="34" t="s">
        <v>5976</v>
      </c>
      <c r="I719" s="34" t="s">
        <v>2</v>
      </c>
      <c r="J719" s="36" t="s">
        <v>5988</v>
      </c>
      <c r="K719" s="34" t="s">
        <v>5978</v>
      </c>
      <c r="L719" s="34" t="s">
        <v>5989</v>
      </c>
      <c r="M719" s="37" t="s">
        <v>5990</v>
      </c>
    </row>
    <row r="720" spans="1:13" ht="15.75" thickBot="1" x14ac:dyDescent="0.3">
      <c r="A720" s="28">
        <v>46002.855706018519</v>
      </c>
      <c r="B720" s="29" t="s">
        <v>10</v>
      </c>
      <c r="C720" s="29" t="s">
        <v>671</v>
      </c>
      <c r="D720" s="29" t="s">
        <v>5187</v>
      </c>
      <c r="E720" s="29" t="s">
        <v>10</v>
      </c>
      <c r="F720" s="30">
        <v>41085</v>
      </c>
      <c r="G720" s="29" t="s">
        <v>5188</v>
      </c>
      <c r="H720" s="29" t="s">
        <v>5189</v>
      </c>
      <c r="I720" s="29" t="s">
        <v>66</v>
      </c>
      <c r="J720" s="31" t="s">
        <v>5991</v>
      </c>
      <c r="K720" s="29" t="s">
        <v>5992</v>
      </c>
      <c r="L720" s="29" t="s">
        <v>5186</v>
      </c>
      <c r="M720" s="32" t="s">
        <v>5993</v>
      </c>
    </row>
    <row r="721" spans="1:13" ht="15.75" thickBot="1" x14ac:dyDescent="0.3">
      <c r="A721" s="33">
        <v>46002.858124999999</v>
      </c>
      <c r="B721" s="34" t="s">
        <v>10</v>
      </c>
      <c r="C721" s="34" t="s">
        <v>4596</v>
      </c>
      <c r="D721" s="34" t="s">
        <v>5994</v>
      </c>
      <c r="E721" s="34" t="s">
        <v>59</v>
      </c>
      <c r="F721" s="35">
        <v>41794</v>
      </c>
      <c r="G721" s="34" t="s">
        <v>5995</v>
      </c>
      <c r="H721" s="34" t="s">
        <v>5996</v>
      </c>
      <c r="I721" s="34" t="s">
        <v>2</v>
      </c>
      <c r="J721" s="36" t="s">
        <v>5997</v>
      </c>
      <c r="K721" s="34" t="s">
        <v>5998</v>
      </c>
      <c r="L721" s="34" t="s">
        <v>5999</v>
      </c>
      <c r="M721" s="37" t="s">
        <v>6000</v>
      </c>
    </row>
    <row r="722" spans="1:13" ht="15.75" thickBot="1" x14ac:dyDescent="0.3">
      <c r="A722" s="28">
        <v>46002.887303240743</v>
      </c>
      <c r="B722" s="29" t="s">
        <v>10</v>
      </c>
      <c r="C722" s="29" t="s">
        <v>671</v>
      </c>
      <c r="D722" s="29" t="s">
        <v>5192</v>
      </c>
      <c r="E722" s="29" t="s">
        <v>365</v>
      </c>
      <c r="F722" s="30">
        <v>42539</v>
      </c>
      <c r="G722" s="29" t="s">
        <v>5193</v>
      </c>
      <c r="H722" s="29" t="s">
        <v>3905</v>
      </c>
      <c r="I722" s="29" t="s">
        <v>2</v>
      </c>
      <c r="J722" s="31" t="s">
        <v>6001</v>
      </c>
      <c r="K722" s="29" t="s">
        <v>6002</v>
      </c>
      <c r="L722" s="29" t="s">
        <v>5191</v>
      </c>
      <c r="M722" s="32" t="s">
        <v>6003</v>
      </c>
    </row>
    <row r="723" spans="1:13" ht="15.75" thickBot="1" x14ac:dyDescent="0.3">
      <c r="A723" s="33">
        <v>46002.900983796295</v>
      </c>
      <c r="B723" s="34" t="s">
        <v>10</v>
      </c>
      <c r="C723" s="34" t="s">
        <v>671</v>
      </c>
      <c r="D723" s="34" t="s">
        <v>5192</v>
      </c>
      <c r="E723" s="34" t="s">
        <v>365</v>
      </c>
      <c r="F723" s="35">
        <v>42539</v>
      </c>
      <c r="G723" s="34" t="s">
        <v>5193</v>
      </c>
      <c r="H723" s="34" t="s">
        <v>3905</v>
      </c>
      <c r="I723" s="34" t="s">
        <v>2</v>
      </c>
      <c r="J723" s="36" t="s">
        <v>6004</v>
      </c>
      <c r="K723" s="34" t="s">
        <v>6002</v>
      </c>
      <c r="L723" s="34" t="s">
        <v>6005</v>
      </c>
      <c r="M723" s="37" t="s">
        <v>6006</v>
      </c>
    </row>
    <row r="724" spans="1:13" ht="15.75" thickBot="1" x14ac:dyDescent="0.3">
      <c r="A724" s="28">
        <v>46002.928807870368</v>
      </c>
      <c r="B724" s="29" t="s">
        <v>10</v>
      </c>
      <c r="C724" s="29" t="s">
        <v>671</v>
      </c>
      <c r="D724" s="29" t="s">
        <v>5033</v>
      </c>
      <c r="E724" s="29" t="s">
        <v>28</v>
      </c>
      <c r="F724" s="30">
        <v>42106</v>
      </c>
      <c r="G724" s="29" t="s">
        <v>5034</v>
      </c>
      <c r="H724" s="29" t="s">
        <v>1850</v>
      </c>
      <c r="I724" s="29" t="s">
        <v>66</v>
      </c>
      <c r="J724" s="31" t="s">
        <v>6007</v>
      </c>
      <c r="K724" s="29" t="s">
        <v>5562</v>
      </c>
      <c r="L724" s="29" t="s">
        <v>6008</v>
      </c>
      <c r="M724" s="32" t="s">
        <v>6009</v>
      </c>
    </row>
    <row r="725" spans="1:13" ht="15.75" thickBot="1" x14ac:dyDescent="0.3">
      <c r="A725" s="33">
        <v>46002.946585648147</v>
      </c>
      <c r="B725" s="34" t="s">
        <v>1317</v>
      </c>
      <c r="C725" s="34" t="s">
        <v>5200</v>
      </c>
      <c r="D725" s="34" t="s">
        <v>5196</v>
      </c>
      <c r="E725" s="34" t="s">
        <v>28</v>
      </c>
      <c r="F725" s="35">
        <v>42538</v>
      </c>
      <c r="G725" s="34" t="s">
        <v>5197</v>
      </c>
      <c r="H725" s="34" t="s">
        <v>5198</v>
      </c>
      <c r="I725" s="34" t="s">
        <v>2</v>
      </c>
      <c r="J725" s="36" t="s">
        <v>6010</v>
      </c>
      <c r="K725" s="34" t="s">
        <v>6011</v>
      </c>
      <c r="L725" s="34" t="s">
        <v>5195</v>
      </c>
      <c r="M725" s="37" t="s">
        <v>6012</v>
      </c>
    </row>
    <row r="726" spans="1:13" ht="15.75" thickBot="1" x14ac:dyDescent="0.3">
      <c r="A726" s="28">
        <v>46002.949872685182</v>
      </c>
      <c r="B726" s="29" t="s">
        <v>1317</v>
      </c>
      <c r="C726" s="29" t="s">
        <v>5200</v>
      </c>
      <c r="D726" s="29" t="s">
        <v>5202</v>
      </c>
      <c r="E726" s="29" t="s">
        <v>28</v>
      </c>
      <c r="F726" s="30">
        <v>42703</v>
      </c>
      <c r="G726" s="29" t="s">
        <v>5203</v>
      </c>
      <c r="H726" s="29" t="s">
        <v>5204</v>
      </c>
      <c r="I726" s="29" t="s">
        <v>66</v>
      </c>
      <c r="J726" s="31" t="s">
        <v>6013</v>
      </c>
      <c r="K726" s="29" t="s">
        <v>6014</v>
      </c>
      <c r="L726" s="29" t="s">
        <v>5201</v>
      </c>
      <c r="M726" s="32" t="s">
        <v>6015</v>
      </c>
    </row>
    <row r="727" spans="1:13" ht="15.75" thickBot="1" x14ac:dyDescent="0.3">
      <c r="A727" s="33">
        <v>46003.138275462959</v>
      </c>
      <c r="B727" s="34" t="s">
        <v>10</v>
      </c>
      <c r="C727" s="34" t="s">
        <v>671</v>
      </c>
      <c r="D727" s="34" t="s">
        <v>5124</v>
      </c>
      <c r="E727" s="34" t="s">
        <v>10</v>
      </c>
      <c r="F727" s="35">
        <v>42485</v>
      </c>
      <c r="G727" s="34" t="s">
        <v>5647</v>
      </c>
      <c r="H727" s="34" t="s">
        <v>5648</v>
      </c>
      <c r="I727" s="34" t="s">
        <v>2</v>
      </c>
      <c r="J727" s="36" t="s">
        <v>6016</v>
      </c>
      <c r="K727" s="34" t="s">
        <v>5650</v>
      </c>
      <c r="L727" s="34" t="s">
        <v>6017</v>
      </c>
      <c r="M727" s="37" t="s">
        <v>6018</v>
      </c>
    </row>
    <row r="728" spans="1:13" ht="15.75" thickBot="1" x14ac:dyDescent="0.3">
      <c r="A728" s="28">
        <v>46003.189479166664</v>
      </c>
      <c r="B728" s="29" t="s">
        <v>10</v>
      </c>
      <c r="C728" s="29" t="s">
        <v>671</v>
      </c>
      <c r="D728" s="29" t="s">
        <v>5042</v>
      </c>
      <c r="E728" s="29" t="s">
        <v>28</v>
      </c>
      <c r="F728" s="30">
        <v>41784</v>
      </c>
      <c r="G728" s="29" t="s">
        <v>5043</v>
      </c>
      <c r="H728" s="29" t="s">
        <v>5044</v>
      </c>
      <c r="I728" s="29" t="s">
        <v>2</v>
      </c>
      <c r="J728" s="31" t="s">
        <v>6019</v>
      </c>
      <c r="K728" s="29" t="s">
        <v>5578</v>
      </c>
      <c r="L728" s="29" t="s">
        <v>6020</v>
      </c>
      <c r="M728" s="32" t="s">
        <v>6021</v>
      </c>
    </row>
    <row r="729" spans="1:13" ht="15.75" thickBot="1" x14ac:dyDescent="0.3">
      <c r="A729" s="33">
        <v>46003.226099537038</v>
      </c>
      <c r="B729" s="34" t="s">
        <v>10</v>
      </c>
      <c r="C729" s="34" t="s">
        <v>671</v>
      </c>
      <c r="D729" s="34" t="s">
        <v>5207</v>
      </c>
      <c r="E729" s="34" t="s">
        <v>5208</v>
      </c>
      <c r="F729" s="35">
        <v>41481</v>
      </c>
      <c r="G729" s="34" t="s">
        <v>5209</v>
      </c>
      <c r="H729" s="34" t="s">
        <v>5210</v>
      </c>
      <c r="I729" s="34" t="s">
        <v>66</v>
      </c>
      <c r="J729" s="36" t="s">
        <v>6022</v>
      </c>
      <c r="K729" s="34" t="s">
        <v>6023</v>
      </c>
      <c r="L729" s="34" t="s">
        <v>5206</v>
      </c>
      <c r="M729" s="37" t="s">
        <v>6024</v>
      </c>
    </row>
    <row r="730" spans="1:13" ht="15.75" thickBot="1" x14ac:dyDescent="0.3">
      <c r="A730" s="28">
        <v>46003.232511574075</v>
      </c>
      <c r="B730" s="29" t="s">
        <v>10</v>
      </c>
      <c r="C730" s="29" t="s">
        <v>671</v>
      </c>
      <c r="D730" s="29" t="s">
        <v>5055</v>
      </c>
      <c r="E730" s="29" t="s">
        <v>28</v>
      </c>
      <c r="F730" s="30">
        <v>41409</v>
      </c>
      <c r="G730" s="29" t="s">
        <v>5056</v>
      </c>
      <c r="H730" s="29" t="s">
        <v>5057</v>
      </c>
      <c r="I730" s="29" t="s">
        <v>2</v>
      </c>
      <c r="J730" s="31" t="s">
        <v>6025</v>
      </c>
      <c r="K730" s="29" t="s">
        <v>5598</v>
      </c>
      <c r="L730" s="29" t="s">
        <v>5212</v>
      </c>
      <c r="M730" s="32" t="s">
        <v>6026</v>
      </c>
    </row>
    <row r="731" spans="1:13" ht="15.75" thickBot="1" x14ac:dyDescent="0.3">
      <c r="A731" s="33">
        <v>46003.282476851855</v>
      </c>
      <c r="B731" s="34" t="s">
        <v>10</v>
      </c>
      <c r="C731" s="34" t="s">
        <v>3345</v>
      </c>
      <c r="D731" s="34" t="s">
        <v>5215</v>
      </c>
      <c r="E731" s="34" t="s">
        <v>10</v>
      </c>
      <c r="F731" s="35">
        <v>42448</v>
      </c>
      <c r="G731" s="34" t="s">
        <v>5216</v>
      </c>
      <c r="H731" s="34" t="s">
        <v>5217</v>
      </c>
      <c r="I731" s="34" t="s">
        <v>2</v>
      </c>
      <c r="J731" s="36" t="s">
        <v>6027</v>
      </c>
      <c r="K731" s="34" t="s">
        <v>6028</v>
      </c>
      <c r="L731" s="34" t="s">
        <v>5214</v>
      </c>
      <c r="M731" s="37" t="s">
        <v>6029</v>
      </c>
    </row>
    <row r="732" spans="1:13" ht="15.75" thickBot="1" x14ac:dyDescent="0.3">
      <c r="A732" s="28">
        <v>46003.319814814815</v>
      </c>
      <c r="B732" s="29" t="s">
        <v>10</v>
      </c>
      <c r="C732" s="29" t="s">
        <v>671</v>
      </c>
      <c r="D732" s="29" t="s">
        <v>5160</v>
      </c>
      <c r="E732" s="29" t="s">
        <v>6030</v>
      </c>
      <c r="F732" s="30">
        <v>41188</v>
      </c>
      <c r="G732" s="29" t="s">
        <v>5161</v>
      </c>
      <c r="H732" s="29" t="s">
        <v>5162</v>
      </c>
      <c r="I732" s="29" t="s">
        <v>66</v>
      </c>
      <c r="J732" s="31" t="s">
        <v>6031</v>
      </c>
      <c r="K732" s="29" t="s">
        <v>6032</v>
      </c>
      <c r="L732" s="29" t="s">
        <v>6033</v>
      </c>
      <c r="M732" s="32" t="s">
        <v>6034</v>
      </c>
    </row>
    <row r="733" spans="1:13" ht="15.75" thickBot="1" x14ac:dyDescent="0.3">
      <c r="A733" s="33">
        <v>46003.321909722225</v>
      </c>
      <c r="B733" s="34" t="s">
        <v>10</v>
      </c>
      <c r="C733" s="34" t="s">
        <v>3345</v>
      </c>
      <c r="D733" s="34" t="s">
        <v>4100</v>
      </c>
      <c r="E733" s="34" t="s">
        <v>28</v>
      </c>
      <c r="F733" s="35">
        <v>41526</v>
      </c>
      <c r="G733" s="34" t="s">
        <v>4101</v>
      </c>
      <c r="H733" s="34" t="s">
        <v>4102</v>
      </c>
      <c r="I733" s="34" t="s">
        <v>66</v>
      </c>
      <c r="J733" s="36" t="s">
        <v>6035</v>
      </c>
      <c r="K733" s="34" t="s">
        <v>6036</v>
      </c>
      <c r="L733" s="34" t="s">
        <v>5219</v>
      </c>
      <c r="M733" s="37" t="s">
        <v>6037</v>
      </c>
    </row>
    <row r="734" spans="1:13" ht="15.75" thickBot="1" x14ac:dyDescent="0.3">
      <c r="A734" s="28">
        <v>46003.324872685182</v>
      </c>
      <c r="B734" s="29" t="s">
        <v>10</v>
      </c>
      <c r="C734" s="29" t="s">
        <v>671</v>
      </c>
      <c r="D734" s="29" t="s">
        <v>5160</v>
      </c>
      <c r="E734" s="29" t="s">
        <v>6038</v>
      </c>
      <c r="F734" s="30">
        <v>41188</v>
      </c>
      <c r="G734" s="29" t="s">
        <v>5161</v>
      </c>
      <c r="H734" s="29" t="s">
        <v>5162</v>
      </c>
      <c r="I734" s="29" t="s">
        <v>66</v>
      </c>
      <c r="J734" s="31" t="s">
        <v>6039</v>
      </c>
      <c r="K734" s="29" t="s">
        <v>6032</v>
      </c>
      <c r="L734" s="29" t="s">
        <v>6040</v>
      </c>
      <c r="M734" s="32" t="s">
        <v>6041</v>
      </c>
    </row>
    <row r="735" spans="1:13" ht="15.75" thickBot="1" x14ac:dyDescent="0.3">
      <c r="A735" s="33">
        <v>46003.327847222223</v>
      </c>
      <c r="B735" s="34" t="s">
        <v>10</v>
      </c>
      <c r="C735" s="34" t="s">
        <v>3345</v>
      </c>
      <c r="D735" s="34" t="s">
        <v>5222</v>
      </c>
      <c r="E735" s="34" t="s">
        <v>10</v>
      </c>
      <c r="F735" s="35">
        <v>41606</v>
      </c>
      <c r="G735" s="34" t="s">
        <v>5223</v>
      </c>
      <c r="H735" s="34" t="s">
        <v>5224</v>
      </c>
      <c r="I735" s="34" t="s">
        <v>66</v>
      </c>
      <c r="J735" s="36" t="s">
        <v>6042</v>
      </c>
      <c r="K735" s="34" t="s">
        <v>6043</v>
      </c>
      <c r="L735" s="34" t="s">
        <v>5221</v>
      </c>
      <c r="M735" s="37" t="s">
        <v>6044</v>
      </c>
    </row>
    <row r="736" spans="1:13" ht="15.75" thickBot="1" x14ac:dyDescent="0.3">
      <c r="A736" s="28">
        <v>46003.33021990741</v>
      </c>
      <c r="B736" s="29" t="s">
        <v>10</v>
      </c>
      <c r="C736" s="29" t="s">
        <v>671</v>
      </c>
      <c r="D736" s="29" t="s">
        <v>5160</v>
      </c>
      <c r="E736" s="29" t="s">
        <v>5227</v>
      </c>
      <c r="F736" s="30">
        <v>41188</v>
      </c>
      <c r="G736" s="29" t="s">
        <v>5161</v>
      </c>
      <c r="H736" s="29" t="s">
        <v>5162</v>
      </c>
      <c r="I736" s="29" t="s">
        <v>66</v>
      </c>
      <c r="J736" s="31" t="s">
        <v>6045</v>
      </c>
      <c r="K736" s="29" t="s">
        <v>6032</v>
      </c>
      <c r="L736" s="29" t="s">
        <v>5226</v>
      </c>
      <c r="M736" s="32" t="s">
        <v>6046</v>
      </c>
    </row>
    <row r="737" spans="1:13" ht="15.75" thickBot="1" x14ac:dyDescent="0.3">
      <c r="A737" s="33">
        <v>46003.331400462965</v>
      </c>
      <c r="B737" s="34" t="s">
        <v>10</v>
      </c>
      <c r="C737" s="34" t="s">
        <v>699</v>
      </c>
      <c r="D737" s="34" t="s">
        <v>5230</v>
      </c>
      <c r="E737" s="34" t="s">
        <v>10</v>
      </c>
      <c r="F737" s="35">
        <v>41797</v>
      </c>
      <c r="G737" s="34" t="s">
        <v>5231</v>
      </c>
      <c r="H737" s="34" t="s">
        <v>5232</v>
      </c>
      <c r="I737" s="34" t="s">
        <v>2</v>
      </c>
      <c r="J737" s="36" t="s">
        <v>6047</v>
      </c>
      <c r="K737" s="34" t="s">
        <v>6048</v>
      </c>
      <c r="L737" s="34" t="s">
        <v>5229</v>
      </c>
      <c r="M737" s="38"/>
    </row>
    <row r="738" spans="1:13" ht="15.75" thickBot="1" x14ac:dyDescent="0.3">
      <c r="A738" s="28">
        <v>46003.336087962962</v>
      </c>
      <c r="B738" s="29" t="s">
        <v>10</v>
      </c>
      <c r="C738" s="29" t="s">
        <v>671</v>
      </c>
      <c r="D738" s="29" t="s">
        <v>5042</v>
      </c>
      <c r="E738" s="29" t="s">
        <v>28</v>
      </c>
      <c r="F738" s="30">
        <v>41784</v>
      </c>
      <c r="G738" s="29" t="s">
        <v>5043</v>
      </c>
      <c r="H738" s="29" t="s">
        <v>5044</v>
      </c>
      <c r="I738" s="29" t="s">
        <v>2</v>
      </c>
      <c r="J738" s="31" t="s">
        <v>6049</v>
      </c>
      <c r="K738" s="29" t="s">
        <v>5578</v>
      </c>
      <c r="L738" s="29" t="s">
        <v>5234</v>
      </c>
      <c r="M738" s="32" t="s">
        <v>6050</v>
      </c>
    </row>
    <row r="739" spans="1:13" ht="15.75" thickBot="1" x14ac:dyDescent="0.3">
      <c r="A739" s="33">
        <v>46003.352939814817</v>
      </c>
      <c r="B739" s="34" t="s">
        <v>905</v>
      </c>
      <c r="C739" s="34" t="s">
        <v>5241</v>
      </c>
      <c r="D739" s="34" t="s">
        <v>5237</v>
      </c>
      <c r="E739" s="34" t="s">
        <v>10</v>
      </c>
      <c r="F739" s="35">
        <v>41699</v>
      </c>
      <c r="G739" s="34" t="s">
        <v>5238</v>
      </c>
      <c r="H739" s="34" t="s">
        <v>5239</v>
      </c>
      <c r="I739" s="34" t="s">
        <v>2</v>
      </c>
      <c r="J739" s="36" t="s">
        <v>6051</v>
      </c>
      <c r="K739" s="34" t="s">
        <v>6052</v>
      </c>
      <c r="L739" s="34" t="s">
        <v>5236</v>
      </c>
      <c r="M739" s="37" t="s">
        <v>6053</v>
      </c>
    </row>
    <row r="740" spans="1:13" ht="15.75" thickBot="1" x14ac:dyDescent="0.3">
      <c r="A740" s="28">
        <v>46003.395520833335</v>
      </c>
      <c r="B740" s="29" t="s">
        <v>10</v>
      </c>
      <c r="C740" s="29" t="s">
        <v>671</v>
      </c>
      <c r="D740" s="29" t="s">
        <v>5242</v>
      </c>
      <c r="E740" s="29" t="s">
        <v>10</v>
      </c>
      <c r="F740" s="30">
        <v>42390</v>
      </c>
      <c r="G740" s="29" t="s">
        <v>5243</v>
      </c>
      <c r="H740" s="29" t="s">
        <v>5244</v>
      </c>
      <c r="I740" s="29" t="s">
        <v>66</v>
      </c>
      <c r="J740" s="31" t="s">
        <v>6054</v>
      </c>
      <c r="K740" s="29" t="s">
        <v>6055</v>
      </c>
      <c r="L740" s="29" t="s">
        <v>6056</v>
      </c>
      <c r="M740" s="32" t="s">
        <v>6057</v>
      </c>
    </row>
    <row r="741" spans="1:13" ht="15.75" thickBot="1" x14ac:dyDescent="0.3">
      <c r="A741" s="33">
        <v>46003.401875000003</v>
      </c>
      <c r="B741" s="34" t="s">
        <v>10</v>
      </c>
      <c r="C741" s="34" t="s">
        <v>671</v>
      </c>
      <c r="D741" s="34" t="s">
        <v>5242</v>
      </c>
      <c r="E741" s="34" t="s">
        <v>10</v>
      </c>
      <c r="F741" s="35">
        <v>42390</v>
      </c>
      <c r="G741" s="34" t="s">
        <v>5243</v>
      </c>
      <c r="H741" s="34" t="s">
        <v>5244</v>
      </c>
      <c r="I741" s="34" t="s">
        <v>66</v>
      </c>
      <c r="J741" s="36" t="s">
        <v>6058</v>
      </c>
      <c r="K741" s="34" t="s">
        <v>6055</v>
      </c>
      <c r="L741" s="34" t="s">
        <v>5245</v>
      </c>
      <c r="M741" s="37" t="s">
        <v>6059</v>
      </c>
    </row>
    <row r="742" spans="1:13" ht="15.75" thickBot="1" x14ac:dyDescent="0.3">
      <c r="A742" s="28">
        <v>46003.409583333334</v>
      </c>
      <c r="B742" s="29" t="s">
        <v>10</v>
      </c>
      <c r="C742" s="29" t="s">
        <v>2219</v>
      </c>
      <c r="D742" s="29" t="s">
        <v>4613</v>
      </c>
      <c r="E742" s="29" t="s">
        <v>10</v>
      </c>
      <c r="F742" s="30">
        <v>42013</v>
      </c>
      <c r="G742" s="29" t="s">
        <v>4614</v>
      </c>
      <c r="H742" s="29" t="s">
        <v>4615</v>
      </c>
      <c r="I742" s="29" t="s">
        <v>2</v>
      </c>
      <c r="J742" s="31" t="s">
        <v>6060</v>
      </c>
      <c r="K742" s="29" t="s">
        <v>5286</v>
      </c>
      <c r="L742" s="29" t="s">
        <v>5247</v>
      </c>
      <c r="M742" s="32" t="s">
        <v>6061</v>
      </c>
    </row>
    <row r="743" spans="1:13" ht="15.75" thickBot="1" x14ac:dyDescent="0.3">
      <c r="A743" s="33">
        <v>46003.419108796297</v>
      </c>
      <c r="B743" s="34" t="s">
        <v>10</v>
      </c>
      <c r="C743" s="34" t="s">
        <v>671</v>
      </c>
      <c r="D743" s="34" t="s">
        <v>5160</v>
      </c>
      <c r="E743" s="34" t="s">
        <v>6062</v>
      </c>
      <c r="F743" s="35">
        <v>41188</v>
      </c>
      <c r="G743" s="34" t="s">
        <v>6063</v>
      </c>
      <c r="H743" s="34" t="s">
        <v>6064</v>
      </c>
      <c r="I743" s="34" t="s">
        <v>66</v>
      </c>
      <c r="J743" s="36" t="s">
        <v>6065</v>
      </c>
      <c r="K743" s="34" t="s">
        <v>5923</v>
      </c>
      <c r="L743" s="34" t="s">
        <v>6066</v>
      </c>
      <c r="M743" s="37" t="s">
        <v>6067</v>
      </c>
    </row>
    <row r="744" spans="1:13" ht="15.75" thickBot="1" x14ac:dyDescent="0.3">
      <c r="A744" s="28">
        <v>46003.425462962965</v>
      </c>
      <c r="B744" s="29" t="s">
        <v>10</v>
      </c>
      <c r="C744" s="29" t="s">
        <v>671</v>
      </c>
      <c r="D744" s="29" t="s">
        <v>5242</v>
      </c>
      <c r="E744" s="29" t="s">
        <v>10</v>
      </c>
      <c r="F744" s="30">
        <v>42390</v>
      </c>
      <c r="G744" s="29" t="s">
        <v>5243</v>
      </c>
      <c r="H744" s="29" t="s">
        <v>5244</v>
      </c>
      <c r="I744" s="29" t="s">
        <v>66</v>
      </c>
      <c r="J744" s="31" t="s">
        <v>6068</v>
      </c>
      <c r="K744" s="29" t="s">
        <v>6069</v>
      </c>
      <c r="L744" s="29" t="s">
        <v>6070</v>
      </c>
      <c r="M744" s="32" t="s">
        <v>6071</v>
      </c>
    </row>
    <row r="745" spans="1:13" ht="15.75" thickBot="1" x14ac:dyDescent="0.3">
      <c r="A745" s="33">
        <v>46003.430694444447</v>
      </c>
      <c r="B745" s="34" t="s">
        <v>10</v>
      </c>
      <c r="C745" s="34" t="s">
        <v>671</v>
      </c>
      <c r="D745" s="34" t="s">
        <v>5242</v>
      </c>
      <c r="E745" s="34" t="s">
        <v>10</v>
      </c>
      <c r="F745" s="35">
        <v>42390</v>
      </c>
      <c r="G745" s="34" t="s">
        <v>5243</v>
      </c>
      <c r="H745" s="34" t="s">
        <v>5244</v>
      </c>
      <c r="I745" s="34" t="s">
        <v>66</v>
      </c>
      <c r="J745" s="36" t="s">
        <v>6072</v>
      </c>
      <c r="K745" s="34" t="s">
        <v>6069</v>
      </c>
      <c r="L745" s="34" t="s">
        <v>6073</v>
      </c>
      <c r="M745" s="37" t="s">
        <v>6074</v>
      </c>
    </row>
    <row r="746" spans="1:13" ht="15.75" thickBot="1" x14ac:dyDescent="0.3">
      <c r="A746" s="28">
        <v>46003.433321759258</v>
      </c>
      <c r="B746" s="29" t="s">
        <v>10</v>
      </c>
      <c r="C746" s="29" t="s">
        <v>671</v>
      </c>
      <c r="D746" s="29" t="s">
        <v>5124</v>
      </c>
      <c r="E746" s="29" t="s">
        <v>10</v>
      </c>
      <c r="F746" s="30">
        <v>42485</v>
      </c>
      <c r="G746" s="29" t="s">
        <v>5803</v>
      </c>
      <c r="H746" s="29" t="s">
        <v>5648</v>
      </c>
      <c r="I746" s="29" t="s">
        <v>2</v>
      </c>
      <c r="J746" s="31" t="s">
        <v>6075</v>
      </c>
      <c r="K746" s="29" t="s">
        <v>5650</v>
      </c>
      <c r="L746" s="29" t="s">
        <v>6076</v>
      </c>
      <c r="M746" s="32" t="s">
        <v>6077</v>
      </c>
    </row>
    <row r="747" spans="1:13" ht="15.75" thickBot="1" x14ac:dyDescent="0.3">
      <c r="A747" s="33">
        <v>46003.440335648149</v>
      </c>
      <c r="B747" s="34" t="s">
        <v>10</v>
      </c>
      <c r="C747" s="34" t="s">
        <v>671</v>
      </c>
      <c r="D747" s="34" t="s">
        <v>5242</v>
      </c>
      <c r="E747" s="34" t="s">
        <v>10</v>
      </c>
      <c r="F747" s="35">
        <v>42390</v>
      </c>
      <c r="G747" s="34" t="s">
        <v>5243</v>
      </c>
      <c r="H747" s="34" t="s">
        <v>5244</v>
      </c>
      <c r="I747" s="34" t="s">
        <v>66</v>
      </c>
      <c r="J747" s="36" t="s">
        <v>6078</v>
      </c>
      <c r="K747" s="34" t="s">
        <v>6069</v>
      </c>
      <c r="L747" s="34" t="s">
        <v>6079</v>
      </c>
      <c r="M747" s="37" t="s">
        <v>6080</v>
      </c>
    </row>
    <row r="748" spans="1:13" ht="15.75" thickBot="1" x14ac:dyDescent="0.3">
      <c r="A748" s="28">
        <v>46003.579270833332</v>
      </c>
      <c r="B748" s="29" t="s">
        <v>10</v>
      </c>
      <c r="C748" s="29" t="s">
        <v>671</v>
      </c>
      <c r="D748" s="29" t="s">
        <v>5587</v>
      </c>
      <c r="E748" s="29" t="s">
        <v>6081</v>
      </c>
      <c r="F748" s="30">
        <v>42538</v>
      </c>
      <c r="G748" s="29" t="s">
        <v>5555</v>
      </c>
      <c r="H748" s="29" t="s">
        <v>5573</v>
      </c>
      <c r="I748" s="29" t="s">
        <v>66</v>
      </c>
      <c r="J748" s="31" t="s">
        <v>6082</v>
      </c>
      <c r="K748" s="29" t="s">
        <v>5948</v>
      </c>
      <c r="L748" s="29" t="s">
        <v>6083</v>
      </c>
      <c r="M748" s="32" t="s">
        <v>6084</v>
      </c>
    </row>
    <row r="749" spans="1:13" ht="15.75" thickBot="1" x14ac:dyDescent="0.3">
      <c r="A749" s="33">
        <v>46003.449317129627</v>
      </c>
      <c r="B749" s="34" t="s">
        <v>10</v>
      </c>
      <c r="C749" s="34" t="s">
        <v>1296</v>
      </c>
      <c r="D749" s="34" t="s">
        <v>6085</v>
      </c>
      <c r="E749" s="34" t="s">
        <v>28</v>
      </c>
      <c r="F749" s="35">
        <v>41964</v>
      </c>
      <c r="G749" s="34" t="s">
        <v>6086</v>
      </c>
      <c r="H749" s="34" t="s">
        <v>6087</v>
      </c>
      <c r="I749" s="34" t="s">
        <v>66</v>
      </c>
      <c r="J749" s="36" t="s">
        <v>6088</v>
      </c>
      <c r="K749" s="34" t="s">
        <v>6089</v>
      </c>
      <c r="L749" s="34" t="s">
        <v>6090</v>
      </c>
      <c r="M749" s="37" t="s">
        <v>6091</v>
      </c>
    </row>
    <row r="750" spans="1:13" ht="15.75" thickBot="1" x14ac:dyDescent="0.3">
      <c r="A750" s="28">
        <v>46003.46471064815</v>
      </c>
      <c r="B750" s="29" t="s">
        <v>10</v>
      </c>
      <c r="C750" s="29" t="s">
        <v>671</v>
      </c>
      <c r="D750" s="29" t="s">
        <v>5154</v>
      </c>
      <c r="E750" s="29" t="s">
        <v>10</v>
      </c>
      <c r="F750" s="30">
        <v>41198</v>
      </c>
      <c r="G750" s="29" t="s">
        <v>5151</v>
      </c>
      <c r="H750" s="29" t="s">
        <v>5152</v>
      </c>
      <c r="I750" s="29" t="s">
        <v>66</v>
      </c>
      <c r="J750" s="31" t="s">
        <v>6092</v>
      </c>
      <c r="K750" s="29" t="s">
        <v>5900</v>
      </c>
      <c r="L750" s="29" t="s">
        <v>6093</v>
      </c>
      <c r="M750" s="32" t="s">
        <v>6094</v>
      </c>
    </row>
    <row r="751" spans="1:13" ht="15.75" thickBot="1" x14ac:dyDescent="0.3">
      <c r="A751" s="33">
        <v>46003.469618055555</v>
      </c>
      <c r="B751" s="34" t="s">
        <v>10</v>
      </c>
      <c r="C751" s="34" t="s">
        <v>671</v>
      </c>
      <c r="D751" s="34" t="s">
        <v>5154</v>
      </c>
      <c r="E751" s="34" t="s">
        <v>10</v>
      </c>
      <c r="F751" s="35">
        <v>41198</v>
      </c>
      <c r="G751" s="34" t="s">
        <v>5151</v>
      </c>
      <c r="H751" s="34" t="s">
        <v>5152</v>
      </c>
      <c r="I751" s="34" t="s">
        <v>66</v>
      </c>
      <c r="J751" s="36" t="s">
        <v>6095</v>
      </c>
      <c r="K751" s="34" t="s">
        <v>5900</v>
      </c>
      <c r="L751" s="34" t="s">
        <v>6096</v>
      </c>
      <c r="M751" s="37" t="s">
        <v>6097</v>
      </c>
    </row>
    <row r="752" spans="1:13" ht="15.75" thickBot="1" x14ac:dyDescent="0.3">
      <c r="A752" s="28">
        <v>46003.474803240744</v>
      </c>
      <c r="B752" s="29" t="s">
        <v>10</v>
      </c>
      <c r="C752" s="29" t="s">
        <v>671</v>
      </c>
      <c r="D752" s="29" t="s">
        <v>6098</v>
      </c>
      <c r="E752" s="29" t="s">
        <v>10</v>
      </c>
      <c r="F752" s="30">
        <v>41761</v>
      </c>
      <c r="G752" s="29" t="s">
        <v>6099</v>
      </c>
      <c r="H752" s="29" t="s">
        <v>6100</v>
      </c>
      <c r="I752" s="29" t="s">
        <v>66</v>
      </c>
      <c r="J752" s="31" t="s">
        <v>6101</v>
      </c>
      <c r="K752" s="29" t="s">
        <v>5766</v>
      </c>
      <c r="L752" s="29" t="s">
        <v>6102</v>
      </c>
      <c r="M752" s="32" t="s">
        <v>6103</v>
      </c>
    </row>
    <row r="753" spans="1:13" ht="15.75" thickBot="1" x14ac:dyDescent="0.3">
      <c r="A753" s="33">
        <v>46003.476956018516</v>
      </c>
      <c r="B753" s="34" t="s">
        <v>10</v>
      </c>
      <c r="C753" s="34" t="s">
        <v>671</v>
      </c>
      <c r="D753" s="34" t="s">
        <v>5046</v>
      </c>
      <c r="E753" s="34" t="s">
        <v>6104</v>
      </c>
      <c r="F753" s="35">
        <v>41731</v>
      </c>
      <c r="G753" s="34" t="s">
        <v>5047</v>
      </c>
      <c r="H753" s="34" t="s">
        <v>5048</v>
      </c>
      <c r="I753" s="34" t="s">
        <v>66</v>
      </c>
      <c r="J753" s="36" t="s">
        <v>6105</v>
      </c>
      <c r="K753" s="34" t="s">
        <v>5585</v>
      </c>
      <c r="L753" s="34" t="s">
        <v>6106</v>
      </c>
      <c r="M753" s="37" t="s">
        <v>6107</v>
      </c>
    </row>
    <row r="754" spans="1:13" ht="15.75" thickBot="1" x14ac:dyDescent="0.3">
      <c r="A754" s="28">
        <v>46003.480196759258</v>
      </c>
      <c r="B754" s="29" t="s">
        <v>1317</v>
      </c>
      <c r="C754" s="29" t="s">
        <v>511</v>
      </c>
      <c r="D754" s="29" t="s">
        <v>6108</v>
      </c>
      <c r="E754" s="29" t="s">
        <v>116</v>
      </c>
      <c r="F754" s="30">
        <v>42208</v>
      </c>
      <c r="G754" s="29" t="s">
        <v>6109</v>
      </c>
      <c r="H754" s="29" t="s">
        <v>6110</v>
      </c>
      <c r="I754" s="29" t="s">
        <v>2</v>
      </c>
      <c r="J754" s="31" t="s">
        <v>6111</v>
      </c>
      <c r="K754" s="29" t="s">
        <v>1920</v>
      </c>
      <c r="L754" s="29" t="s">
        <v>6112</v>
      </c>
      <c r="M754" s="32" t="s">
        <v>6113</v>
      </c>
    </row>
    <row r="755" spans="1:13" ht="15.75" thickBot="1" x14ac:dyDescent="0.3">
      <c r="A755" s="33">
        <v>46003.480381944442</v>
      </c>
      <c r="B755" s="34" t="s">
        <v>10</v>
      </c>
      <c r="C755" s="34" t="s">
        <v>2781</v>
      </c>
      <c r="D755" s="34" t="s">
        <v>6114</v>
      </c>
      <c r="E755" s="34" t="s">
        <v>10</v>
      </c>
      <c r="F755" s="35">
        <v>41615</v>
      </c>
      <c r="G755" s="34" t="s">
        <v>6115</v>
      </c>
      <c r="H755" s="34" t="s">
        <v>179</v>
      </c>
      <c r="I755" s="34" t="s">
        <v>2</v>
      </c>
      <c r="J755" s="36" t="s">
        <v>6116</v>
      </c>
      <c r="K755" s="34" t="s">
        <v>6117</v>
      </c>
      <c r="L755" s="34" t="s">
        <v>6118</v>
      </c>
      <c r="M755" s="37" t="s">
        <v>6119</v>
      </c>
    </row>
    <row r="756" spans="1:13" ht="15.75" thickBot="1" x14ac:dyDescent="0.3">
      <c r="A756" s="28">
        <v>46003.480995370373</v>
      </c>
      <c r="B756" s="29" t="s">
        <v>10</v>
      </c>
      <c r="C756" s="29" t="s">
        <v>671</v>
      </c>
      <c r="D756" s="29" t="s">
        <v>6098</v>
      </c>
      <c r="E756" s="29" t="s">
        <v>10</v>
      </c>
      <c r="F756" s="30">
        <v>41761</v>
      </c>
      <c r="G756" s="29" t="s">
        <v>6099</v>
      </c>
      <c r="H756" s="29" t="s">
        <v>6100</v>
      </c>
      <c r="I756" s="29" t="s">
        <v>66</v>
      </c>
      <c r="J756" s="31" t="s">
        <v>6120</v>
      </c>
      <c r="K756" s="29" t="s">
        <v>5766</v>
      </c>
      <c r="L756" s="29" t="s">
        <v>6121</v>
      </c>
      <c r="M756" s="32" t="s">
        <v>6122</v>
      </c>
    </row>
    <row r="757" spans="1:13" ht="15.75" thickBot="1" x14ac:dyDescent="0.3">
      <c r="A757" s="33">
        <v>46003.48233796296</v>
      </c>
      <c r="B757" s="34" t="s">
        <v>10</v>
      </c>
      <c r="C757" s="34" t="s">
        <v>2781</v>
      </c>
      <c r="D757" s="34" t="s">
        <v>6123</v>
      </c>
      <c r="E757" s="34" t="s">
        <v>6124</v>
      </c>
      <c r="F757" s="35">
        <v>40990</v>
      </c>
      <c r="G757" s="34" t="s">
        <v>6125</v>
      </c>
      <c r="H757" s="34" t="s">
        <v>6126</v>
      </c>
      <c r="I757" s="34" t="s">
        <v>66</v>
      </c>
      <c r="J757" s="36" t="s">
        <v>6127</v>
      </c>
      <c r="K757" s="34" t="s">
        <v>6117</v>
      </c>
      <c r="L757" s="34" t="s">
        <v>6128</v>
      </c>
      <c r="M757" s="37" t="s">
        <v>6129</v>
      </c>
    </row>
    <row r="758" spans="1:13" ht="15.75" thickBot="1" x14ac:dyDescent="0.3">
      <c r="A758" s="28">
        <v>46003.483657407407</v>
      </c>
      <c r="B758" s="29" t="s">
        <v>10</v>
      </c>
      <c r="C758" s="29" t="s">
        <v>2781</v>
      </c>
      <c r="D758" s="29" t="s">
        <v>6130</v>
      </c>
      <c r="E758" s="29" t="s">
        <v>6131</v>
      </c>
      <c r="F758" s="30">
        <v>41564</v>
      </c>
      <c r="G758" s="29" t="s">
        <v>6132</v>
      </c>
      <c r="H758" s="29" t="s">
        <v>6133</v>
      </c>
      <c r="I758" s="29" t="s">
        <v>66</v>
      </c>
      <c r="J758" s="31" t="s">
        <v>6134</v>
      </c>
      <c r="K758" s="29" t="s">
        <v>6117</v>
      </c>
      <c r="L758" s="29" t="s">
        <v>6135</v>
      </c>
      <c r="M758" s="32" t="s">
        <v>6136</v>
      </c>
    </row>
    <row r="759" spans="1:13" ht="15.75" thickBot="1" x14ac:dyDescent="0.3">
      <c r="A759" s="33">
        <v>46003.506030092591</v>
      </c>
      <c r="B759" s="34" t="s">
        <v>905</v>
      </c>
      <c r="C759" s="34" t="s">
        <v>1993</v>
      </c>
      <c r="D759" s="34" t="s">
        <v>6137</v>
      </c>
      <c r="E759" s="34" t="s">
        <v>10</v>
      </c>
      <c r="F759" s="35">
        <v>42360</v>
      </c>
      <c r="G759" s="34" t="s">
        <v>620</v>
      </c>
      <c r="H759" s="34" t="s">
        <v>6138</v>
      </c>
      <c r="I759" s="34" t="s">
        <v>2</v>
      </c>
      <c r="J759" s="36" t="s">
        <v>6139</v>
      </c>
      <c r="K759" s="34" t="s">
        <v>6140</v>
      </c>
      <c r="L759" s="34" t="s">
        <v>6141</v>
      </c>
      <c r="M759" s="37" t="s">
        <v>6142</v>
      </c>
    </row>
    <row r="760" spans="1:13" ht="15.75" thickBot="1" x14ac:dyDescent="0.3">
      <c r="A760" s="28">
        <v>46003.514293981483</v>
      </c>
      <c r="B760" s="29" t="s">
        <v>905</v>
      </c>
      <c r="C760" s="29" t="s">
        <v>1993</v>
      </c>
      <c r="D760" s="29" t="s">
        <v>6143</v>
      </c>
      <c r="E760" s="29" t="s">
        <v>10</v>
      </c>
      <c r="F760" s="30">
        <v>41872</v>
      </c>
      <c r="G760" s="29" t="s">
        <v>6144</v>
      </c>
      <c r="H760" s="29" t="s">
        <v>6145</v>
      </c>
      <c r="I760" s="29" t="s">
        <v>2</v>
      </c>
      <c r="J760" s="31" t="s">
        <v>6146</v>
      </c>
      <c r="K760" s="29" t="s">
        <v>6140</v>
      </c>
      <c r="L760" s="29" t="s">
        <v>6147</v>
      </c>
      <c r="M760" s="32" t="s">
        <v>6148</v>
      </c>
    </row>
    <row r="761" spans="1:13" ht="15.75" thickBot="1" x14ac:dyDescent="0.3">
      <c r="A761" s="33">
        <v>46003.517118055555</v>
      </c>
      <c r="B761" s="34" t="s">
        <v>10</v>
      </c>
      <c r="C761" s="34" t="s">
        <v>671</v>
      </c>
      <c r="D761" s="34" t="s">
        <v>6149</v>
      </c>
      <c r="E761" s="34" t="s">
        <v>6150</v>
      </c>
      <c r="F761" s="35">
        <v>41481</v>
      </c>
      <c r="G761" s="34" t="s">
        <v>5209</v>
      </c>
      <c r="H761" s="34" t="s">
        <v>5210</v>
      </c>
      <c r="I761" s="34" t="s">
        <v>66</v>
      </c>
      <c r="J761" s="36" t="s">
        <v>6151</v>
      </c>
      <c r="K761" s="34" t="s">
        <v>6023</v>
      </c>
      <c r="L761" s="34" t="s">
        <v>6152</v>
      </c>
      <c r="M761" s="37" t="s">
        <v>6153</v>
      </c>
    </row>
    <row r="762" spans="1:13" ht="15.75" thickBot="1" x14ac:dyDescent="0.3">
      <c r="A762" s="28">
        <v>46003.519733796296</v>
      </c>
      <c r="B762" s="29" t="s">
        <v>905</v>
      </c>
      <c r="C762" s="29" t="s">
        <v>1993</v>
      </c>
      <c r="D762" s="29" t="s">
        <v>6154</v>
      </c>
      <c r="E762" s="29" t="s">
        <v>10</v>
      </c>
      <c r="F762" s="30">
        <v>41641</v>
      </c>
      <c r="G762" s="29" t="s">
        <v>6155</v>
      </c>
      <c r="H762" s="29" t="s">
        <v>6156</v>
      </c>
      <c r="I762" s="29" t="s">
        <v>2</v>
      </c>
      <c r="J762" s="31" t="s">
        <v>6157</v>
      </c>
      <c r="K762" s="29" t="s">
        <v>6140</v>
      </c>
      <c r="L762" s="29" t="s">
        <v>6158</v>
      </c>
      <c r="M762" s="32" t="s">
        <v>6159</v>
      </c>
    </row>
    <row r="763" spans="1:13" ht="15.75" thickBot="1" x14ac:dyDescent="0.3">
      <c r="A763" s="33">
        <v>46003.520694444444</v>
      </c>
      <c r="B763" s="34" t="s">
        <v>10</v>
      </c>
      <c r="C763" s="34" t="s">
        <v>342</v>
      </c>
      <c r="D763" s="34" t="s">
        <v>5059</v>
      </c>
      <c r="E763" s="34" t="s">
        <v>10</v>
      </c>
      <c r="F763" s="35">
        <v>42229</v>
      </c>
      <c r="G763" s="34" t="s">
        <v>5070</v>
      </c>
      <c r="H763" s="34" t="s">
        <v>5061</v>
      </c>
      <c r="I763" s="34" t="s">
        <v>2</v>
      </c>
      <c r="J763" s="36" t="s">
        <v>6160</v>
      </c>
      <c r="K763" s="34" t="s">
        <v>5609</v>
      </c>
      <c r="L763" s="34" t="s">
        <v>6161</v>
      </c>
      <c r="M763" s="37" t="s">
        <v>6162</v>
      </c>
    </row>
    <row r="764" spans="1:13" ht="15.75" thickBot="1" x14ac:dyDescent="0.3">
      <c r="A764" s="28">
        <v>46003.520740740743</v>
      </c>
      <c r="B764" s="29" t="s">
        <v>10</v>
      </c>
      <c r="C764" s="29" t="s">
        <v>2219</v>
      </c>
      <c r="D764" s="29" t="s">
        <v>6163</v>
      </c>
      <c r="E764" s="29" t="s">
        <v>28</v>
      </c>
      <c r="F764" s="30">
        <v>42543</v>
      </c>
      <c r="G764" s="29" t="s">
        <v>6164</v>
      </c>
      <c r="H764" s="29" t="s">
        <v>6165</v>
      </c>
      <c r="I764" s="29" t="s">
        <v>2</v>
      </c>
      <c r="J764" s="31" t="s">
        <v>6166</v>
      </c>
      <c r="K764" s="29" t="s">
        <v>6167</v>
      </c>
      <c r="L764" s="29" t="s">
        <v>6168</v>
      </c>
      <c r="M764" s="32" t="s">
        <v>6169</v>
      </c>
    </row>
    <row r="765" spans="1:13" ht="15.75" thickBot="1" x14ac:dyDescent="0.3">
      <c r="A765" s="33">
        <v>46003.521296296298</v>
      </c>
      <c r="B765" s="34" t="s">
        <v>905</v>
      </c>
      <c r="C765" s="34" t="s">
        <v>1993</v>
      </c>
      <c r="D765" s="34" t="s">
        <v>6170</v>
      </c>
      <c r="E765" s="34" t="s">
        <v>10</v>
      </c>
      <c r="F765" s="35">
        <v>41713</v>
      </c>
      <c r="G765" s="34" t="s">
        <v>6171</v>
      </c>
      <c r="H765" s="34" t="s">
        <v>6172</v>
      </c>
      <c r="I765" s="34" t="s">
        <v>2</v>
      </c>
      <c r="J765" s="36" t="s">
        <v>6173</v>
      </c>
      <c r="K765" s="34" t="s">
        <v>6140</v>
      </c>
      <c r="L765" s="34" t="s">
        <v>6174</v>
      </c>
      <c r="M765" s="37" t="s">
        <v>6175</v>
      </c>
    </row>
    <row r="766" spans="1:13" ht="15.75" thickBot="1" x14ac:dyDescent="0.3">
      <c r="A766" s="28">
        <v>46003.526064814818</v>
      </c>
      <c r="B766" s="29" t="s">
        <v>10</v>
      </c>
      <c r="C766" s="29" t="s">
        <v>342</v>
      </c>
      <c r="D766" s="29" t="s">
        <v>5059</v>
      </c>
      <c r="E766" s="29" t="s">
        <v>10</v>
      </c>
      <c r="F766" s="30">
        <v>42229</v>
      </c>
      <c r="G766" s="29" t="s">
        <v>5070</v>
      </c>
      <c r="H766" s="29" t="s">
        <v>5061</v>
      </c>
      <c r="I766" s="29" t="s">
        <v>2</v>
      </c>
      <c r="J766" s="31" t="s">
        <v>6176</v>
      </c>
      <c r="K766" s="29" t="s">
        <v>5609</v>
      </c>
      <c r="L766" s="29" t="s">
        <v>6177</v>
      </c>
      <c r="M766" s="32" t="s">
        <v>6178</v>
      </c>
    </row>
    <row r="767" spans="1:13" ht="15.75" thickBot="1" x14ac:dyDescent="0.3">
      <c r="A767" s="33">
        <v>46003.528854166667</v>
      </c>
      <c r="B767" s="34" t="s">
        <v>10</v>
      </c>
      <c r="C767" s="34" t="s">
        <v>2219</v>
      </c>
      <c r="D767" s="34" t="s">
        <v>6179</v>
      </c>
      <c r="E767" s="34" t="s">
        <v>28</v>
      </c>
      <c r="F767" s="35">
        <v>42058</v>
      </c>
      <c r="G767" s="34" t="s">
        <v>6180</v>
      </c>
      <c r="H767" s="34" t="s">
        <v>6181</v>
      </c>
      <c r="I767" s="34" t="s">
        <v>2</v>
      </c>
      <c r="J767" s="36" t="s">
        <v>6182</v>
      </c>
      <c r="K767" s="34" t="s">
        <v>6167</v>
      </c>
      <c r="L767" s="34" t="s">
        <v>6183</v>
      </c>
      <c r="M767" s="37" t="s">
        <v>6184</v>
      </c>
    </row>
    <row r="768" spans="1:13" ht="15.75" thickBot="1" x14ac:dyDescent="0.3">
      <c r="A768" s="28">
        <v>46003.531365740739</v>
      </c>
      <c r="B768" s="29" t="s">
        <v>10</v>
      </c>
      <c r="C768" s="29" t="s">
        <v>2219</v>
      </c>
      <c r="D768" s="29" t="s">
        <v>6185</v>
      </c>
      <c r="E768" s="29" t="s">
        <v>28</v>
      </c>
      <c r="F768" s="30">
        <v>42158</v>
      </c>
      <c r="G768" s="29" t="s">
        <v>6186</v>
      </c>
      <c r="H768" s="29" t="s">
        <v>6187</v>
      </c>
      <c r="I768" s="29" t="s">
        <v>2</v>
      </c>
      <c r="J768" s="31" t="s">
        <v>6188</v>
      </c>
      <c r="K768" s="29" t="s">
        <v>6167</v>
      </c>
      <c r="L768" s="29" t="s">
        <v>6189</v>
      </c>
      <c r="M768" s="32" t="s">
        <v>6190</v>
      </c>
    </row>
    <row r="769" spans="1:13" ht="15.75" thickBot="1" x14ac:dyDescent="0.3">
      <c r="A769" s="33">
        <v>46003.531840277778</v>
      </c>
      <c r="B769" s="34" t="s">
        <v>10</v>
      </c>
      <c r="C769" s="34" t="s">
        <v>671</v>
      </c>
      <c r="D769" s="34" t="s">
        <v>6191</v>
      </c>
      <c r="E769" s="34" t="s">
        <v>6192</v>
      </c>
      <c r="F769" s="35">
        <v>41481</v>
      </c>
      <c r="G769" s="34" t="s">
        <v>6193</v>
      </c>
      <c r="H769" s="34" t="s">
        <v>6194</v>
      </c>
      <c r="I769" s="34" t="s">
        <v>66</v>
      </c>
      <c r="J769" s="36" t="s">
        <v>6195</v>
      </c>
      <c r="K769" s="34" t="s">
        <v>6023</v>
      </c>
      <c r="L769" s="34" t="s">
        <v>6196</v>
      </c>
      <c r="M769" s="37" t="s">
        <v>6197</v>
      </c>
    </row>
    <row r="770" spans="1:13" ht="15.75" thickBot="1" x14ac:dyDescent="0.3">
      <c r="A770" s="28">
        <v>46003.532569444447</v>
      </c>
      <c r="B770" s="29" t="s">
        <v>905</v>
      </c>
      <c r="C770" s="29" t="s">
        <v>1993</v>
      </c>
      <c r="D770" s="29" t="s">
        <v>6198</v>
      </c>
      <c r="E770" s="29" t="s">
        <v>10</v>
      </c>
      <c r="F770" s="30">
        <v>41207</v>
      </c>
      <c r="G770" s="29" t="s">
        <v>6199</v>
      </c>
      <c r="H770" s="29" t="s">
        <v>6200</v>
      </c>
      <c r="I770" s="29" t="s">
        <v>2</v>
      </c>
      <c r="J770" s="31" t="s">
        <v>6201</v>
      </c>
      <c r="K770" s="29" t="s">
        <v>6140</v>
      </c>
      <c r="L770" s="29" t="s">
        <v>6202</v>
      </c>
      <c r="M770" s="32" t="s">
        <v>6203</v>
      </c>
    </row>
    <row r="771" spans="1:13" ht="15.75" thickBot="1" x14ac:dyDescent="0.3">
      <c r="A771" s="33">
        <v>46003.532962962963</v>
      </c>
      <c r="B771" s="34" t="s">
        <v>10</v>
      </c>
      <c r="C771" s="34" t="s">
        <v>2219</v>
      </c>
      <c r="D771" s="34" t="s">
        <v>6185</v>
      </c>
      <c r="E771" s="34" t="s">
        <v>28</v>
      </c>
      <c r="F771" s="35">
        <v>42158</v>
      </c>
      <c r="G771" s="34" t="s">
        <v>6186</v>
      </c>
      <c r="H771" s="34" t="s">
        <v>6187</v>
      </c>
      <c r="I771" s="34" t="s">
        <v>2</v>
      </c>
      <c r="J771" s="36" t="s">
        <v>6204</v>
      </c>
      <c r="K771" s="34" t="s">
        <v>6167</v>
      </c>
      <c r="L771" s="34" t="s">
        <v>6205</v>
      </c>
      <c r="M771" s="37" t="s">
        <v>6206</v>
      </c>
    </row>
    <row r="772" spans="1:13" ht="15.75" thickBot="1" x14ac:dyDescent="0.3">
      <c r="A772" s="28">
        <v>46003.535740740743</v>
      </c>
      <c r="B772" s="29" t="s">
        <v>10</v>
      </c>
      <c r="C772" s="29" t="s">
        <v>671</v>
      </c>
      <c r="D772" s="29" t="s">
        <v>5066</v>
      </c>
      <c r="E772" s="29" t="s">
        <v>10</v>
      </c>
      <c r="F772" s="30">
        <v>42057</v>
      </c>
      <c r="G772" s="29" t="s">
        <v>5080</v>
      </c>
      <c r="H772" s="29" t="s">
        <v>5067</v>
      </c>
      <c r="I772" s="29" t="s">
        <v>2</v>
      </c>
      <c r="J772" s="31" t="s">
        <v>6207</v>
      </c>
      <c r="K772" s="29" t="s">
        <v>5617</v>
      </c>
      <c r="L772" s="29" t="s">
        <v>6208</v>
      </c>
      <c r="M772" s="32" t="s">
        <v>6209</v>
      </c>
    </row>
    <row r="773" spans="1:13" ht="15.75" thickBot="1" x14ac:dyDescent="0.3">
      <c r="A773" s="33">
        <v>46003.541261574072</v>
      </c>
      <c r="B773" s="34" t="s">
        <v>10</v>
      </c>
      <c r="C773" s="34" t="s">
        <v>671</v>
      </c>
      <c r="D773" s="34" t="s">
        <v>5059</v>
      </c>
      <c r="E773" s="34" t="s">
        <v>10</v>
      </c>
      <c r="F773" s="35">
        <v>42229</v>
      </c>
      <c r="G773" s="34" t="s">
        <v>5070</v>
      </c>
      <c r="H773" s="34" t="s">
        <v>6210</v>
      </c>
      <c r="I773" s="34" t="s">
        <v>2</v>
      </c>
      <c r="J773" s="36" t="s">
        <v>6211</v>
      </c>
      <c r="K773" s="34" t="s">
        <v>6212</v>
      </c>
      <c r="L773" s="34" t="s">
        <v>6213</v>
      </c>
      <c r="M773" s="37" t="s">
        <v>6214</v>
      </c>
    </row>
    <row r="774" spans="1:13" ht="15.75" thickBot="1" x14ac:dyDescent="0.3">
      <c r="A774" s="28">
        <v>46003.544965277775</v>
      </c>
      <c r="B774" s="29" t="s">
        <v>10</v>
      </c>
      <c r="C774" s="29" t="s">
        <v>671</v>
      </c>
      <c r="D774" s="29" t="s">
        <v>5192</v>
      </c>
      <c r="E774" s="29" t="s">
        <v>365</v>
      </c>
      <c r="F774" s="30">
        <v>42539</v>
      </c>
      <c r="G774" s="29" t="s">
        <v>5193</v>
      </c>
      <c r="H774" s="29" t="s">
        <v>3905</v>
      </c>
      <c r="I774" s="29" t="s">
        <v>2</v>
      </c>
      <c r="J774" s="31" t="s">
        <v>6215</v>
      </c>
      <c r="K774" s="29" t="s">
        <v>6002</v>
      </c>
      <c r="L774" s="29" t="s">
        <v>6216</v>
      </c>
      <c r="M774" s="32" t="s">
        <v>6217</v>
      </c>
    </row>
    <row r="775" spans="1:13" ht="15.75" thickBot="1" x14ac:dyDescent="0.3">
      <c r="A775" s="33">
        <v>46003.549097222225</v>
      </c>
      <c r="B775" s="34" t="s">
        <v>10</v>
      </c>
      <c r="C775" s="34" t="s">
        <v>441</v>
      </c>
      <c r="D775" s="34" t="s">
        <v>6218</v>
      </c>
      <c r="E775" s="34" t="s">
        <v>6219</v>
      </c>
      <c r="F775" s="35">
        <v>41600</v>
      </c>
      <c r="G775" s="34" t="s">
        <v>6220</v>
      </c>
      <c r="H775" s="34" t="s">
        <v>6221</v>
      </c>
      <c r="I775" s="34" t="s">
        <v>66</v>
      </c>
      <c r="J775" s="36" t="s">
        <v>6222</v>
      </c>
      <c r="K775" s="34" t="s">
        <v>1383</v>
      </c>
      <c r="L775" s="34" t="s">
        <v>6223</v>
      </c>
      <c r="M775" s="37" t="s">
        <v>6224</v>
      </c>
    </row>
    <row r="776" spans="1:13" ht="15.75" thickBot="1" x14ac:dyDescent="0.3">
      <c r="A776" s="28">
        <v>46003.552210648151</v>
      </c>
      <c r="B776" s="29" t="s">
        <v>10</v>
      </c>
      <c r="C776" s="29" t="s">
        <v>671</v>
      </c>
      <c r="D776" s="29" t="s">
        <v>5154</v>
      </c>
      <c r="E776" s="29" t="s">
        <v>10</v>
      </c>
      <c r="F776" s="30">
        <v>41198</v>
      </c>
      <c r="G776" s="29" t="s">
        <v>6225</v>
      </c>
      <c r="H776" s="29" t="s">
        <v>2677</v>
      </c>
      <c r="I776" s="29" t="s">
        <v>66</v>
      </c>
      <c r="J776" s="31" t="s">
        <v>6226</v>
      </c>
      <c r="K776" s="29" t="s">
        <v>5900</v>
      </c>
      <c r="L776" s="29" t="s">
        <v>6227</v>
      </c>
      <c r="M776" s="32" t="s">
        <v>6228</v>
      </c>
    </row>
    <row r="777" spans="1:13" ht="15.75" thickBot="1" x14ac:dyDescent="0.3">
      <c r="A777" s="33">
        <v>46003.552534722221</v>
      </c>
      <c r="B777" s="34" t="s">
        <v>10</v>
      </c>
      <c r="C777" s="34" t="s">
        <v>671</v>
      </c>
      <c r="D777" s="34" t="s">
        <v>5073</v>
      </c>
      <c r="E777" s="34" t="s">
        <v>10</v>
      </c>
      <c r="F777" s="35">
        <v>41641</v>
      </c>
      <c r="G777" s="34" t="s">
        <v>5926</v>
      </c>
      <c r="H777" s="34" t="s">
        <v>5075</v>
      </c>
      <c r="I777" s="34" t="s">
        <v>2</v>
      </c>
      <c r="J777" s="36" t="s">
        <v>6229</v>
      </c>
      <c r="K777" s="34" t="s">
        <v>5641</v>
      </c>
      <c r="L777" s="34" t="s">
        <v>6230</v>
      </c>
      <c r="M777" s="37" t="s">
        <v>6231</v>
      </c>
    </row>
    <row r="778" spans="1:13" ht="15.75" thickBot="1" x14ac:dyDescent="0.3">
      <c r="A778" s="28">
        <v>46003.553356481483</v>
      </c>
      <c r="B778" s="29" t="s">
        <v>10</v>
      </c>
      <c r="C778" s="29" t="s">
        <v>441</v>
      </c>
      <c r="D778" s="29" t="s">
        <v>6232</v>
      </c>
      <c r="E778" s="29" t="s">
        <v>10</v>
      </c>
      <c r="F778" s="30">
        <v>42464</v>
      </c>
      <c r="G778" s="29" t="s">
        <v>6233</v>
      </c>
      <c r="H778" s="29" t="s">
        <v>6234</v>
      </c>
      <c r="I778" s="29" t="s">
        <v>2</v>
      </c>
      <c r="J778" s="31" t="s">
        <v>6235</v>
      </c>
      <c r="K778" s="29" t="s">
        <v>1383</v>
      </c>
      <c r="L778" s="29" t="s">
        <v>6236</v>
      </c>
      <c r="M778" s="32" t="s">
        <v>6237</v>
      </c>
    </row>
    <row r="779" spans="1:13" ht="15.75" thickBot="1" x14ac:dyDescent="0.3">
      <c r="A779" s="33">
        <v>46003.556354166663</v>
      </c>
      <c r="B779" s="34" t="s">
        <v>10</v>
      </c>
      <c r="C779" s="34" t="s">
        <v>2219</v>
      </c>
      <c r="D779" s="34" t="s">
        <v>6238</v>
      </c>
      <c r="E779" s="34" t="s">
        <v>28</v>
      </c>
      <c r="F779" s="35">
        <v>41789</v>
      </c>
      <c r="G779" s="34" t="s">
        <v>6239</v>
      </c>
      <c r="H779" s="34" t="s">
        <v>6240</v>
      </c>
      <c r="I779" s="34" t="s">
        <v>2</v>
      </c>
      <c r="J779" s="36" t="s">
        <v>6241</v>
      </c>
      <c r="K779" s="34" t="s">
        <v>6167</v>
      </c>
      <c r="L779" s="34" t="s">
        <v>6242</v>
      </c>
      <c r="M779" s="37" t="s">
        <v>6243</v>
      </c>
    </row>
    <row r="780" spans="1:13" ht="15.75" thickBot="1" x14ac:dyDescent="0.3">
      <c r="A780" s="28">
        <v>46003.556504629632</v>
      </c>
      <c r="B780" s="29" t="s">
        <v>10</v>
      </c>
      <c r="C780" s="29" t="s">
        <v>441</v>
      </c>
      <c r="D780" s="29" t="s">
        <v>6244</v>
      </c>
      <c r="E780" s="29" t="s">
        <v>10</v>
      </c>
      <c r="F780" s="30">
        <v>41738</v>
      </c>
      <c r="G780" s="29" t="s">
        <v>6245</v>
      </c>
      <c r="H780" s="29" t="s">
        <v>2247</v>
      </c>
      <c r="I780" s="29" t="s">
        <v>2</v>
      </c>
      <c r="J780" s="31" t="s">
        <v>6246</v>
      </c>
      <c r="K780" s="29" t="s">
        <v>1383</v>
      </c>
      <c r="L780" s="29" t="s">
        <v>6247</v>
      </c>
      <c r="M780" s="32" t="s">
        <v>6248</v>
      </c>
    </row>
    <row r="781" spans="1:13" ht="15.75" thickBot="1" x14ac:dyDescent="0.3">
      <c r="A781" s="33">
        <v>46003.562800925924</v>
      </c>
      <c r="B781" s="34" t="s">
        <v>10</v>
      </c>
      <c r="C781" s="34" t="s">
        <v>2219</v>
      </c>
      <c r="D781" s="34" t="s">
        <v>6249</v>
      </c>
      <c r="E781" s="34" t="s">
        <v>10</v>
      </c>
      <c r="F781" s="35">
        <v>42017</v>
      </c>
      <c r="G781" s="34" t="s">
        <v>6250</v>
      </c>
      <c r="H781" s="34" t="s">
        <v>6251</v>
      </c>
      <c r="I781" s="34" t="s">
        <v>66</v>
      </c>
      <c r="J781" s="36" t="s">
        <v>6252</v>
      </c>
      <c r="K781" s="34" t="s">
        <v>6253</v>
      </c>
      <c r="L781" s="34" t="s">
        <v>6254</v>
      </c>
      <c r="M781" s="37" t="s">
        <v>6255</v>
      </c>
    </row>
    <row r="782" spans="1:13" ht="15.75" thickBot="1" x14ac:dyDescent="0.3">
      <c r="A782" s="28">
        <v>46003.562847222223</v>
      </c>
      <c r="B782" s="29" t="s">
        <v>10</v>
      </c>
      <c r="C782" s="29" t="s">
        <v>441</v>
      </c>
      <c r="D782" s="29" t="s">
        <v>6256</v>
      </c>
      <c r="E782" s="29" t="s">
        <v>10</v>
      </c>
      <c r="F782" s="30">
        <v>41956</v>
      </c>
      <c r="G782" s="29" t="s">
        <v>6257</v>
      </c>
      <c r="H782" s="29" t="s">
        <v>6258</v>
      </c>
      <c r="I782" s="29" t="s">
        <v>2</v>
      </c>
      <c r="J782" s="31" t="s">
        <v>6259</v>
      </c>
      <c r="K782" s="29" t="s">
        <v>1383</v>
      </c>
      <c r="L782" s="29" t="s">
        <v>6260</v>
      </c>
      <c r="M782" s="32" t="s">
        <v>6261</v>
      </c>
    </row>
    <row r="783" spans="1:13" ht="15.75" thickBot="1" x14ac:dyDescent="0.3">
      <c r="A783" s="33">
        <v>46003.566550925927</v>
      </c>
      <c r="B783" s="34" t="s">
        <v>10</v>
      </c>
      <c r="C783" s="34" t="s">
        <v>2219</v>
      </c>
      <c r="D783" s="34" t="s">
        <v>2782</v>
      </c>
      <c r="E783" s="130">
        <v>42287</v>
      </c>
      <c r="F783" s="35">
        <v>42287</v>
      </c>
      <c r="G783" s="34" t="s">
        <v>2783</v>
      </c>
      <c r="H783" s="34" t="s">
        <v>2784</v>
      </c>
      <c r="I783" s="34" t="s">
        <v>66</v>
      </c>
      <c r="J783" s="36" t="s">
        <v>6262</v>
      </c>
      <c r="K783" s="34" t="s">
        <v>2786</v>
      </c>
      <c r="L783" s="34" t="s">
        <v>6263</v>
      </c>
      <c r="M783" s="37" t="s">
        <v>6264</v>
      </c>
    </row>
    <row r="784" spans="1:13" ht="15.75" thickBot="1" x14ac:dyDescent="0.3">
      <c r="A784" s="28">
        <v>46003.567789351851</v>
      </c>
      <c r="B784" s="29" t="s">
        <v>10</v>
      </c>
      <c r="C784" s="29" t="s">
        <v>441</v>
      </c>
      <c r="D784" s="29" t="s">
        <v>6265</v>
      </c>
      <c r="E784" s="29" t="s">
        <v>10</v>
      </c>
      <c r="F784" s="30">
        <v>42313</v>
      </c>
      <c r="G784" s="29" t="s">
        <v>6266</v>
      </c>
      <c r="H784" s="29" t="s">
        <v>6267</v>
      </c>
      <c r="I784" s="29" t="s">
        <v>2</v>
      </c>
      <c r="J784" s="31" t="s">
        <v>6268</v>
      </c>
      <c r="K784" s="29" t="s">
        <v>1383</v>
      </c>
      <c r="L784" s="29" t="s">
        <v>6269</v>
      </c>
      <c r="M784" s="32" t="s">
        <v>6270</v>
      </c>
    </row>
    <row r="785" spans="1:13" ht="15.75" thickBot="1" x14ac:dyDescent="0.3">
      <c r="A785" s="33">
        <v>46003.570567129631</v>
      </c>
      <c r="B785" s="34" t="s">
        <v>10</v>
      </c>
      <c r="C785" s="34" t="s">
        <v>441</v>
      </c>
      <c r="D785" s="34" t="s">
        <v>6271</v>
      </c>
      <c r="E785" s="34" t="s">
        <v>10</v>
      </c>
      <c r="F785" s="35">
        <v>42548</v>
      </c>
      <c r="G785" s="34" t="s">
        <v>6272</v>
      </c>
      <c r="H785" s="34" t="s">
        <v>6273</v>
      </c>
      <c r="I785" s="34" t="s">
        <v>66</v>
      </c>
      <c r="J785" s="36" t="s">
        <v>6274</v>
      </c>
      <c r="K785" s="34" t="s">
        <v>1383</v>
      </c>
      <c r="L785" s="34" t="s">
        <v>6275</v>
      </c>
      <c r="M785" s="37" t="s">
        <v>6276</v>
      </c>
    </row>
    <row r="786" spans="1:13" ht="15.75" thickBot="1" x14ac:dyDescent="0.3">
      <c r="A786" s="28">
        <v>46003.573819444442</v>
      </c>
      <c r="B786" s="29" t="s">
        <v>10</v>
      </c>
      <c r="C786" s="29" t="s">
        <v>441</v>
      </c>
      <c r="D786" s="29" t="s">
        <v>6277</v>
      </c>
      <c r="E786" s="29" t="s">
        <v>59</v>
      </c>
      <c r="F786" s="30">
        <v>42151</v>
      </c>
      <c r="G786" s="29" t="s">
        <v>6278</v>
      </c>
      <c r="H786" s="29" t="s">
        <v>6279</v>
      </c>
      <c r="I786" s="29" t="s">
        <v>66</v>
      </c>
      <c r="J786" s="31" t="s">
        <v>6280</v>
      </c>
      <c r="K786" s="29" t="s">
        <v>1383</v>
      </c>
      <c r="L786" s="29" t="s">
        <v>6281</v>
      </c>
      <c r="M786" s="32" t="s">
        <v>6282</v>
      </c>
    </row>
    <row r="787" spans="1:13" ht="15.75" thickBot="1" x14ac:dyDescent="0.3">
      <c r="A787" s="33">
        <v>46003.576249999998</v>
      </c>
      <c r="B787" s="34" t="s">
        <v>10</v>
      </c>
      <c r="C787" s="34" t="s">
        <v>3345</v>
      </c>
      <c r="D787" s="34" t="s">
        <v>6283</v>
      </c>
      <c r="E787" s="34" t="s">
        <v>10</v>
      </c>
      <c r="F787" s="35">
        <v>42615</v>
      </c>
      <c r="G787" s="34" t="s">
        <v>6284</v>
      </c>
      <c r="H787" s="34" t="s">
        <v>6285</v>
      </c>
      <c r="I787" s="34" t="s">
        <v>66</v>
      </c>
      <c r="J787" s="36" t="s">
        <v>6286</v>
      </c>
      <c r="K787" s="34" t="s">
        <v>6287</v>
      </c>
      <c r="L787" s="34" t="s">
        <v>6288</v>
      </c>
      <c r="M787" s="37" t="s">
        <v>6289</v>
      </c>
    </row>
    <row r="788" spans="1:13" ht="15.75" thickBot="1" x14ac:dyDescent="0.3">
      <c r="A788" s="28">
        <v>46003.577511574076</v>
      </c>
      <c r="B788" s="29" t="s">
        <v>10</v>
      </c>
      <c r="C788" s="29" t="s">
        <v>441</v>
      </c>
      <c r="D788" s="29" t="s">
        <v>6290</v>
      </c>
      <c r="E788" s="29" t="s">
        <v>28</v>
      </c>
      <c r="F788" s="30">
        <v>41647</v>
      </c>
      <c r="G788" s="29" t="s">
        <v>6291</v>
      </c>
      <c r="H788" s="29" t="s">
        <v>6292</v>
      </c>
      <c r="I788" s="29" t="s">
        <v>66</v>
      </c>
      <c r="J788" s="31" t="s">
        <v>6293</v>
      </c>
      <c r="K788" s="29" t="s">
        <v>1383</v>
      </c>
      <c r="L788" s="29" t="s">
        <v>6294</v>
      </c>
      <c r="M788" s="32" t="s">
        <v>6295</v>
      </c>
    </row>
    <row r="789" spans="1:13" ht="15.75" thickBot="1" x14ac:dyDescent="0.3">
      <c r="A789" s="33">
        <v>46003.579664351855</v>
      </c>
      <c r="B789" s="34" t="s">
        <v>10</v>
      </c>
      <c r="C789" s="34" t="s">
        <v>441</v>
      </c>
      <c r="D789" s="34" t="s">
        <v>6296</v>
      </c>
      <c r="E789" s="34" t="s">
        <v>10</v>
      </c>
      <c r="F789" s="35">
        <v>41691</v>
      </c>
      <c r="G789" s="34" t="s">
        <v>6297</v>
      </c>
      <c r="H789" s="34" t="s">
        <v>6298</v>
      </c>
      <c r="I789" s="34" t="s">
        <v>66</v>
      </c>
      <c r="J789" s="36" t="s">
        <v>6299</v>
      </c>
      <c r="K789" s="34" t="s">
        <v>1383</v>
      </c>
      <c r="L789" s="34" t="s">
        <v>6300</v>
      </c>
      <c r="M789" s="37" t="s">
        <v>6301</v>
      </c>
    </row>
    <row r="790" spans="1:13" ht="15.75" thickBot="1" x14ac:dyDescent="0.3">
      <c r="A790" s="28">
        <v>46003.581296296295</v>
      </c>
      <c r="B790" s="29" t="s">
        <v>10</v>
      </c>
      <c r="C790" s="29" t="s">
        <v>3345</v>
      </c>
      <c r="D790" s="29" t="s">
        <v>6302</v>
      </c>
      <c r="E790" s="29" t="s">
        <v>10</v>
      </c>
      <c r="F790" s="30">
        <v>41279</v>
      </c>
      <c r="G790" s="29" t="s">
        <v>6303</v>
      </c>
      <c r="H790" s="29" t="s">
        <v>6304</v>
      </c>
      <c r="I790" s="29" t="s">
        <v>2</v>
      </c>
      <c r="J790" s="31" t="s">
        <v>6305</v>
      </c>
      <c r="K790" s="29" t="s">
        <v>6287</v>
      </c>
      <c r="L790" s="29" t="s">
        <v>6306</v>
      </c>
      <c r="M790" s="32" t="s">
        <v>6307</v>
      </c>
    </row>
    <row r="791" spans="1:13" ht="15.75" thickBot="1" x14ac:dyDescent="0.3">
      <c r="A791" s="33">
        <v>46003.582615740743</v>
      </c>
      <c r="B791" s="34" t="s">
        <v>10</v>
      </c>
      <c r="C791" s="34" t="s">
        <v>441</v>
      </c>
      <c r="D791" s="34" t="s">
        <v>6308</v>
      </c>
      <c r="E791" s="34" t="s">
        <v>10</v>
      </c>
      <c r="F791" s="35">
        <v>42137</v>
      </c>
      <c r="G791" s="34" t="s">
        <v>6266</v>
      </c>
      <c r="H791" s="34" t="s">
        <v>6309</v>
      </c>
      <c r="I791" s="34" t="s">
        <v>66</v>
      </c>
      <c r="J791" s="36" t="s">
        <v>6310</v>
      </c>
      <c r="K791" s="34" t="s">
        <v>1383</v>
      </c>
      <c r="L791" s="34" t="s">
        <v>6311</v>
      </c>
      <c r="M791" s="37" t="s">
        <v>6312</v>
      </c>
    </row>
    <row r="792" spans="1:13" ht="15.75" thickBot="1" x14ac:dyDescent="0.3">
      <c r="A792" s="28">
        <v>46003.585763888892</v>
      </c>
      <c r="B792" s="29" t="s">
        <v>10</v>
      </c>
      <c r="C792" s="29" t="s">
        <v>441</v>
      </c>
      <c r="D792" s="29" t="s">
        <v>6313</v>
      </c>
      <c r="E792" s="29" t="s">
        <v>10</v>
      </c>
      <c r="F792" s="30">
        <v>41755</v>
      </c>
      <c r="G792" s="29" t="s">
        <v>6314</v>
      </c>
      <c r="H792" s="29" t="s">
        <v>6315</v>
      </c>
      <c r="I792" s="29" t="s">
        <v>66</v>
      </c>
      <c r="J792" s="31" t="s">
        <v>6316</v>
      </c>
      <c r="K792" s="29" t="s">
        <v>1383</v>
      </c>
      <c r="L792" s="29" t="s">
        <v>6317</v>
      </c>
      <c r="M792" s="32" t="s">
        <v>6318</v>
      </c>
    </row>
    <row r="793" spans="1:13" ht="15.75" thickBot="1" x14ac:dyDescent="0.3">
      <c r="A793" s="33">
        <v>46003.58630787037</v>
      </c>
      <c r="B793" s="34" t="s">
        <v>10</v>
      </c>
      <c r="C793" s="34" t="s">
        <v>3345</v>
      </c>
      <c r="D793" s="34" t="s">
        <v>6319</v>
      </c>
      <c r="E793" s="34" t="s">
        <v>10</v>
      </c>
      <c r="F793" s="35">
        <v>40843</v>
      </c>
      <c r="G793" s="34" t="s">
        <v>6320</v>
      </c>
      <c r="H793" s="34" t="s">
        <v>6321</v>
      </c>
      <c r="I793" s="34" t="s">
        <v>66</v>
      </c>
      <c r="J793" s="36" t="s">
        <v>6322</v>
      </c>
      <c r="K793" s="34" t="s">
        <v>6287</v>
      </c>
      <c r="L793" s="34" t="s">
        <v>6323</v>
      </c>
      <c r="M793" s="37" t="s">
        <v>6324</v>
      </c>
    </row>
    <row r="794" spans="1:13" ht="15.75" thickBot="1" x14ac:dyDescent="0.3">
      <c r="A794" s="28">
        <v>46003.588182870371</v>
      </c>
      <c r="B794" s="29" t="s">
        <v>10</v>
      </c>
      <c r="C794" s="29" t="s">
        <v>3345</v>
      </c>
      <c r="D794" s="29" t="s">
        <v>6325</v>
      </c>
      <c r="E794" s="29" t="s">
        <v>59</v>
      </c>
      <c r="F794" s="30">
        <v>42168</v>
      </c>
      <c r="G794" s="29" t="s">
        <v>6326</v>
      </c>
      <c r="H794" s="29" t="s">
        <v>6327</v>
      </c>
      <c r="I794" s="29" t="s">
        <v>2</v>
      </c>
      <c r="J794" s="31" t="s">
        <v>6328</v>
      </c>
      <c r="K794" s="29" t="s">
        <v>6287</v>
      </c>
      <c r="L794" s="29" t="s">
        <v>6329</v>
      </c>
      <c r="M794" s="32" t="s">
        <v>6330</v>
      </c>
    </row>
    <row r="795" spans="1:13" ht="15.75" thickBot="1" x14ac:dyDescent="0.3">
      <c r="A795" s="33">
        <v>46003.588518518518</v>
      </c>
      <c r="B795" s="34" t="s">
        <v>10</v>
      </c>
      <c r="C795" s="34" t="s">
        <v>671</v>
      </c>
      <c r="D795" s="34" t="s">
        <v>5125</v>
      </c>
      <c r="E795" s="34" t="s">
        <v>10</v>
      </c>
      <c r="F795" s="35">
        <v>41977</v>
      </c>
      <c r="G795" s="34" t="s">
        <v>5129</v>
      </c>
      <c r="H795" s="34" t="s">
        <v>5126</v>
      </c>
      <c r="I795" s="34" t="s">
        <v>66</v>
      </c>
      <c r="J795" s="36" t="s">
        <v>6331</v>
      </c>
      <c r="K795" s="34" t="s">
        <v>5825</v>
      </c>
      <c r="L795" s="34" t="s">
        <v>6332</v>
      </c>
      <c r="M795" s="37" t="s">
        <v>6333</v>
      </c>
    </row>
    <row r="796" spans="1:13" ht="15.75" thickBot="1" x14ac:dyDescent="0.3">
      <c r="A796" s="28">
        <v>46003.589872685188</v>
      </c>
      <c r="B796" s="29" t="s">
        <v>10</v>
      </c>
      <c r="C796" s="29" t="s">
        <v>2219</v>
      </c>
      <c r="D796" s="29" t="s">
        <v>6334</v>
      </c>
      <c r="E796" s="29" t="s">
        <v>402</v>
      </c>
      <c r="F796" s="30">
        <v>42543</v>
      </c>
      <c r="G796" s="29" t="s">
        <v>6335</v>
      </c>
      <c r="H796" s="29" t="s">
        <v>6336</v>
      </c>
      <c r="I796" s="29" t="s">
        <v>2</v>
      </c>
      <c r="J796" s="31" t="s">
        <v>6337</v>
      </c>
      <c r="K796" s="29" t="s">
        <v>6338</v>
      </c>
      <c r="L796" s="29" t="s">
        <v>6339</v>
      </c>
      <c r="M796" s="32" t="s">
        <v>6340</v>
      </c>
    </row>
    <row r="797" spans="1:13" ht="15.75" thickBot="1" x14ac:dyDescent="0.3">
      <c r="A797" s="33">
        <v>46003.589965277781</v>
      </c>
      <c r="B797" s="34" t="s">
        <v>10</v>
      </c>
      <c r="C797" s="34" t="s">
        <v>441</v>
      </c>
      <c r="D797" s="34" t="s">
        <v>6341</v>
      </c>
      <c r="E797" s="34" t="s">
        <v>28</v>
      </c>
      <c r="F797" s="35">
        <v>41606</v>
      </c>
      <c r="G797" s="34" t="s">
        <v>6342</v>
      </c>
      <c r="H797" s="34" t="s">
        <v>6343</v>
      </c>
      <c r="I797" s="34" t="s">
        <v>66</v>
      </c>
      <c r="J797" s="36" t="s">
        <v>6344</v>
      </c>
      <c r="K797" s="34" t="s">
        <v>1383</v>
      </c>
      <c r="L797" s="34" t="s">
        <v>6345</v>
      </c>
      <c r="M797" s="37" t="s">
        <v>6346</v>
      </c>
    </row>
    <row r="798" spans="1:13" ht="15.75" thickBot="1" x14ac:dyDescent="0.3">
      <c r="A798" s="28">
        <v>46003.590231481481</v>
      </c>
      <c r="B798" s="29" t="s">
        <v>10</v>
      </c>
      <c r="C798" s="29" t="s">
        <v>3345</v>
      </c>
      <c r="D798" s="29" t="s">
        <v>6314</v>
      </c>
      <c r="E798" s="29" t="s">
        <v>10</v>
      </c>
      <c r="F798" s="30">
        <v>41938</v>
      </c>
      <c r="G798" s="29" t="s">
        <v>6347</v>
      </c>
      <c r="H798" s="29" t="s">
        <v>6348</v>
      </c>
      <c r="I798" s="29" t="s">
        <v>66</v>
      </c>
      <c r="J798" s="31" t="s">
        <v>6349</v>
      </c>
      <c r="K798" s="29" t="s">
        <v>6287</v>
      </c>
      <c r="L798" s="29" t="s">
        <v>6350</v>
      </c>
      <c r="M798" s="32" t="s">
        <v>6351</v>
      </c>
    </row>
    <row r="799" spans="1:13" ht="15.75" thickBot="1" x14ac:dyDescent="0.3">
      <c r="A799" s="33">
        <v>46003.590960648151</v>
      </c>
      <c r="B799" s="34" t="s">
        <v>10</v>
      </c>
      <c r="C799" s="34" t="s">
        <v>435</v>
      </c>
      <c r="D799" s="34" t="s">
        <v>775</v>
      </c>
      <c r="E799" s="34" t="s">
        <v>10</v>
      </c>
      <c r="F799" s="35">
        <v>41637</v>
      </c>
      <c r="G799" s="34" t="s">
        <v>6352</v>
      </c>
      <c r="H799" s="34" t="s">
        <v>6353</v>
      </c>
      <c r="I799" s="34" t="s">
        <v>66</v>
      </c>
      <c r="J799" s="36" t="s">
        <v>6354</v>
      </c>
      <c r="K799" s="34" t="s">
        <v>1793</v>
      </c>
      <c r="L799" s="34" t="s">
        <v>6355</v>
      </c>
      <c r="M799" s="37" t="s">
        <v>6356</v>
      </c>
    </row>
    <row r="800" spans="1:13" ht="15.75" thickBot="1" x14ac:dyDescent="0.3">
      <c r="A800" s="28">
        <v>46003.592974537038</v>
      </c>
      <c r="B800" s="29" t="s">
        <v>10</v>
      </c>
      <c r="C800" s="29" t="s">
        <v>441</v>
      </c>
      <c r="D800" s="29" t="s">
        <v>6357</v>
      </c>
      <c r="E800" s="29" t="s">
        <v>10</v>
      </c>
      <c r="F800" s="30">
        <v>41597</v>
      </c>
      <c r="G800" s="29" t="s">
        <v>6358</v>
      </c>
      <c r="H800" s="29" t="s">
        <v>6359</v>
      </c>
      <c r="I800" s="29" t="s">
        <v>66</v>
      </c>
      <c r="J800" s="31" t="s">
        <v>6360</v>
      </c>
      <c r="K800" s="29" t="s">
        <v>1383</v>
      </c>
      <c r="L800" s="29" t="s">
        <v>6361</v>
      </c>
      <c r="M800" s="32" t="s">
        <v>6362</v>
      </c>
    </row>
    <row r="801" spans="1:13" ht="15.75" thickBot="1" x14ac:dyDescent="0.3">
      <c r="A801" s="33">
        <v>46003.595277777778</v>
      </c>
      <c r="B801" s="34" t="s">
        <v>10</v>
      </c>
      <c r="C801" s="34" t="s">
        <v>441</v>
      </c>
      <c r="D801" s="34" t="s">
        <v>6363</v>
      </c>
      <c r="E801" s="34" t="s">
        <v>10</v>
      </c>
      <c r="F801" s="35">
        <v>42260</v>
      </c>
      <c r="G801" s="34" t="s">
        <v>6364</v>
      </c>
      <c r="H801" s="34" t="s">
        <v>6365</v>
      </c>
      <c r="I801" s="34" t="s">
        <v>66</v>
      </c>
      <c r="J801" s="36" t="s">
        <v>6366</v>
      </c>
      <c r="K801" s="34" t="s">
        <v>1383</v>
      </c>
      <c r="L801" s="34" t="s">
        <v>6367</v>
      </c>
      <c r="M801" s="37" t="s">
        <v>6368</v>
      </c>
    </row>
    <row r="802" spans="1:13" ht="15.75" thickBot="1" x14ac:dyDescent="0.3">
      <c r="A802" s="28">
        <v>46003.601076388892</v>
      </c>
      <c r="B802" s="29" t="s">
        <v>10</v>
      </c>
      <c r="C802" s="29" t="s">
        <v>441</v>
      </c>
      <c r="D802" s="29" t="s">
        <v>6369</v>
      </c>
      <c r="E802" s="29" t="s">
        <v>6370</v>
      </c>
      <c r="F802" s="30">
        <v>42439</v>
      </c>
      <c r="G802" s="29" t="s">
        <v>6371</v>
      </c>
      <c r="H802" s="29" t="s">
        <v>6372</v>
      </c>
      <c r="I802" s="29" t="s">
        <v>2</v>
      </c>
      <c r="J802" s="31" t="s">
        <v>6373</v>
      </c>
      <c r="K802" s="29" t="s">
        <v>1383</v>
      </c>
      <c r="L802" s="29" t="s">
        <v>6374</v>
      </c>
      <c r="M802" s="32" t="s">
        <v>6375</v>
      </c>
    </row>
    <row r="803" spans="1:13" ht="15.75" thickBot="1" x14ac:dyDescent="0.3">
      <c r="A803" s="33">
        <v>46003.605011574073</v>
      </c>
      <c r="B803" s="34" t="s">
        <v>10</v>
      </c>
      <c r="C803" s="34" t="s">
        <v>441</v>
      </c>
      <c r="D803" s="34" t="s">
        <v>6376</v>
      </c>
      <c r="E803" s="34" t="s">
        <v>28</v>
      </c>
      <c r="F803" s="35">
        <v>42692</v>
      </c>
      <c r="G803" s="34" t="s">
        <v>6377</v>
      </c>
      <c r="H803" s="34" t="s">
        <v>6378</v>
      </c>
      <c r="I803" s="34" t="s">
        <v>2</v>
      </c>
      <c r="J803" s="36" t="s">
        <v>6379</v>
      </c>
      <c r="K803" s="34" t="s">
        <v>1383</v>
      </c>
      <c r="L803" s="34" t="s">
        <v>6380</v>
      </c>
      <c r="M803" s="37" t="s">
        <v>6381</v>
      </c>
    </row>
    <row r="804" spans="1:13" ht="15.75" thickBot="1" x14ac:dyDescent="0.3">
      <c r="A804" s="28">
        <v>46003.608159722222</v>
      </c>
      <c r="B804" s="29" t="s">
        <v>10</v>
      </c>
      <c r="C804" s="29" t="s">
        <v>441</v>
      </c>
      <c r="D804" s="29" t="s">
        <v>6382</v>
      </c>
      <c r="E804" s="29" t="s">
        <v>10</v>
      </c>
      <c r="F804" s="30">
        <v>41821</v>
      </c>
      <c r="G804" s="29" t="s">
        <v>6383</v>
      </c>
      <c r="H804" s="29" t="s">
        <v>6384</v>
      </c>
      <c r="I804" s="29" t="s">
        <v>2</v>
      </c>
      <c r="J804" s="31" t="s">
        <v>6385</v>
      </c>
      <c r="K804" s="29" t="s">
        <v>1383</v>
      </c>
      <c r="L804" s="29" t="s">
        <v>6386</v>
      </c>
      <c r="M804" s="32" t="s">
        <v>6387</v>
      </c>
    </row>
    <row r="805" spans="1:13" ht="15.75" thickBot="1" x14ac:dyDescent="0.3">
      <c r="A805" s="40">
        <v>46003.612951388888</v>
      </c>
      <c r="B805" s="41" t="s">
        <v>10</v>
      </c>
      <c r="C805" s="41" t="s">
        <v>441</v>
      </c>
      <c r="D805" s="41" t="s">
        <v>6388</v>
      </c>
      <c r="E805" s="41" t="s">
        <v>10</v>
      </c>
      <c r="F805" s="42">
        <v>42080</v>
      </c>
      <c r="G805" s="41" t="s">
        <v>6389</v>
      </c>
      <c r="H805" s="41" t="s">
        <v>6390</v>
      </c>
      <c r="I805" s="41" t="s">
        <v>66</v>
      </c>
      <c r="J805" s="43" t="s">
        <v>6391</v>
      </c>
      <c r="K805" s="41" t="s">
        <v>1383</v>
      </c>
      <c r="L805" s="41" t="s">
        <v>6392</v>
      </c>
      <c r="M805" s="44" t="s">
        <v>6393</v>
      </c>
    </row>
  </sheetData>
  <hyperlinks>
    <hyperlink ref="J1" r:id="rId1" xr:uid="{83D2E00F-85B7-42C0-B9CE-BAF33A16874D}"/>
    <hyperlink ref="J2" r:id="rId2" xr:uid="{3370D21D-E3E5-451C-A1AC-128CD8590F25}"/>
    <hyperlink ref="M2" r:id="rId3" xr:uid="{63113F2C-C436-474E-85E9-6DF2E0CE57AD}"/>
    <hyperlink ref="J3" r:id="rId4" xr:uid="{DB3B9ADD-835A-4FE5-8E50-7150606A088E}"/>
    <hyperlink ref="M3" r:id="rId5" xr:uid="{C68B1125-D7F5-42CB-B8AA-A86DA316770D}"/>
    <hyperlink ref="J4" r:id="rId6" xr:uid="{692BF889-87CC-4608-BABC-1131839E174A}"/>
    <hyperlink ref="M4" r:id="rId7" xr:uid="{458A3FD8-A3FF-4654-AE60-42A22820367F}"/>
    <hyperlink ref="J5" r:id="rId8" xr:uid="{10D6C18C-766F-454C-BD09-31E4EDDBB857}"/>
    <hyperlink ref="M5" r:id="rId9" xr:uid="{23299B46-7B86-44A2-A469-503D377DF242}"/>
    <hyperlink ref="J6" r:id="rId10" xr:uid="{E6A7B80C-5DE5-4056-82B4-4B08B4173196}"/>
    <hyperlink ref="M6" r:id="rId11" xr:uid="{1172D6E8-854A-4147-ACB8-3D0031D18AC7}"/>
    <hyperlink ref="J7" r:id="rId12" xr:uid="{34AF3099-A7A3-44D1-A9EE-23C9F70B5DBB}"/>
    <hyperlink ref="M7" r:id="rId13" xr:uid="{01D5B7A3-2FED-4D89-BD7D-1E9FC28132FC}"/>
    <hyperlink ref="J8" r:id="rId14" xr:uid="{BD6DD773-0CF8-4E4C-980F-AF17DE39CB30}"/>
    <hyperlink ref="M8" r:id="rId15" xr:uid="{C19CF54D-0756-4999-B4E9-8A4B858A452C}"/>
    <hyperlink ref="J9" r:id="rId16" xr:uid="{EA8F2B03-E2D2-4B7C-8AB9-58A65A985EEE}"/>
    <hyperlink ref="M9" r:id="rId17" xr:uid="{82811F11-9D41-4AAF-B1F6-BA75C7AB2920}"/>
    <hyperlink ref="J10" r:id="rId18" xr:uid="{AB600CE8-AE70-4B65-9C62-9F1A6F7FB32F}"/>
    <hyperlink ref="M10" r:id="rId19" xr:uid="{74F424CE-21F2-4F5E-A5A4-1D4CE62661ED}"/>
    <hyperlink ref="J11" r:id="rId20" xr:uid="{9468899D-19DC-4C98-BF83-A0EE19257AF7}"/>
    <hyperlink ref="M11" r:id="rId21" xr:uid="{261FDB17-D6B2-46CA-8EAD-959F496D0971}"/>
    <hyperlink ref="J12" r:id="rId22" xr:uid="{B1A425E6-5F5D-4AF3-A565-EAA20288621D}"/>
    <hyperlink ref="M12" r:id="rId23" xr:uid="{6B32CA50-BFAA-4688-BA5F-2BAA06602BC0}"/>
    <hyperlink ref="J13" r:id="rId24" xr:uid="{C4E19C1C-CB7B-4E01-882A-A334F74F1928}"/>
    <hyperlink ref="M13" r:id="rId25" xr:uid="{367D0FE9-E2CB-4739-9204-688B71F50FE2}"/>
    <hyperlink ref="J14" r:id="rId26" xr:uid="{3D43055F-487F-4C63-96F4-3A445FF3A01D}"/>
    <hyperlink ref="M14" r:id="rId27" xr:uid="{8C1B91AB-541B-44A1-9308-2F382583B4CC}"/>
    <hyperlink ref="J15" r:id="rId28" xr:uid="{DDDB9F3A-04A8-4F3A-860A-85C3F36CE514}"/>
    <hyperlink ref="M15" r:id="rId29" xr:uid="{E6933C41-F2CA-47C8-8B72-2A1A4A949ADF}"/>
    <hyperlink ref="J16" r:id="rId30" xr:uid="{C648348B-72CC-4FC9-BD44-6B37A9B61893}"/>
    <hyperlink ref="M16" r:id="rId31" xr:uid="{F3AD940B-0ACF-4CB1-ABD3-62FE550C2146}"/>
    <hyperlink ref="J17" r:id="rId32" xr:uid="{CB3630C9-CE93-4AFA-88E8-EB3ABA338945}"/>
    <hyperlink ref="M17" r:id="rId33" xr:uid="{B3A79662-1585-4AC5-A5DE-3699F7D289C6}"/>
    <hyperlink ref="J18" r:id="rId34" xr:uid="{3E7DD809-3941-4A9E-9584-C7E88DA8BC96}"/>
    <hyperlink ref="M18" r:id="rId35" xr:uid="{1A3CE9C3-8340-4611-9A10-E2B21227C24B}"/>
    <hyperlink ref="J19" r:id="rId36" xr:uid="{AAC79B25-F282-4195-9920-578B299DDEEE}"/>
    <hyperlink ref="M19" r:id="rId37" xr:uid="{8AAFF3BC-C903-4688-BEB1-34C60FAEB3FA}"/>
    <hyperlink ref="J20" r:id="rId38" xr:uid="{AC2CD504-48E1-4A56-9A2B-9FFB256DA849}"/>
    <hyperlink ref="M20" r:id="rId39" xr:uid="{266A4ABE-8299-4704-9F92-F06BE0C15ADD}"/>
    <hyperlink ref="J21" r:id="rId40" xr:uid="{F81A1F0C-EFF5-427A-990E-6178E2D816DB}"/>
    <hyperlink ref="M21" r:id="rId41" xr:uid="{1C934058-4B49-41C2-843B-56AD517C4CA2}"/>
    <hyperlink ref="J22" r:id="rId42" xr:uid="{463AFA06-FDF4-43E6-BB7F-CBAFEBCDF1C7}"/>
    <hyperlink ref="M22" r:id="rId43" xr:uid="{6F6387AE-C8BD-445C-AE08-47AF2065AB7F}"/>
    <hyperlink ref="J23" r:id="rId44" xr:uid="{AF8C21C1-A4CA-4B58-9E28-90C156067BEC}"/>
    <hyperlink ref="M23" r:id="rId45" xr:uid="{0AA7C4CD-ADE5-4EF1-9EDB-DA247BD21A49}"/>
    <hyperlink ref="J24" r:id="rId46" xr:uid="{3D919898-CA7B-4352-820C-DA4FDA652D9D}"/>
    <hyperlink ref="M24" r:id="rId47" xr:uid="{4BBFC7E6-9FDA-4E71-9F8E-40FFFEDF5B7C}"/>
    <hyperlink ref="J25" r:id="rId48" xr:uid="{0B6F90C2-CDC8-4FD9-BD44-CE4C9589930C}"/>
    <hyperlink ref="M25" r:id="rId49" xr:uid="{0EA11BA4-87C9-4F13-8432-23B743711E90}"/>
    <hyperlink ref="J26" r:id="rId50" xr:uid="{2619ED8C-E175-4C81-B628-C13E311E5AAD}"/>
    <hyperlink ref="M26" r:id="rId51" xr:uid="{B8DD6DD8-A86F-4160-A7DA-E420951E4D76}"/>
    <hyperlink ref="J27" r:id="rId52" xr:uid="{7F85F7AD-E5B8-492C-B214-148689A8E239}"/>
    <hyperlink ref="M27" r:id="rId53" xr:uid="{D33D3ACF-702B-4325-8DB5-83875350C100}"/>
    <hyperlink ref="J28" r:id="rId54" xr:uid="{0F614F11-13FC-4F1F-8BA4-DF635F7A61D4}"/>
    <hyperlink ref="M28" r:id="rId55" xr:uid="{665D48BA-63C5-42EE-A5F0-5F254774D357}"/>
    <hyperlink ref="J29" r:id="rId56" xr:uid="{4BFC398C-FE0B-4FEB-A91B-1C4BFAC70281}"/>
    <hyperlink ref="M29" r:id="rId57" xr:uid="{2A5DC9C5-EF25-469D-B566-8BB9EDCA3CFC}"/>
    <hyperlink ref="J30" r:id="rId58" xr:uid="{E98A155D-D4D9-4B15-8D6C-A0C96992FA03}"/>
    <hyperlink ref="M30" r:id="rId59" xr:uid="{BF57C4D0-CA6C-42A0-BA5B-D2163824742B}"/>
    <hyperlink ref="J31" r:id="rId60" xr:uid="{9571CED2-0267-4FFF-B7F4-DB709255BE74}"/>
    <hyperlink ref="M31" r:id="rId61" xr:uid="{9DC94261-8BC0-4213-8510-9FA341CA5E0A}"/>
    <hyperlink ref="J32" r:id="rId62" xr:uid="{F0481595-4059-4459-8AC3-8B0D7A64E99D}"/>
    <hyperlink ref="M32" r:id="rId63" xr:uid="{EE87AEB9-9CE7-45A3-AFCA-D0D48EA21788}"/>
    <hyperlink ref="J33" r:id="rId64" xr:uid="{BBBD2E21-CD79-46E7-8CB9-2B963B673961}"/>
    <hyperlink ref="M33" r:id="rId65" xr:uid="{6DD49BA7-C5C8-4B5D-BC93-12D67F0023C8}"/>
    <hyperlink ref="J34" r:id="rId66" xr:uid="{DA732A19-3247-462B-A45F-7CBB08771155}"/>
    <hyperlink ref="M34" r:id="rId67" xr:uid="{43B08CC7-12F2-404F-B1F9-A5F3848AFB82}"/>
    <hyperlink ref="J35" r:id="rId68" xr:uid="{70DEDF1B-F91E-4BD4-84C4-88A9D78C2F07}"/>
    <hyperlink ref="M35" r:id="rId69" xr:uid="{5984B582-23E7-4483-A364-EB90C0C13693}"/>
    <hyperlink ref="J36" r:id="rId70" xr:uid="{CA62C79B-F269-4A65-B09D-8E4043A52E91}"/>
    <hyperlink ref="M36" r:id="rId71" xr:uid="{4F9BEBCC-B2E0-4203-980B-CF7254F0A2EA}"/>
    <hyperlink ref="J37" r:id="rId72" xr:uid="{ADFF5399-A40F-4667-B6C6-C6753EA11AAA}"/>
    <hyperlink ref="J38" r:id="rId73" xr:uid="{4DF2BCF5-14C5-454C-94B2-D3C5BF477E55}"/>
    <hyperlink ref="M38" r:id="rId74" xr:uid="{38320F42-28D0-49CE-BC2A-E1B9B630B6D4}"/>
    <hyperlink ref="J39" r:id="rId75" xr:uid="{A6EA10E3-DDED-4A50-A51D-66E838932FA0}"/>
    <hyperlink ref="M39" r:id="rId76" xr:uid="{79ABB1FE-AEBF-4D51-8AE0-DF8B7EA01626}"/>
    <hyperlink ref="J40" r:id="rId77" xr:uid="{AC0F03E7-0C8A-4EFC-BE59-FC832A9AF9A3}"/>
    <hyperlink ref="J41" r:id="rId78" xr:uid="{C67B9227-2B48-4FFB-B14E-CD85590BA168}"/>
    <hyperlink ref="J42" r:id="rId79" xr:uid="{60769204-D6E1-4F97-BBF8-8AB755B873AE}"/>
    <hyperlink ref="J43" r:id="rId80" xr:uid="{CF8B2968-67D3-482C-BDBF-5327F33C3E07}"/>
    <hyperlink ref="J44" r:id="rId81" xr:uid="{51E2F9D9-E386-451E-BC71-EB41571D03E6}"/>
    <hyperlink ref="J45" r:id="rId82" xr:uid="{D93B6347-6F81-496A-B3EF-33F961A3D629}"/>
    <hyperlink ref="J46" r:id="rId83" xr:uid="{0B732D05-2295-498C-B2D9-312ED7679DF4}"/>
    <hyperlink ref="M46" r:id="rId84" xr:uid="{79E454C3-15F7-40DD-A89C-E3A3AF8881B3}"/>
    <hyperlink ref="J47" r:id="rId85" xr:uid="{AD5FD3B0-7071-4325-9EE6-387DB7AFDC90}"/>
    <hyperlink ref="J48" r:id="rId86" xr:uid="{5F17EB07-3C87-4C0C-A1AC-E2C23C55E3BA}"/>
    <hyperlink ref="M48" r:id="rId87" xr:uid="{61EFEC73-5A67-4B3D-AB44-4B0126E12A09}"/>
    <hyperlink ref="J49" r:id="rId88" xr:uid="{057D6B9C-925C-4EBD-B428-0EA539D2A54E}"/>
    <hyperlink ref="J50" r:id="rId89" xr:uid="{5A8BB71D-9847-4B65-AD5B-A57EF126A37A}"/>
    <hyperlink ref="J51" r:id="rId90" xr:uid="{90068F92-0563-4D8D-909F-757E256C4EE9}"/>
    <hyperlink ref="J52" r:id="rId91" xr:uid="{17B02377-B8DD-48EC-8729-9666EA8BA4A6}"/>
    <hyperlink ref="M52" r:id="rId92" xr:uid="{7F18BD9A-CBB0-4316-9E60-C61F737C70C6}"/>
    <hyperlink ref="J53" r:id="rId93" xr:uid="{97097D89-E353-41F0-9058-B82108117AA7}"/>
    <hyperlink ref="M53" r:id="rId94" xr:uid="{C94961C0-319B-4446-B7A7-3259468673A5}"/>
    <hyperlink ref="J54" r:id="rId95" xr:uid="{98836A71-961B-4048-855A-3487C2CADAE3}"/>
    <hyperlink ref="M54" r:id="rId96" xr:uid="{C32F1FA8-B11C-4BA3-B370-8C300BFF0873}"/>
    <hyperlink ref="J55" r:id="rId97" xr:uid="{A7A15523-EF38-455A-9120-21B72930FE34}"/>
    <hyperlink ref="M55" r:id="rId98" xr:uid="{EB9A0437-4E4D-4EAF-824C-749527063AD0}"/>
    <hyperlink ref="J56" r:id="rId99" xr:uid="{AC36F675-899C-42D8-9543-65FA36AD13DC}"/>
    <hyperlink ref="M56" r:id="rId100" xr:uid="{417A40C6-72CF-4D40-916D-C89277248C6D}"/>
    <hyperlink ref="J57" r:id="rId101" xr:uid="{D72B627D-2F29-4862-B39D-57CBC432B78B}"/>
    <hyperlink ref="M57" r:id="rId102" xr:uid="{7DBF677B-A99A-408A-B6F8-E8EDF1D124DB}"/>
    <hyperlink ref="J58" r:id="rId103" xr:uid="{98DA3DAA-D85E-4E7C-9D83-1B94D215E1C0}"/>
    <hyperlink ref="M58" r:id="rId104" xr:uid="{D7F82F18-AA30-44C9-A737-3A2A0A1403BA}"/>
    <hyperlink ref="J59" r:id="rId105" xr:uid="{B6ED4C3F-B3EC-48B2-87A4-A8237551C9F9}"/>
    <hyperlink ref="J60" r:id="rId106" xr:uid="{98F51225-568A-453A-980A-3B092276F0CA}"/>
    <hyperlink ref="J61" r:id="rId107" xr:uid="{94FC9CCA-7E4E-4BA0-A92A-038A31F7C46C}"/>
    <hyperlink ref="J62" r:id="rId108" xr:uid="{1EE10D12-9FDB-403D-A0B6-C53242856AED}"/>
    <hyperlink ref="J63" r:id="rId109" xr:uid="{B267A0DF-BED7-4A32-AAC1-B63927A55FE1}"/>
    <hyperlink ref="J64" r:id="rId110" xr:uid="{41BC85E7-9200-4323-9552-A905EF446E35}"/>
    <hyperlink ref="J65" r:id="rId111" xr:uid="{EC4AE5AC-DCBC-419B-816E-1A66A288BB15}"/>
    <hyperlink ref="J66" r:id="rId112" xr:uid="{CE598389-8333-4022-9E01-789F7258CA4F}"/>
    <hyperlink ref="M66" r:id="rId113" xr:uid="{54A33182-92D3-4624-A564-F2A6B3A3CEC0}"/>
    <hyperlink ref="J67" r:id="rId114" xr:uid="{99D121F6-6CB9-4BCC-A2BF-E9FEB0BD56CE}"/>
    <hyperlink ref="J68" r:id="rId115" xr:uid="{8DA5F34C-EF5C-44E5-ABDA-8290EC04F1BD}"/>
    <hyperlink ref="M68" r:id="rId116" xr:uid="{7F631C58-CE2D-4171-AB89-1C83696FE171}"/>
    <hyperlink ref="J69" r:id="rId117" xr:uid="{7E1C22B8-6C6A-4522-9ED7-D6480503E8F1}"/>
    <hyperlink ref="M69" r:id="rId118" xr:uid="{139E78D2-36E7-4300-B044-6EA1F5084FD4}"/>
    <hyperlink ref="J70" r:id="rId119" xr:uid="{EA26DA41-F2F2-4E55-9F43-F29B31CC1400}"/>
    <hyperlink ref="M70" r:id="rId120" xr:uid="{4A0D56D5-456C-4ED6-B5C8-18FECE2BE97C}"/>
    <hyperlink ref="J71" r:id="rId121" xr:uid="{5FC1045C-33F9-4855-B655-5C7E41FE6B81}"/>
    <hyperlink ref="M71" r:id="rId122" xr:uid="{464ECE39-6B04-46D5-85D7-1DCF903FDA63}"/>
    <hyperlink ref="J72" r:id="rId123" xr:uid="{B31B7610-9BE8-465B-AF4E-1C5678CECC09}"/>
    <hyperlink ref="M72" r:id="rId124" xr:uid="{7FEE66C0-87C1-4E3D-B706-0A520AB9AC17}"/>
    <hyperlink ref="J73" r:id="rId125" xr:uid="{7158A873-0E2D-4B71-85B5-736ADF62893B}"/>
    <hyperlink ref="M73" r:id="rId126" xr:uid="{FDA18FE6-2C6F-4522-95CA-86913171B895}"/>
    <hyperlink ref="J74" r:id="rId127" xr:uid="{AFBF3FDA-5C53-405C-9795-D95EE8CE5164}"/>
    <hyperlink ref="M74" r:id="rId128" xr:uid="{BD8A41B5-3AC9-4768-AC60-BAF8257C48B4}"/>
    <hyperlink ref="J75" r:id="rId129" xr:uid="{CB37244E-C277-4B5C-B7C7-B5E564DA75C0}"/>
    <hyperlink ref="J76" r:id="rId130" xr:uid="{F76FB10C-2443-45D7-B8D5-18327D5591F2}"/>
    <hyperlink ref="M76" r:id="rId131" xr:uid="{0013B567-A2F7-416D-84D2-27C33316F9F9}"/>
    <hyperlink ref="J77" r:id="rId132" xr:uid="{F0B6816A-8823-4F61-BD3F-720666399408}"/>
    <hyperlink ref="J78" r:id="rId133" xr:uid="{23AA2856-0383-4F91-8272-034455B43315}"/>
    <hyperlink ref="J79" r:id="rId134" xr:uid="{14D728F4-1714-4A4E-864F-82533B3FBD72}"/>
    <hyperlink ref="J80" r:id="rId135" xr:uid="{BC254664-C268-47ED-B2B3-E249A021AC63}"/>
    <hyperlink ref="J81" r:id="rId136" xr:uid="{C6F72B29-5502-4A02-BD00-CF6589ED5AD3}"/>
    <hyperlink ref="J82" r:id="rId137" xr:uid="{E28C6834-A1E5-4B06-81EF-A9FEFC52E964}"/>
    <hyperlink ref="J83" r:id="rId138" xr:uid="{07B09280-6365-45DB-AACE-D43138FF4176}"/>
    <hyperlink ref="J84" r:id="rId139" xr:uid="{BDAD6E3E-9D8C-434B-B7F9-7D857CCF6E2A}"/>
    <hyperlink ref="J85" r:id="rId140" xr:uid="{12E6F315-4388-435B-9BC7-F286C58842BD}"/>
    <hyperlink ref="M85" r:id="rId141" xr:uid="{A6B36921-4F55-4E35-9A08-151AC72D19DB}"/>
    <hyperlink ref="J86" r:id="rId142" xr:uid="{70B3D707-D75B-40A5-B24E-1D6E7C0A2264}"/>
    <hyperlink ref="M86" r:id="rId143" xr:uid="{9EAE96FF-2E3A-4F9B-AA7B-8C8DA4050BA9}"/>
    <hyperlink ref="J87" r:id="rId144" xr:uid="{F663EBED-EA0E-4D1D-BF29-7E9DAC1A7DC9}"/>
    <hyperlink ref="J88" r:id="rId145" xr:uid="{049E6C07-A24E-426C-AD23-5F4A7C69D22C}"/>
    <hyperlink ref="M88" r:id="rId146" xr:uid="{3D8797B8-C1A3-494B-8D9D-44A1DDF1A416}"/>
    <hyperlink ref="J89" r:id="rId147" xr:uid="{6FCCAB29-8D5F-455B-99EE-A52282E0004F}"/>
    <hyperlink ref="M89" r:id="rId148" xr:uid="{F73BD361-B73B-4D65-A754-3AE2185A4036}"/>
    <hyperlink ref="J90" r:id="rId149" xr:uid="{292C8D66-3615-40DD-96E8-569DFA13EADA}"/>
    <hyperlink ref="M90" r:id="rId150" xr:uid="{5E3DF63D-2742-40CD-9D39-2FF7566E7192}"/>
    <hyperlink ref="J91" r:id="rId151" xr:uid="{7E29A248-C4EB-4BAC-B770-831ABED689C7}"/>
    <hyperlink ref="J92" r:id="rId152" xr:uid="{5E7701F2-8B75-4C4C-B463-25DEB1EEE178}"/>
    <hyperlink ref="J93" r:id="rId153" xr:uid="{350F14A1-643F-4D59-A56D-B46DEA40E3C9}"/>
    <hyperlink ref="J94" r:id="rId154" xr:uid="{46E43DAB-2144-40C7-965D-74E05D3B7D93}"/>
    <hyperlink ref="J95" r:id="rId155" xr:uid="{AEDBBDBD-8682-46E8-B40D-02D6A7C9B50D}"/>
    <hyperlink ref="M95" r:id="rId156" xr:uid="{101B0BAD-54DB-4F45-9695-D806AA9B32B5}"/>
    <hyperlink ref="J96" r:id="rId157" xr:uid="{750A98C9-39D8-40F4-9161-EF9BA51938BD}"/>
    <hyperlink ref="J97" r:id="rId158" xr:uid="{58B378B8-5DA7-4131-B8BD-B27310EE832C}"/>
    <hyperlink ref="J98" r:id="rId159" xr:uid="{89C769AA-6033-4B7E-85AD-6DB5A524C685}"/>
    <hyperlink ref="M98" r:id="rId160" xr:uid="{E7027912-00EE-4EF5-8006-366A73DD3490}"/>
    <hyperlink ref="J99" r:id="rId161" xr:uid="{643A56BF-651D-4A30-9156-F70D2ADD1D67}"/>
    <hyperlink ref="M99" r:id="rId162" xr:uid="{8D8008E8-73D6-4F95-BDEE-91F0A0E8212B}"/>
    <hyperlink ref="J100" r:id="rId163" xr:uid="{9DAD603A-F142-4C83-A43E-3F5DBBD4FF98}"/>
    <hyperlink ref="M100" r:id="rId164" xr:uid="{C335C3B4-1CF6-43F2-8C6A-2336EFD969D4}"/>
    <hyperlink ref="J101" r:id="rId165" xr:uid="{FB45B660-14B4-4DEF-9886-55E4D03009E5}"/>
    <hyperlink ref="J102" r:id="rId166" xr:uid="{2CFC89E9-1EE4-4C50-BEF4-981369D94116}"/>
    <hyperlink ref="M102" r:id="rId167" xr:uid="{E6DF6AFA-0A0C-40BD-9B31-50631C2C56C0}"/>
    <hyperlink ref="J103" r:id="rId168" xr:uid="{2D339906-037B-4884-966E-22B3482B898D}"/>
    <hyperlink ref="M103" r:id="rId169" xr:uid="{B0E8AD57-A63E-4A49-97E9-1D97CE1ED355}"/>
    <hyperlink ref="J104" r:id="rId170" xr:uid="{B323098E-1E99-4F15-8DFC-CCC9A080F3A1}"/>
    <hyperlink ref="M104" r:id="rId171" xr:uid="{F159D8E6-3746-4892-A34B-7CB32CB6BE66}"/>
    <hyperlink ref="J105" r:id="rId172" xr:uid="{58C40B2A-D7A1-4D76-9CD3-CAF9AAAC5945}"/>
    <hyperlink ref="M105" r:id="rId173" xr:uid="{A98FE5AF-4C5B-4347-A3ED-0A1FA0FD1B53}"/>
    <hyperlink ref="J106" r:id="rId174" xr:uid="{FECABD09-EEDD-4811-9D94-AE1563DCACD4}"/>
    <hyperlink ref="J107" r:id="rId175" xr:uid="{4C7FF76E-009A-463A-8932-9556372DE621}"/>
    <hyperlink ref="M107" r:id="rId176" xr:uid="{21F06A21-5476-4940-A11F-5ECDF67DEBC3}"/>
    <hyperlink ref="J108" r:id="rId177" xr:uid="{322F8EE9-3593-4252-95B4-0830E70FE1C8}"/>
    <hyperlink ref="M108" r:id="rId178" xr:uid="{7863887F-3D72-4431-892F-C31DACB11F33}"/>
    <hyperlink ref="J109" r:id="rId179" xr:uid="{71F0B2F8-06A8-4BF6-874F-77C82FB2A2D7}"/>
    <hyperlink ref="J110" r:id="rId180" xr:uid="{4E6F16C0-ABD2-44DE-BD90-97ECB951550C}"/>
    <hyperlink ref="M110" r:id="rId181" xr:uid="{94AF10D5-46B9-4778-930B-8F7D8A10E65D}"/>
    <hyperlink ref="J111" r:id="rId182" xr:uid="{395EC2A6-55D5-4010-9161-4B4DCB8088B8}"/>
    <hyperlink ref="M111" r:id="rId183" xr:uid="{F8C9439B-2707-4F41-B11C-44AC6BC4BCEA}"/>
    <hyperlink ref="J112" r:id="rId184" xr:uid="{3C15088C-0959-4FCF-825B-0F60A720B200}"/>
    <hyperlink ref="J113" r:id="rId185" xr:uid="{801A2613-5B2C-44A3-8665-46BCD5CAA376}"/>
    <hyperlink ref="J114" r:id="rId186" xr:uid="{0EE85CEC-6F67-4367-8EDE-B069535BC9B7}"/>
    <hyperlink ref="J115" r:id="rId187" xr:uid="{001B4C96-AC1F-4BB2-8600-AFBF3B3788CE}"/>
    <hyperlink ref="M115" r:id="rId188" xr:uid="{4DDBB739-D352-4AAF-8AB1-F76D9765E95F}"/>
    <hyperlink ref="J116" r:id="rId189" xr:uid="{A7CFEC1E-FF99-4348-A70D-E7EAF412B280}"/>
    <hyperlink ref="M116" r:id="rId190" xr:uid="{A75F5E7A-4DDC-4A9A-B7B3-2425E0E3B70F}"/>
    <hyperlink ref="J117" r:id="rId191" xr:uid="{552EDA94-4706-480B-8B4A-CC92FD5D5F0C}"/>
    <hyperlink ref="M117" r:id="rId192" xr:uid="{B5E64EE2-B4DD-44AC-BEC7-829D845C3385}"/>
    <hyperlink ref="J118" r:id="rId193" xr:uid="{1B95F200-A972-417C-906B-5C1CC9BC5B9B}"/>
    <hyperlink ref="M118" r:id="rId194" xr:uid="{E79F81CF-9265-4097-BCEE-507FAB84A5E8}"/>
    <hyperlink ref="J119" r:id="rId195" xr:uid="{FADB4D38-A653-4E3E-AC4C-A4A89A311C0B}"/>
    <hyperlink ref="M119" r:id="rId196" xr:uid="{FDFEAE58-BD5A-44B6-A71A-46CE54855033}"/>
    <hyperlink ref="J120" r:id="rId197" xr:uid="{D9BAD3B3-F770-4C3A-91A3-55DD70051813}"/>
    <hyperlink ref="M120" r:id="rId198" xr:uid="{C8D1812B-6AD8-493C-9582-3B584A22F335}"/>
    <hyperlink ref="J121" r:id="rId199" xr:uid="{6546BA62-2E50-4DCB-A6A0-9180CE06A1D7}"/>
    <hyperlink ref="M121" r:id="rId200" xr:uid="{D9CAA922-C91F-4C68-88D4-5CA2B8D03550}"/>
    <hyperlink ref="J122" r:id="rId201" xr:uid="{AE9785DB-4240-49AD-AB3C-8319147988F9}"/>
    <hyperlink ref="M122" r:id="rId202" xr:uid="{0A5BD5D8-DC27-462A-A3EF-9FF8F10E4E62}"/>
    <hyperlink ref="J123" r:id="rId203" xr:uid="{42DA0892-37DD-4EF2-8BFB-6D19B01E67C2}"/>
    <hyperlink ref="M123" r:id="rId204" xr:uid="{56062E98-5DD3-49DB-A2ED-9607DC53ED5D}"/>
    <hyperlink ref="J124" r:id="rId205" xr:uid="{9DE84CFF-4188-481C-941C-72AEB13E8BFF}"/>
    <hyperlink ref="J125" r:id="rId206" xr:uid="{2AF8A192-F1BA-4163-8087-7E8A3DAA0AA5}"/>
    <hyperlink ref="J126" r:id="rId207" xr:uid="{E426C92D-CA36-40E0-8E26-B169429B769F}"/>
    <hyperlink ref="J127" r:id="rId208" xr:uid="{76B2A492-E1FE-4F79-B7C0-F055DF9F819E}"/>
    <hyperlink ref="M127" r:id="rId209" xr:uid="{1044A4D7-AD1F-4723-AED1-0823E4DEB558}"/>
    <hyperlink ref="J128" r:id="rId210" xr:uid="{45936B87-74ED-4BB7-A6CC-743E92256235}"/>
    <hyperlink ref="M128" r:id="rId211" xr:uid="{F3845AB5-20E4-4F2B-9ED5-DD89F7ADFBD2}"/>
    <hyperlink ref="J129" r:id="rId212" xr:uid="{6F44E2AC-9B50-47B3-BED1-2D054F5A6548}"/>
    <hyperlink ref="M129" r:id="rId213" xr:uid="{A013BF92-5E1F-4875-AEEE-8D32BCF947F4}"/>
    <hyperlink ref="J130" r:id="rId214" xr:uid="{F3B0D352-4F31-4C74-A8B3-46F500D29B8C}"/>
    <hyperlink ref="M130" r:id="rId215" xr:uid="{9033E8AA-BD77-4F0D-A90C-11FEC701F454}"/>
    <hyperlink ref="J131" r:id="rId216" xr:uid="{5D9B44FE-F71E-40F1-944A-7713BD039C91}"/>
    <hyperlink ref="M131" r:id="rId217" xr:uid="{E6F829AF-A88F-48BC-961A-071D1F7066CD}"/>
    <hyperlink ref="J132" r:id="rId218" xr:uid="{19294BC4-BD4A-440E-A2C3-F3259FD5755B}"/>
    <hyperlink ref="M132" r:id="rId219" xr:uid="{C22631F5-7672-4E3F-A969-45D2293F7DC9}"/>
    <hyperlink ref="J133" r:id="rId220" xr:uid="{25C7A9B5-4528-4357-9CA9-479D5D78616C}"/>
    <hyperlink ref="J134" r:id="rId221" xr:uid="{72753661-61BF-4842-A12F-C9E203A6C915}"/>
    <hyperlink ref="J135" r:id="rId222" xr:uid="{B4034E03-BCE9-4ACB-80A1-D014042F6C32}"/>
    <hyperlink ref="J136" r:id="rId223" xr:uid="{6A7E9CA1-EC72-401C-B0DC-B773C5411F01}"/>
    <hyperlink ref="J137" r:id="rId224" xr:uid="{CB22B52F-431A-47B7-8B48-EB698CFE0501}"/>
    <hyperlink ref="M137" r:id="rId225" xr:uid="{AE6005A3-47C0-490C-8881-EBA0C49B4AAB}"/>
    <hyperlink ref="J138" r:id="rId226" xr:uid="{755C7A51-A42A-4DAB-854E-9610FD1865F4}"/>
    <hyperlink ref="M138" r:id="rId227" xr:uid="{E862CB04-D749-4E4D-BB32-78F895970776}"/>
    <hyperlink ref="J139" r:id="rId228" xr:uid="{1075C4BF-6D0D-4C20-8B19-20E7BE061662}"/>
    <hyperlink ref="M139" r:id="rId229" xr:uid="{3B48B74C-8D25-4A57-AA14-B0D1BDAB9CBC}"/>
    <hyperlink ref="J140" r:id="rId230" xr:uid="{AF18CB61-A9DD-41C9-82B6-ECC00A381A87}"/>
    <hyperlink ref="M140" r:id="rId231" xr:uid="{FBD38A47-5FC3-41B9-B9D4-CDB844246E23}"/>
    <hyperlink ref="J141" r:id="rId232" xr:uid="{E086A841-01DF-40B6-B1F5-C641BD48BF0F}"/>
    <hyperlink ref="J142" r:id="rId233" xr:uid="{5A682ED7-A4BE-41A8-A289-2AEDB53BB205}"/>
    <hyperlink ref="M142" r:id="rId234" xr:uid="{7DDC3553-C7E1-43F6-A782-6ECED296C84F}"/>
    <hyperlink ref="J143" r:id="rId235" xr:uid="{DBE467DB-6323-41FF-A68B-D5115110FFFC}"/>
    <hyperlink ref="M143" r:id="rId236" xr:uid="{8C8FBA7F-5160-4182-83BF-27734903CCFA}"/>
    <hyperlink ref="J144" r:id="rId237" xr:uid="{B68D6C08-B2E2-40A4-A6A6-560584203A29}"/>
    <hyperlink ref="M144" r:id="rId238" xr:uid="{63D5D9FA-1DD6-4675-8541-DF1A51719B6A}"/>
    <hyperlink ref="J145" r:id="rId239" xr:uid="{E4F022CB-60B9-4036-983C-433B626B8DFD}"/>
    <hyperlink ref="M145" r:id="rId240" xr:uid="{3449F04D-880F-4EAD-BFCB-6CDB7FB85102}"/>
    <hyperlink ref="J146" r:id="rId241" xr:uid="{4C1736A0-F4D0-4860-ADAE-81FB692312D1}"/>
    <hyperlink ref="M146" r:id="rId242" xr:uid="{12AED44F-E164-4B47-B771-41082B6F1739}"/>
    <hyperlink ref="J147" r:id="rId243" xr:uid="{189F55BD-05D7-446B-A337-59A349EA3ACA}"/>
    <hyperlink ref="M147" r:id="rId244" xr:uid="{BE3BB88D-5E44-4EC3-AE90-D432D356DD3F}"/>
    <hyperlink ref="J148" r:id="rId245" xr:uid="{E3344728-CCD0-4C20-8ABE-F3051E02BF35}"/>
    <hyperlink ref="M148" r:id="rId246" xr:uid="{1521D4A4-5F3A-4CC1-B594-1BB08F0C6A44}"/>
    <hyperlink ref="J149" r:id="rId247" xr:uid="{F6058D2D-BCAD-4D91-BDA5-8657E552A4B0}"/>
    <hyperlink ref="M149" r:id="rId248" xr:uid="{FBD97A4A-62F3-40F7-A8A8-C3DF23A1D859}"/>
    <hyperlink ref="J150" r:id="rId249" xr:uid="{0B3A4289-33F4-4A15-A5CD-B92350B55A98}"/>
    <hyperlink ref="M150" r:id="rId250" xr:uid="{0896646A-E4B7-465B-B7AD-C2E71FC2AB96}"/>
    <hyperlink ref="J151" r:id="rId251" xr:uid="{6FFDB281-2A6D-4453-8958-4975F02CE186}"/>
    <hyperlink ref="M151" r:id="rId252" xr:uid="{DD4724C1-60A5-4715-8786-8DEE12337117}"/>
    <hyperlink ref="J152" r:id="rId253" xr:uid="{17127FEB-8501-4474-81E3-1AB4CE2D7413}"/>
    <hyperlink ref="M152" r:id="rId254" xr:uid="{C8B92AD8-CF4F-48F0-8C30-5B5BBCFE7754}"/>
    <hyperlink ref="J153" r:id="rId255" xr:uid="{4A9C6956-C235-4858-AD14-D53B93A29F06}"/>
    <hyperlink ref="M153" r:id="rId256" xr:uid="{9AF42483-8524-423A-A2B0-7567217FD5AC}"/>
    <hyperlink ref="J154" r:id="rId257" xr:uid="{D99F083C-7727-4817-90A5-C2B9DA620ACF}"/>
    <hyperlink ref="M154" r:id="rId258" xr:uid="{AF542FC9-AE3F-4DF7-8E01-2567337B0CC2}"/>
    <hyperlink ref="J155" r:id="rId259" xr:uid="{CF7A5F77-86ED-4AAC-A0A7-76C8A6A0C0ED}"/>
    <hyperlink ref="J156" r:id="rId260" xr:uid="{4A713B9A-9341-473F-9C05-64368914BD4D}"/>
    <hyperlink ref="M156" r:id="rId261" xr:uid="{7F6FCCE8-2519-4EE6-99DC-F690D2B67E5C}"/>
    <hyperlink ref="J157" r:id="rId262" xr:uid="{ED88544F-161B-480F-AD75-C36178536029}"/>
    <hyperlink ref="M157" r:id="rId263" xr:uid="{6007C96F-D7AD-4A8C-B74F-2268DEB8E98F}"/>
    <hyperlink ref="J158" r:id="rId264" xr:uid="{4590CCD3-5226-4C67-89A5-05A2112E7221}"/>
    <hyperlink ref="M158" r:id="rId265" xr:uid="{D7D60BBC-8FF4-4712-97FB-10E7FAD56F70}"/>
    <hyperlink ref="J159" r:id="rId266" xr:uid="{40A811EE-5530-400C-8AF2-753CC9A55B24}"/>
    <hyperlink ref="J160" r:id="rId267" xr:uid="{F719023D-626F-471D-A301-C3E4ACDD5EC8}"/>
    <hyperlink ref="J161" r:id="rId268" xr:uid="{C7D8B36C-A8C4-4D61-B2FE-70F72C98728B}"/>
    <hyperlink ref="J162" r:id="rId269" xr:uid="{B9EAC16C-B819-42C3-8938-27A57D2D6FD5}"/>
    <hyperlink ref="M162" r:id="rId270" xr:uid="{1AEDBCE6-54BB-4A11-921B-F7A39170E9E6}"/>
    <hyperlink ref="J163" r:id="rId271" xr:uid="{462C34D7-A128-4D76-9EA3-4B2DB775E254}"/>
    <hyperlink ref="M163" r:id="rId272" xr:uid="{B84B4E6D-2BA4-4F7B-8BEF-3AD25B3456EF}"/>
    <hyperlink ref="J164" r:id="rId273" xr:uid="{9AD52E0F-B08E-4BCD-94A7-85F79F6DC5A4}"/>
    <hyperlink ref="J165" r:id="rId274" xr:uid="{9360601E-0CBC-40E9-89A5-E0C443799A54}"/>
    <hyperlink ref="J166" r:id="rId275" xr:uid="{13479DDE-FEA0-4C38-A4C2-1EF7A46FBD6E}"/>
    <hyperlink ref="J167" r:id="rId276" xr:uid="{633BA77B-D1C1-4DE3-B935-61BBD16694A4}"/>
    <hyperlink ref="M167" r:id="rId277" xr:uid="{D0643F08-A41D-4350-A2E9-148E7E5EFE20}"/>
    <hyperlink ref="J168" r:id="rId278" xr:uid="{91E435A6-87FC-4A77-817C-1A0588E25CC1}"/>
    <hyperlink ref="M168" r:id="rId279" xr:uid="{4F17E486-0463-4D04-9720-3B2C85B7B8B3}"/>
    <hyperlink ref="J169" r:id="rId280" xr:uid="{28CDF1CB-E97B-4297-B21D-78747205D72E}"/>
    <hyperlink ref="M169" r:id="rId281" xr:uid="{F58D4023-1D7D-4345-8B8C-C29F578A3341}"/>
    <hyperlink ref="J170" r:id="rId282" xr:uid="{D53820CA-AB6C-496F-AF6B-804EEF9C9515}"/>
    <hyperlink ref="J171" r:id="rId283" xr:uid="{880FFE00-C942-4312-A1A3-59CEBD82871C}"/>
    <hyperlink ref="M171" r:id="rId284" xr:uid="{EBFCED8D-1FE7-4459-B3D2-96048C5E1F0C}"/>
    <hyperlink ref="J172" r:id="rId285" xr:uid="{05400D95-ED65-449C-823F-8D547A5434F8}"/>
    <hyperlink ref="M172" r:id="rId286" xr:uid="{82BEF86E-E209-43C4-98C3-78208929FED0}"/>
    <hyperlink ref="J173" r:id="rId287" xr:uid="{03EA02A5-6F5C-4120-98B6-C16C8F059ABB}"/>
    <hyperlink ref="M173" r:id="rId288" xr:uid="{80126161-914E-4F55-A3FD-FA79D47ACB9C}"/>
    <hyperlink ref="J174" r:id="rId289" xr:uid="{B6ABEC29-BF80-427A-81F3-7CC8D61D67FD}"/>
    <hyperlink ref="M174" r:id="rId290" xr:uid="{629D033A-E6F9-4062-82DC-B9A2BB83DBE2}"/>
    <hyperlink ref="J175" r:id="rId291" xr:uid="{ECE70EB4-3DD7-4CCE-85C6-D2FD14C2B401}"/>
    <hyperlink ref="M175" r:id="rId292" xr:uid="{112C751B-5464-432E-85C7-56B66F2019F6}"/>
    <hyperlink ref="J176" r:id="rId293" xr:uid="{5AC4686E-BCEB-4EC7-8468-1FB86FCE8E86}"/>
    <hyperlink ref="M176" r:id="rId294" xr:uid="{92F83ED5-5378-4B70-AEF5-2605D42B9330}"/>
    <hyperlink ref="J177" r:id="rId295" xr:uid="{95C20F8F-F6C4-4769-8BC2-4AC8F5EE6C54}"/>
    <hyperlink ref="M177" r:id="rId296" xr:uid="{E9139061-20B0-4721-A237-4DDE4A4F8E3C}"/>
    <hyperlink ref="J178" r:id="rId297" xr:uid="{5A3DC500-424E-4E51-8B5C-45BC88BE0598}"/>
    <hyperlink ref="J179" r:id="rId298" xr:uid="{316B3474-BCDE-4BE3-B4AB-EAC9FB9F720B}"/>
    <hyperlink ref="M179" r:id="rId299" xr:uid="{F1310A06-817B-4CA0-B300-D450225A3242}"/>
    <hyperlink ref="J180" r:id="rId300" xr:uid="{145E6176-E587-4E8B-82C1-058A5313FFC8}"/>
    <hyperlink ref="J181" r:id="rId301" xr:uid="{9C8956E8-A37B-486F-A2A8-41630C13ACDF}"/>
    <hyperlink ref="M181" r:id="rId302" xr:uid="{8ECDD3D1-B0FD-41AA-A29C-81CCADBE721B}"/>
    <hyperlink ref="J182" r:id="rId303" xr:uid="{E8517879-B6FF-4BA7-A824-260056592A8E}"/>
    <hyperlink ref="J183" r:id="rId304" xr:uid="{DCFBA24B-5FA7-453C-843F-737E0FA4524B}"/>
    <hyperlink ref="M183" r:id="rId305" xr:uid="{C1CA0973-A29D-458D-8FE9-34B715A7388A}"/>
    <hyperlink ref="J184" r:id="rId306" xr:uid="{28358BAA-851F-4860-9B9B-4B80A19526C0}"/>
    <hyperlink ref="J185" r:id="rId307" xr:uid="{7B4536E8-E949-4449-BA48-DDB74C6A935C}"/>
    <hyperlink ref="M185" r:id="rId308" xr:uid="{9C6E979F-B721-4AA5-9318-3CF573CE0284}"/>
    <hyperlink ref="J186" r:id="rId309" xr:uid="{4A323830-162C-49D7-9B40-A8BA2D060A9F}"/>
    <hyperlink ref="J187" r:id="rId310" xr:uid="{74206C6D-F64E-42B5-A975-73E29200791D}"/>
    <hyperlink ref="M187" r:id="rId311" xr:uid="{02691BC2-F964-4BF4-94CE-91ED53C38DB2}"/>
    <hyperlink ref="J188" r:id="rId312" xr:uid="{348AEAD5-79D5-48E2-9175-A553F17D2C73}"/>
    <hyperlink ref="J189" r:id="rId313" xr:uid="{0F65196A-91C8-41CF-9DAA-3BA9C63B00CF}"/>
    <hyperlink ref="J190" r:id="rId314" xr:uid="{D24F55FE-12D1-4ACB-ACFA-9075CDBD0DFB}"/>
    <hyperlink ref="M190" r:id="rId315" xr:uid="{0EAFFCC3-1CA2-4E7F-9E44-3CAA3A5BA8BD}"/>
    <hyperlink ref="J191" r:id="rId316" xr:uid="{B63F4F8D-64E0-4E07-85CD-6F3A78A6DD78}"/>
    <hyperlink ref="M191" r:id="rId317" xr:uid="{A0685641-0D09-4FC9-8280-FD7A98BFA2F9}"/>
    <hyperlink ref="J192" r:id="rId318" xr:uid="{032D9AD8-85B4-4713-91F7-29375E4369DD}"/>
    <hyperlink ref="M192" r:id="rId319" xr:uid="{F2B7F78F-E379-4628-AA7D-67D5F546E50A}"/>
    <hyperlink ref="J193" r:id="rId320" xr:uid="{7A57C652-9F9D-48E1-97BA-6FD00A1E734A}"/>
    <hyperlink ref="M193" r:id="rId321" xr:uid="{75884902-4873-4874-B9E7-5A0F7F645CA5}"/>
    <hyperlink ref="J194" r:id="rId322" xr:uid="{E1227F50-8A29-40B3-9862-D4802509C8DD}"/>
    <hyperlink ref="M194" r:id="rId323" xr:uid="{4D8536FD-A9D4-4B02-8315-F9D20E2F7C48}"/>
    <hyperlink ref="J195" r:id="rId324" xr:uid="{BF4B0CB7-A3B1-46B3-BD96-CDE52A9612D3}"/>
    <hyperlink ref="M195" r:id="rId325" xr:uid="{07A72C39-75C7-4A35-8367-9B8B4A07E021}"/>
    <hyperlink ref="J196" r:id="rId326" xr:uid="{9E43294F-8BC5-40D4-8EE1-0976D9B289F0}"/>
    <hyperlink ref="M196" r:id="rId327" xr:uid="{9EC895DD-2BAB-4664-8496-96B31C27D5F8}"/>
    <hyperlink ref="J197" r:id="rId328" xr:uid="{41840FF9-7552-4460-89A5-255BAAC55205}"/>
    <hyperlink ref="M197" r:id="rId329" xr:uid="{5E161B3E-6FC6-4262-BB1E-80202F1993B3}"/>
    <hyperlink ref="J198" r:id="rId330" xr:uid="{18F9D7FF-7069-4D6E-9296-AAA8D6FF428D}"/>
    <hyperlink ref="J199" r:id="rId331" xr:uid="{14EE3D82-4315-4371-A743-F5D21B2B67C0}"/>
    <hyperlink ref="J200" r:id="rId332" xr:uid="{A78FE6BC-575D-43A4-ABE6-12D890942A75}"/>
    <hyperlink ref="J201" r:id="rId333" xr:uid="{16590699-E1C4-4941-840F-59B0994CEAD1}"/>
    <hyperlink ref="J202" r:id="rId334" xr:uid="{3327AA98-DE2E-41EB-B1BC-00EE9F1A4B2F}"/>
    <hyperlink ref="M202" r:id="rId335" xr:uid="{ED359A45-53BF-4449-93F8-B071CAD8C1CA}"/>
    <hyperlink ref="J203" r:id="rId336" xr:uid="{0B99B43A-FF2B-4E7D-A59F-721A38795FDE}"/>
    <hyperlink ref="J204" r:id="rId337" xr:uid="{78980CD5-E107-4A0B-B38D-E53349A7FDA2}"/>
    <hyperlink ref="M204" r:id="rId338" xr:uid="{AE416113-C9B7-4EBB-BCCB-BC7F4BF6E079}"/>
    <hyperlink ref="J205" r:id="rId339" xr:uid="{04E1E56E-35C2-4B14-9301-AA855B0C0472}"/>
    <hyperlink ref="M205" r:id="rId340" xr:uid="{04BB7462-2F74-432A-B2E5-9EF5D59124B1}"/>
    <hyperlink ref="J206" r:id="rId341" xr:uid="{BA144477-75F2-4195-B00D-FD5D413D5882}"/>
    <hyperlink ref="M206" r:id="rId342" xr:uid="{A0BF0F3C-6C3B-49A8-A644-51582A6F0460}"/>
    <hyperlink ref="J207" r:id="rId343" xr:uid="{3014C848-3DAA-40EE-8746-5655433C2BE9}"/>
    <hyperlink ref="M207" r:id="rId344" xr:uid="{F3301758-727A-4B3C-B9FF-295BED8281D5}"/>
    <hyperlink ref="J208" r:id="rId345" xr:uid="{B25CC989-87FF-44C3-9084-AC0170F0C7B5}"/>
    <hyperlink ref="J209" r:id="rId346" xr:uid="{F1EA620E-EA54-4415-B19D-E6A1231C4184}"/>
    <hyperlink ref="M209" r:id="rId347" xr:uid="{2BB6E009-4A76-48DC-ABF2-C3D53253E4D5}"/>
    <hyperlink ref="J210" r:id="rId348" xr:uid="{AFAB01D4-503C-4273-BACF-5FBE5FBC4A80}"/>
    <hyperlink ref="J211" r:id="rId349" xr:uid="{BFC8590B-AFB3-4628-AD45-2F96D93426C7}"/>
    <hyperlink ref="J212" r:id="rId350" xr:uid="{CD5C2672-ABE5-40E8-9868-D938CB035926}"/>
    <hyperlink ref="J213" r:id="rId351" xr:uid="{876EBF57-1216-4363-BE8E-1F7C111B0465}"/>
    <hyperlink ref="J214" r:id="rId352" xr:uid="{340DCA0F-EE90-4140-AE15-5FC97AC4DADE}"/>
    <hyperlink ref="J215" r:id="rId353" xr:uid="{90D5D931-6255-4727-9932-A8491905522F}"/>
    <hyperlink ref="J216" r:id="rId354" xr:uid="{B51D0DA9-0BAF-4EFC-84F0-1EAE035C80D1}"/>
    <hyperlink ref="M216" r:id="rId355" xr:uid="{B0C9F68A-AC38-4C9E-AF86-5059E39D441E}"/>
    <hyperlink ref="J217" r:id="rId356" xr:uid="{B9DF19E3-A4E6-450F-9D82-F23F7092234C}"/>
    <hyperlink ref="J218" r:id="rId357" xr:uid="{D8E48BD9-8C59-40D7-84C1-316B632FBF47}"/>
    <hyperlink ref="J219" r:id="rId358" xr:uid="{9AA4CCED-2104-424D-AAE6-0BAFFB4D8989}"/>
    <hyperlink ref="M219" r:id="rId359" xr:uid="{0FBEBDA5-EBF4-4588-B490-227A85AC930C}"/>
    <hyperlink ref="J220" r:id="rId360" xr:uid="{1C38E42E-714C-4B11-9107-A3C0489C9DA0}"/>
    <hyperlink ref="J221" r:id="rId361" xr:uid="{B44A8AF9-F862-4203-9553-100F4A6047D7}"/>
    <hyperlink ref="J222" r:id="rId362" xr:uid="{65A398BD-AA0D-4B75-AD02-3C7E93B85F22}"/>
    <hyperlink ref="J223" r:id="rId363" xr:uid="{3A674093-5033-4DE1-9885-7635EF940A4D}"/>
    <hyperlink ref="J224" r:id="rId364" xr:uid="{EEFF3274-2562-4C34-A4B7-AA2B3FF1A9CE}"/>
    <hyperlink ref="M224" r:id="rId365" xr:uid="{57A3C3F2-700D-45BE-97E6-2EAF862A9C05}"/>
    <hyperlink ref="J225" r:id="rId366" xr:uid="{7594E22E-1481-49C5-AA67-55841B5C36A5}"/>
    <hyperlink ref="M225" r:id="rId367" xr:uid="{0BCF02CC-3227-4E8C-91F0-5CCD7E172C50}"/>
    <hyperlink ref="J226" r:id="rId368" xr:uid="{C9DB9E80-719E-419B-8465-CE48DEA4CADD}"/>
    <hyperlink ref="J227" r:id="rId369" xr:uid="{6BD31D7F-5724-4615-AC21-3B7E33AB8C5F}"/>
    <hyperlink ref="M227" r:id="rId370" xr:uid="{1F78687B-9F87-4DAE-AA6B-11A976782214}"/>
    <hyperlink ref="J228" r:id="rId371" xr:uid="{7709430E-C64E-4AE5-841F-64E203FDFA84}"/>
    <hyperlink ref="J229" r:id="rId372" xr:uid="{74069687-3628-4690-A9ED-E04847D8CB92}"/>
    <hyperlink ref="M229" r:id="rId373" xr:uid="{6828BC78-541E-465A-A0F0-2818C3C3C042}"/>
    <hyperlink ref="J230" r:id="rId374" xr:uid="{DB8A7EB1-69D5-4EDB-9A59-3B783621E3FB}"/>
    <hyperlink ref="M230" r:id="rId375" xr:uid="{75331138-2A0D-4569-85D7-1998FC40DED7}"/>
    <hyperlink ref="J231" r:id="rId376" xr:uid="{60A10992-5FEF-49AD-B1A6-744310DAC12F}"/>
    <hyperlink ref="M231" r:id="rId377" xr:uid="{224BDCE6-F642-4A80-9693-2D7DE75B5ED1}"/>
    <hyperlink ref="J232" r:id="rId378" xr:uid="{828DD918-E2EE-4DA7-A839-58978F2B04E7}"/>
    <hyperlink ref="M232" r:id="rId379" xr:uid="{4BE621A6-4A75-4AD5-84B8-B1134900F431}"/>
    <hyperlink ref="J233" r:id="rId380" xr:uid="{387F9455-46EF-4F09-B30D-2C40800E2A79}"/>
    <hyperlink ref="M233" r:id="rId381" xr:uid="{D4378EE8-7E5B-48BC-ABB0-1E20BBBE9A2F}"/>
    <hyperlink ref="J234" r:id="rId382" xr:uid="{004CF260-041D-44CF-B1C2-9795A73BD1BE}"/>
    <hyperlink ref="M234" r:id="rId383" xr:uid="{73370F54-1A21-4AF0-8BC5-3BE379F19480}"/>
    <hyperlink ref="J235" r:id="rId384" xr:uid="{A036F35E-EEB2-4CFF-8D3F-977EF85505C8}"/>
    <hyperlink ref="J236" r:id="rId385" xr:uid="{787459CC-BAA4-41EE-AB6F-EDE9E4D0B486}"/>
    <hyperlink ref="M236" r:id="rId386" xr:uid="{62808A56-81A8-4217-BCA5-34CF304D54AC}"/>
    <hyperlink ref="J237" r:id="rId387" xr:uid="{418C5F65-092A-4C58-95B9-F53A86ED8EE6}"/>
    <hyperlink ref="J238" r:id="rId388" xr:uid="{F457C225-010A-4BCE-9AA5-64FAAD6CD18F}"/>
    <hyperlink ref="M238" r:id="rId389" xr:uid="{15839108-1540-49EB-87BD-804B4A64BC35}"/>
    <hyperlink ref="J239" r:id="rId390" xr:uid="{5E63C343-48D7-46F7-BD2B-5FE0A6615490}"/>
    <hyperlink ref="J240" r:id="rId391" xr:uid="{13B4B04B-7F4F-4BA3-93A7-B04602666D04}"/>
    <hyperlink ref="J241" r:id="rId392" xr:uid="{10A83490-BDA8-4B19-9D80-DADFC0C60B2A}"/>
    <hyperlink ref="M241" r:id="rId393" xr:uid="{9C0FF0DA-F915-42A6-8F57-71292F39BE9C}"/>
    <hyperlink ref="J242" r:id="rId394" xr:uid="{1B71041D-31D9-4ACF-A78B-751FBD88441B}"/>
    <hyperlink ref="J243" r:id="rId395" xr:uid="{570A2680-C1B4-4019-B179-BAA6932C35E9}"/>
    <hyperlink ref="J244" r:id="rId396" xr:uid="{1EE58F2F-1D84-4B28-86BB-F68B5CC5DCB6}"/>
    <hyperlink ref="J245" r:id="rId397" xr:uid="{E7C22361-1E7B-4490-8D2D-D0CD2B82E199}"/>
    <hyperlink ref="J246" r:id="rId398" xr:uid="{A50D71E0-8C60-4C30-82AB-846FF580E373}"/>
    <hyperlink ref="M246" r:id="rId399" xr:uid="{9AE2C317-35E8-4EC8-9D80-F89C211D7CE6}"/>
    <hyperlink ref="J247" r:id="rId400" xr:uid="{7F81A798-E6CC-460F-937B-9831CEB2BB47}"/>
    <hyperlink ref="J248" r:id="rId401" xr:uid="{D0295EF2-E5F0-4026-BABB-25C48155AC8C}"/>
    <hyperlink ref="J249" r:id="rId402" xr:uid="{F7B11CC1-21C2-45B6-A990-2BE1E6E71D7C}"/>
    <hyperlink ref="M249" r:id="rId403" xr:uid="{5D6C6D75-19E9-4743-A528-0B2455F7DB18}"/>
    <hyperlink ref="J250" r:id="rId404" xr:uid="{48BAD57C-6820-4C27-994D-B03C309EDA80}"/>
    <hyperlink ref="M250" r:id="rId405" xr:uid="{F039F3CA-55B3-4727-A33E-B2CE78245983}"/>
    <hyperlink ref="J251" r:id="rId406" xr:uid="{6E884C97-594F-4A7A-99A3-EE83C09A5BE7}"/>
    <hyperlink ref="J252" r:id="rId407" xr:uid="{6DE30E47-8A59-4751-937D-66746BA9E0B2}"/>
    <hyperlink ref="J253" r:id="rId408" xr:uid="{2CB5EF80-4747-4C95-A210-7217289FCFB8}"/>
    <hyperlink ref="M253" r:id="rId409" xr:uid="{937D36F2-D431-4C8D-9269-2185C8DB20C9}"/>
    <hyperlink ref="J254" r:id="rId410" xr:uid="{07F70337-2BC3-4D47-B0F7-D753B65C5590}"/>
    <hyperlink ref="M254" r:id="rId411" xr:uid="{A6EB81C2-4FA2-469E-A95E-531752B9CD47}"/>
    <hyperlink ref="J255" r:id="rId412" xr:uid="{BEDD8051-ABE3-4692-9EE1-E4609891448D}"/>
    <hyperlink ref="M255" r:id="rId413" xr:uid="{18EE8A86-7EDF-44BD-BC17-1CFBF28B922E}"/>
    <hyperlink ref="J256" r:id="rId414" xr:uid="{B61D7789-9FD5-4178-A9AC-043DE84FA5E5}"/>
    <hyperlink ref="J257" r:id="rId415" xr:uid="{A1087DC2-5341-4407-AB98-A9658E902BE9}"/>
    <hyperlink ref="M257" r:id="rId416" xr:uid="{801E82CE-1D70-4D88-A2D0-CA8516398BCA}"/>
    <hyperlink ref="J258" r:id="rId417" xr:uid="{A52EC666-2047-4E1A-8175-CEA69D0F63B1}"/>
    <hyperlink ref="M258" r:id="rId418" xr:uid="{7CBA0F4C-4A78-4595-B640-719F46701E57}"/>
    <hyperlink ref="J259" r:id="rId419" xr:uid="{1396099C-DF02-4B62-A919-C2C4E160E2AA}"/>
    <hyperlink ref="M259" r:id="rId420" xr:uid="{7E68767D-1EC1-4AE7-9ECE-859B66789621}"/>
    <hyperlink ref="J260" r:id="rId421" xr:uid="{4B717117-2D53-4AF3-A173-97E219F11C62}"/>
    <hyperlink ref="J261" r:id="rId422" xr:uid="{08D21A32-B973-4782-B4AD-7DD5F5535AA9}"/>
    <hyperlink ref="M261" r:id="rId423" xr:uid="{5FCF3F74-8E23-4E98-A90C-126960E4D12F}"/>
    <hyperlink ref="J262" r:id="rId424" xr:uid="{28E0F3EA-C48C-4889-93E8-87A036BD204D}"/>
    <hyperlink ref="J263" r:id="rId425" xr:uid="{45736F84-80F8-49E4-A7B6-8D7B8F77E59A}"/>
    <hyperlink ref="J264" r:id="rId426" xr:uid="{38807B61-1E42-4E83-BD95-DD1948F13C07}"/>
    <hyperlink ref="J265" r:id="rId427" xr:uid="{4F4713D4-CE6B-497C-A5EA-8A6687CCDD12}"/>
    <hyperlink ref="J266" r:id="rId428" xr:uid="{93FB1AEB-D6AE-4422-B50F-AB1E814165BC}"/>
    <hyperlink ref="J267" r:id="rId429" xr:uid="{83DF167A-B150-4964-980B-1D66E6CEC3B1}"/>
    <hyperlink ref="J268" r:id="rId430" xr:uid="{DD00B669-0CBF-4616-983D-9D5B9706EF82}"/>
    <hyperlink ref="J269" r:id="rId431" xr:uid="{93829BE6-17D5-4A81-B773-7052EE459FD4}"/>
    <hyperlink ref="M269" r:id="rId432" xr:uid="{36362481-65D4-4B2C-94BE-18761DAC0C3E}"/>
    <hyperlink ref="J270" r:id="rId433" xr:uid="{DCCA3784-0E3D-4F82-B631-638CF6FB2424}"/>
    <hyperlink ref="M270" r:id="rId434" xr:uid="{5103ABEC-B0EB-48F5-B1D8-0ABCEA0F80BD}"/>
    <hyperlink ref="J271" r:id="rId435" xr:uid="{448041F9-2794-40F0-8669-4DD740B556AB}"/>
    <hyperlink ref="M271" r:id="rId436" xr:uid="{5DA86A07-A10B-4839-AD75-943B8707AC0F}"/>
    <hyperlink ref="J272" r:id="rId437" xr:uid="{253F9966-28CE-49D0-9BF9-C4467B079A6C}"/>
    <hyperlink ref="M272" r:id="rId438" xr:uid="{EAE48C0E-DED4-4790-9080-5AF459BAB01E}"/>
    <hyperlink ref="J273" r:id="rId439" xr:uid="{537B3E1B-10BE-4029-BAD2-7B8659EF3310}"/>
    <hyperlink ref="J274" r:id="rId440" xr:uid="{34BEC870-8570-4897-ABDA-9CB19DAF670D}"/>
    <hyperlink ref="M274" r:id="rId441" xr:uid="{363FA7EA-3F3C-4357-9D95-DCDFBC98338C}"/>
    <hyperlink ref="J275" r:id="rId442" xr:uid="{CFABE4CC-7740-4E92-B05D-4936DB6EB73C}"/>
    <hyperlink ref="M275" r:id="rId443" xr:uid="{77744C06-B08D-4F85-B90F-9E76086EE32A}"/>
    <hyperlink ref="J276" r:id="rId444" xr:uid="{336087BB-CD45-42BE-B68E-6B3BB74FB65B}"/>
    <hyperlink ref="J277" r:id="rId445" xr:uid="{5415578F-C73F-41A8-996E-FC435E21209D}"/>
    <hyperlink ref="M277" r:id="rId446" xr:uid="{3C313643-DC08-414C-A515-A531A59E3274}"/>
    <hyperlink ref="J278" r:id="rId447" xr:uid="{F6753D51-5B77-4846-8453-96BCA7612C94}"/>
    <hyperlink ref="M278" r:id="rId448" xr:uid="{2D892498-11C9-4A9D-953B-B9C38584CD6B}"/>
    <hyperlink ref="J279" r:id="rId449" xr:uid="{176EA03B-014E-493F-82A2-4D0F4B113601}"/>
    <hyperlink ref="M279" r:id="rId450" xr:uid="{9EEE67D6-7F3F-4798-90D8-01C056A57445}"/>
    <hyperlink ref="J280" r:id="rId451" xr:uid="{9499CB45-CA65-4398-A06D-1D7F5E247CE1}"/>
    <hyperlink ref="M280" r:id="rId452" xr:uid="{B3AB8AD8-5588-4DB9-BA65-61EE56A2C208}"/>
    <hyperlink ref="J281" r:id="rId453" xr:uid="{7F4EEC37-2D84-4D91-9FB9-4FBC11E983D0}"/>
    <hyperlink ref="M281" r:id="rId454" xr:uid="{DD2ECBF6-260F-4393-BF75-0CE1DBC66E96}"/>
    <hyperlink ref="J282" r:id="rId455" xr:uid="{2EBC766C-E22C-4FC4-9080-DBC4CF18C839}"/>
    <hyperlink ref="M282" r:id="rId456" xr:uid="{C56566B2-42C0-4224-A568-7F3C1292D1FC}"/>
    <hyperlink ref="J283" r:id="rId457" xr:uid="{E12BD9E9-023E-4A3F-8A49-B4A1BA133884}"/>
    <hyperlink ref="M283" r:id="rId458" xr:uid="{2265D581-59F2-49AB-ABF2-EABE9AE08C3C}"/>
    <hyperlink ref="J284" r:id="rId459" xr:uid="{5CD7F41E-1442-4AEE-9504-C7741983EAF7}"/>
    <hyperlink ref="M284" r:id="rId460" xr:uid="{04ADDA2E-4233-4056-9639-618E8DFB91F4}"/>
    <hyperlink ref="J285" r:id="rId461" xr:uid="{4829385F-1EA2-44BC-B6D6-42164858F649}"/>
    <hyperlink ref="M285" r:id="rId462" xr:uid="{D2828CD8-7372-4FFC-8D76-756C1D2C7747}"/>
    <hyperlink ref="J286" r:id="rId463" xr:uid="{117C68C7-407D-48BB-9A7D-63FBE8D49F6A}"/>
    <hyperlink ref="M286" r:id="rId464" xr:uid="{48FC3250-0AC8-4007-A487-3A9E051FEB7A}"/>
    <hyperlink ref="J287" r:id="rId465" xr:uid="{CD6CE9DD-6241-4388-B78E-97CF52D621FB}"/>
    <hyperlink ref="M287" r:id="rId466" xr:uid="{7E4F4B64-FC7D-462F-BFA5-9055675045CC}"/>
    <hyperlink ref="J288" r:id="rId467" xr:uid="{E009B7AD-F938-4ED3-8E63-C3CA1DC407D7}"/>
    <hyperlink ref="J289" r:id="rId468" xr:uid="{A446A511-CE8C-4F78-8DD9-E75D20D58E92}"/>
    <hyperlink ref="M289" r:id="rId469" xr:uid="{0C10BAED-AA72-4361-A1D3-23F622462DC0}"/>
    <hyperlink ref="J290" r:id="rId470" xr:uid="{015B0FBF-A29B-415F-813E-ADCD16DA6E10}"/>
    <hyperlink ref="M290" r:id="rId471" xr:uid="{29AEC687-B6C8-46E0-85B4-71488B693FB8}"/>
    <hyperlink ref="J291" r:id="rId472" xr:uid="{771322D6-1AB8-4814-8C05-1106376F0352}"/>
    <hyperlink ref="J292" r:id="rId473" xr:uid="{973CA7A0-33BA-4339-B6D7-E49DA3E7F70D}"/>
    <hyperlink ref="J293" r:id="rId474" xr:uid="{4D37DD3A-7197-46D7-829B-D1C1C8BFA8E0}"/>
    <hyperlink ref="M293" r:id="rId475" xr:uid="{86649072-C7C0-44AC-8DFA-A975A0E07103}"/>
    <hyperlink ref="J294" r:id="rId476" xr:uid="{96FC7724-FBAA-46F6-8E98-00511078A5BC}"/>
    <hyperlink ref="M294" r:id="rId477" xr:uid="{7969F7BC-2040-4E7A-9212-831BAE736F28}"/>
    <hyperlink ref="J295" r:id="rId478" xr:uid="{833641CC-C6B8-4CC5-89C7-47DD1A488D83}"/>
    <hyperlink ref="M295" r:id="rId479" xr:uid="{F33B1D61-CB37-4F7D-9F12-CE212499A5BA}"/>
    <hyperlink ref="J296" r:id="rId480" xr:uid="{30F923DF-426B-4157-8393-5AB8BD22F591}"/>
    <hyperlink ref="J297" r:id="rId481" xr:uid="{52C27531-5780-4708-99AE-ABAB328805D8}"/>
    <hyperlink ref="M297" r:id="rId482" xr:uid="{ADC7CE6E-E025-4932-B1CC-5B4CB1334628}"/>
    <hyperlink ref="J298" r:id="rId483" xr:uid="{00E26E44-075A-460B-9001-E02522C75093}"/>
    <hyperlink ref="M298" r:id="rId484" xr:uid="{1833CDE7-5AAA-4FDC-8B7E-40A46FFB718E}"/>
    <hyperlink ref="J299" r:id="rId485" xr:uid="{0089AF68-50E9-45DB-BF8A-EE97818504BF}"/>
    <hyperlink ref="M299" r:id="rId486" xr:uid="{562BAC47-2250-4A30-9AAF-AA31613B3237}"/>
    <hyperlink ref="J300" r:id="rId487" xr:uid="{66A59C60-B834-4EA8-A050-523CE36FD05A}"/>
    <hyperlink ref="M300" r:id="rId488" xr:uid="{4277882E-2A6A-4892-85E6-7133A622932A}"/>
    <hyperlink ref="J301" r:id="rId489" xr:uid="{5DEEA3F5-7C3F-49C2-B9D1-A248761B1F44}"/>
    <hyperlink ref="J302" r:id="rId490" xr:uid="{58DA70E4-0969-49CC-BBE6-946C3EF86B11}"/>
    <hyperlink ref="J303" r:id="rId491" xr:uid="{A4648CDC-156C-4AC2-A69F-9249CB534EC0}"/>
    <hyperlink ref="M303" r:id="rId492" xr:uid="{26A54D7E-809F-41E7-A8FB-64DE58FC569A}"/>
    <hyperlink ref="J304" r:id="rId493" xr:uid="{7C4B6F4D-A443-4176-81E5-6ADF9B5CD3CC}"/>
    <hyperlink ref="J305" r:id="rId494" xr:uid="{E0B60E11-B115-470A-9D2C-C1237A048A6E}"/>
    <hyperlink ref="M305" r:id="rId495" xr:uid="{E9C86AC4-6526-4CAB-AA14-B2E24069F1FF}"/>
    <hyperlink ref="J306" r:id="rId496" xr:uid="{F117B658-7605-4DF5-916C-A50BCA4C5639}"/>
    <hyperlink ref="J307" r:id="rId497" xr:uid="{25FC672D-1999-4BD6-9D76-80D54B57F593}"/>
    <hyperlink ref="M307" r:id="rId498" xr:uid="{3B4912FB-9605-4E1F-BE0B-1F95C1DAF556}"/>
    <hyperlink ref="J308" r:id="rId499" xr:uid="{76E46345-E0E0-4EC5-A10D-C227149DEF46}"/>
    <hyperlink ref="J309" r:id="rId500" xr:uid="{29C49A4E-186E-476A-B1DE-BC5600963874}"/>
    <hyperlink ref="M309" r:id="rId501" xr:uid="{4E7B9A86-B565-4ADA-9D5F-F518725DDF2E}"/>
    <hyperlink ref="J310" r:id="rId502" xr:uid="{D3D50703-33B8-4DF6-9DA7-22BD79330E6F}"/>
    <hyperlink ref="M310" r:id="rId503" xr:uid="{295F6DC5-2463-48EC-8FAD-9D20CD3EB5FF}"/>
    <hyperlink ref="J311" r:id="rId504" xr:uid="{3BB29AE0-F2E7-4CC8-AF4B-A175099DBAA9}"/>
    <hyperlink ref="M311" r:id="rId505" xr:uid="{72969EB4-3F2A-4904-9622-FDB6318CD21B}"/>
    <hyperlink ref="J312" r:id="rId506" xr:uid="{38709779-177F-40E3-980E-5634F7399243}"/>
    <hyperlink ref="M312" r:id="rId507" xr:uid="{20D9C4BB-D819-40DB-99AC-ECEC2F63970A}"/>
    <hyperlink ref="J313" r:id="rId508" xr:uid="{35E65E9C-F2D2-463B-A0F6-845FAC53280B}"/>
    <hyperlink ref="M313" r:id="rId509" xr:uid="{0DCB6FDA-F82F-4AB8-8D14-0BB5F0B7489A}"/>
    <hyperlink ref="J314" r:id="rId510" xr:uid="{C4A7B5D8-2E56-4C7D-8460-306FAEAE2BF2}"/>
    <hyperlink ref="J315" r:id="rId511" xr:uid="{504BA4AD-39D6-44E0-AB86-056DB0085DA2}"/>
    <hyperlink ref="J316" r:id="rId512" xr:uid="{D87AC0CC-2A0B-447F-8A29-922195F4FDA3}"/>
    <hyperlink ref="J317" r:id="rId513" xr:uid="{ADB38632-B3A9-4C84-8D8A-2E04458A519B}"/>
    <hyperlink ref="J318" r:id="rId514" xr:uid="{9091894C-287C-43CB-808F-0B8582BEEE3B}"/>
    <hyperlink ref="J319" r:id="rId515" xr:uid="{99766BA0-EAA7-4E1C-9CAE-5D28EBC13307}"/>
    <hyperlink ref="J320" r:id="rId516" xr:uid="{A00179DC-88BC-4501-9882-CCF90A645394}"/>
    <hyperlink ref="J321" r:id="rId517" xr:uid="{B56D50E9-0C9A-4C1E-B196-170F7158EF1D}"/>
    <hyperlink ref="J322" r:id="rId518" xr:uid="{46BF27EF-8B0B-4039-99AA-BCA6A243B880}"/>
    <hyperlink ref="J323" r:id="rId519" xr:uid="{1F20C8AC-7FA0-40B6-8DB7-6B6A3EBEE0C9}"/>
    <hyperlink ref="J324" r:id="rId520" xr:uid="{9B7D435F-0676-4210-8D00-6F450239C025}"/>
    <hyperlink ref="J325" r:id="rId521" xr:uid="{FBE85A5C-652E-4489-A365-3BC60A2E5E09}"/>
    <hyperlink ref="M325" r:id="rId522" xr:uid="{2D8F1D18-7CF3-435C-8EEF-6C579B0F8721}"/>
    <hyperlink ref="J326" r:id="rId523" xr:uid="{F774282F-EA0E-44CE-9202-1FD930D76D95}"/>
    <hyperlink ref="J327" r:id="rId524" xr:uid="{45AAD765-4884-4527-8F1D-67CDDB0681EE}"/>
    <hyperlink ref="J328" r:id="rId525" xr:uid="{58931954-2167-493B-8156-C5C4FA867433}"/>
    <hyperlink ref="M328" r:id="rId526" xr:uid="{40119137-2A08-409D-A78A-0D93C69106C5}"/>
    <hyperlink ref="J329" r:id="rId527" xr:uid="{1CBA44FB-BB69-405B-B98A-1518126AD51E}"/>
    <hyperlink ref="M329" r:id="rId528" xr:uid="{470B8398-672A-4D9C-9B7B-E8417251C571}"/>
    <hyperlink ref="J330" r:id="rId529" xr:uid="{4FC079E2-A64A-4671-821D-6EE8B9FFE0D6}"/>
    <hyperlink ref="M330" r:id="rId530" xr:uid="{EBCCC080-062A-46D8-8ED8-7D93FF734BCF}"/>
    <hyperlink ref="J331" r:id="rId531" xr:uid="{28110CA8-AB50-4AED-A18D-0D5DDB76FF22}"/>
    <hyperlink ref="M331" r:id="rId532" xr:uid="{0A720F04-81A8-4F7D-86A0-900DB58607DA}"/>
    <hyperlink ref="J332" r:id="rId533" xr:uid="{3E64BE76-E147-4CB9-8A45-415A4ECA5CA8}"/>
    <hyperlink ref="M332" r:id="rId534" xr:uid="{7B5CD090-836D-4C41-B894-9BED07C01D07}"/>
    <hyperlink ref="J333" r:id="rId535" xr:uid="{E6848888-B709-410B-970F-F2C1ACB65485}"/>
    <hyperlink ref="M333" r:id="rId536" xr:uid="{14801894-63FB-4CB9-B7EB-5AD3F9918D31}"/>
    <hyperlink ref="J334" r:id="rId537" xr:uid="{F9D0C1E8-9329-4D64-948E-F09D8F096C02}"/>
    <hyperlink ref="M334" r:id="rId538" xr:uid="{2636EC9D-DD44-46FA-A0C6-84C16D042762}"/>
    <hyperlink ref="J335" r:id="rId539" xr:uid="{0423A87A-9BFA-48BE-8CB1-45328718C1B9}"/>
    <hyperlink ref="M335" r:id="rId540" xr:uid="{0ABB67B5-D3C1-4396-8BF5-DAFF3AB8B2B4}"/>
    <hyperlink ref="J336" r:id="rId541" xr:uid="{D98C8DBD-441C-4A7E-AE4B-8DE26C24BEEA}"/>
    <hyperlink ref="M336" r:id="rId542" xr:uid="{028C9DF4-863A-4F50-AF50-52CDC16AB70D}"/>
    <hyperlink ref="J337" r:id="rId543" xr:uid="{943184DE-57B0-45FC-8B44-E0F1EB3F3ABF}"/>
    <hyperlink ref="M337" r:id="rId544" xr:uid="{2E2F3B23-9625-40EA-BFD5-F8CFB8BB2DE4}"/>
    <hyperlink ref="J338" r:id="rId545" xr:uid="{D69907E4-7A98-43E4-A99E-387E990BFEEF}"/>
    <hyperlink ref="M338" r:id="rId546" xr:uid="{F07A833D-7AD4-4FCD-BC7D-28C759A62366}"/>
    <hyperlink ref="J339" r:id="rId547" xr:uid="{50A06346-DE9A-48B5-A29A-7677DB0C132A}"/>
    <hyperlink ref="M339" r:id="rId548" xr:uid="{BFE8334D-C95B-471E-9978-1EF215B97DB3}"/>
    <hyperlink ref="J340" r:id="rId549" xr:uid="{452D8275-E867-40AD-82A8-0A16D0523994}"/>
    <hyperlink ref="M340" r:id="rId550" xr:uid="{B28E16B7-41A0-489C-BB3C-91244BA967F0}"/>
    <hyperlink ref="J341" r:id="rId551" xr:uid="{29FA4720-7AA6-47C0-9074-EEFA075E9049}"/>
    <hyperlink ref="M341" r:id="rId552" xr:uid="{85BD486E-A032-4EE1-A631-CCFC92E47305}"/>
    <hyperlink ref="J342" r:id="rId553" xr:uid="{917B2757-B6DA-4F2E-8A86-F4CF6AF9C8AB}"/>
    <hyperlink ref="M342" r:id="rId554" xr:uid="{8394760B-9D9B-4CBC-AB1E-2CB5F663DE12}"/>
    <hyperlink ref="J343" r:id="rId555" xr:uid="{72810515-E899-45D4-8C49-C0747E672E39}"/>
    <hyperlink ref="M343" r:id="rId556" xr:uid="{0C490A09-E0F6-42D3-93ED-3B5A580F1AE3}"/>
    <hyperlink ref="J344" r:id="rId557" xr:uid="{B04D797C-D0E7-4B5F-99F5-458FF0F5DA87}"/>
    <hyperlink ref="M344" r:id="rId558" xr:uid="{4DAEB3B9-D58A-4AFB-A2C0-2ED0A1827488}"/>
    <hyperlink ref="J345" r:id="rId559" xr:uid="{A66C5F58-04F4-4C69-8C56-BED21DAB78EF}"/>
    <hyperlink ref="M345" r:id="rId560" xr:uid="{A83D2CAE-BFE2-43C4-9101-B19CF3193221}"/>
    <hyperlink ref="J346" r:id="rId561" xr:uid="{E3AC00BE-6B61-4FF3-93EC-13DC5871D512}"/>
    <hyperlink ref="M346" r:id="rId562" xr:uid="{23A3F192-FABF-473B-9925-2860586D0627}"/>
    <hyperlink ref="J347" r:id="rId563" xr:uid="{0EF31BCF-A7E8-4E3F-9980-074CCFA48EC8}"/>
    <hyperlink ref="M347" r:id="rId564" xr:uid="{2ED6CE4E-199A-4DF6-B389-A467E0466978}"/>
    <hyperlink ref="J348" r:id="rId565" xr:uid="{DADB3987-68E4-4DE8-9475-F22988FF774C}"/>
    <hyperlink ref="M348" r:id="rId566" xr:uid="{A4E8ACE9-2691-4978-9602-57802C7EDCC5}"/>
    <hyperlink ref="J349" r:id="rId567" xr:uid="{0D6EC9B2-A826-44CE-835D-C680CA31D18D}"/>
    <hyperlink ref="M349" r:id="rId568" xr:uid="{E42D4F39-F6DA-4E4A-9465-99C045F68E46}"/>
    <hyperlink ref="J350" r:id="rId569" xr:uid="{57F0FB48-2516-4739-97A7-F996E4B96355}"/>
    <hyperlink ref="M350" r:id="rId570" xr:uid="{72821C06-2C3D-4015-AC99-030EF3508425}"/>
    <hyperlink ref="J351" r:id="rId571" xr:uid="{3C6AFBE3-6F9E-42B3-A7BA-66C17F19AA05}"/>
    <hyperlink ref="M351" r:id="rId572" xr:uid="{E3DB6B75-D780-4BFC-8829-95D08870593C}"/>
    <hyperlink ref="J352" r:id="rId573" xr:uid="{06FD5FFC-01EB-4E97-BDF6-B6A3A0F93A49}"/>
    <hyperlink ref="M352" r:id="rId574" xr:uid="{2317DD21-73C1-4F00-9DFF-A5B67058548C}"/>
    <hyperlink ref="J353" r:id="rId575" xr:uid="{078CB97D-9C1F-48CE-B669-57AADCA2525B}"/>
    <hyperlink ref="J354" r:id="rId576" xr:uid="{8FAE945C-C048-4122-AD47-A9A3EBC72219}"/>
    <hyperlink ref="M354" r:id="rId577" xr:uid="{29E4B15D-BFDB-4075-877F-0BF5E1E02C1E}"/>
    <hyperlink ref="J355" r:id="rId578" xr:uid="{452D9AAA-26D9-4939-864F-AB8BB34C7EE4}"/>
    <hyperlink ref="M355" r:id="rId579" xr:uid="{5C2D236B-F9D7-4401-9262-F039C44373B5}"/>
    <hyperlink ref="J356" r:id="rId580" xr:uid="{F53E081D-34F5-412D-811F-FA90A1083C5A}"/>
    <hyperlink ref="J357" r:id="rId581" xr:uid="{8FA385C7-3894-45D5-8AD9-3421B8683105}"/>
    <hyperlink ref="M357" r:id="rId582" xr:uid="{C3ED1DDF-15E3-4CB5-8EA3-9082282BEB82}"/>
    <hyperlink ref="J358" r:id="rId583" xr:uid="{3E72D8DE-317D-42AA-B540-79D54C7B3D6E}"/>
    <hyperlink ref="M358" r:id="rId584" xr:uid="{5BF0EE4B-C8BB-4D41-B120-80C48942196A}"/>
    <hyperlink ref="J359" r:id="rId585" xr:uid="{67B87C6E-9CBC-4D38-9D9B-6626C55CBB3A}"/>
    <hyperlink ref="M359" r:id="rId586" xr:uid="{99B72054-6D76-48AB-8FDE-C17CDE91CAB8}"/>
    <hyperlink ref="J360" r:id="rId587" xr:uid="{BA7F23AA-0CA9-4BD2-98AD-1DB41067C6F9}"/>
    <hyperlink ref="M360" r:id="rId588" xr:uid="{1FEDF901-462A-40CA-ADA7-7009E37C952E}"/>
    <hyperlink ref="J361" r:id="rId589" xr:uid="{2516436B-CFE1-42BA-B69C-D1A17879DA2E}"/>
    <hyperlink ref="M361" r:id="rId590" xr:uid="{E814E3A4-17A3-44F9-BD69-46C1D142312F}"/>
    <hyperlink ref="J362" r:id="rId591" xr:uid="{4E854754-A839-432C-85AA-BC6DE88F6CD8}"/>
    <hyperlink ref="M362" r:id="rId592" xr:uid="{CFAAD561-AF1E-4638-BE90-1CAE8F4B905D}"/>
    <hyperlink ref="J363" r:id="rId593" xr:uid="{8FD866C4-CD82-45B1-92CC-73EF05BD4F5B}"/>
    <hyperlink ref="M363" r:id="rId594" xr:uid="{901E7159-E6A0-4509-BCB3-6084C184F0E4}"/>
    <hyperlink ref="J364" r:id="rId595" xr:uid="{48C629C1-2641-42B1-B1AF-60B00DE306FD}"/>
    <hyperlink ref="M364" r:id="rId596" xr:uid="{91B73B51-67F7-4D6A-9C11-35F0314D40C5}"/>
    <hyperlink ref="J365" r:id="rId597" xr:uid="{B875E2CC-D2EC-433A-B517-45FA00B02562}"/>
    <hyperlink ref="M365" r:id="rId598" xr:uid="{2A0A927D-2C37-4763-A6F4-67D5B4BE0E38}"/>
    <hyperlink ref="J366" r:id="rId599" xr:uid="{2C9ECB48-115C-4394-AF8F-07A759A5BC23}"/>
    <hyperlink ref="M366" r:id="rId600" xr:uid="{2C41E8A5-A066-4477-B336-5B4970382776}"/>
    <hyperlink ref="J367" r:id="rId601" xr:uid="{565BF460-543A-4FBE-9760-216CB1AF91AC}"/>
    <hyperlink ref="M367" r:id="rId602" xr:uid="{87BB2F49-06F8-492C-80C1-871CED9C397B}"/>
    <hyperlink ref="J368" r:id="rId603" xr:uid="{221E77C8-7AC6-40FC-8202-A7D8D2C96C07}"/>
    <hyperlink ref="M368" r:id="rId604" xr:uid="{09D266DA-E31A-4867-B370-3AC3A36CD939}"/>
    <hyperlink ref="J369" r:id="rId605" xr:uid="{6B60B2E9-8187-4A2F-8D48-F98B671B50D0}"/>
    <hyperlink ref="M369" r:id="rId606" xr:uid="{0C648277-A57C-43F0-BB5E-42613F1CEE8F}"/>
    <hyperlink ref="J370" r:id="rId607" xr:uid="{39D8C349-4A05-4A05-8F58-81A1D7A58ADC}"/>
    <hyperlink ref="M370" r:id="rId608" xr:uid="{A8512281-EA8D-4D90-A5AF-8B58D30C8DD9}"/>
    <hyperlink ref="J371" r:id="rId609" xr:uid="{EE66D56D-D0F6-49D1-891A-3616B1869AEA}"/>
    <hyperlink ref="M371" r:id="rId610" xr:uid="{8B9F3053-26E1-40C2-B287-E217D448F0B7}"/>
    <hyperlink ref="J372" r:id="rId611" xr:uid="{788AD549-3B9A-49B1-87BE-314CB95A3D99}"/>
    <hyperlink ref="M372" r:id="rId612" xr:uid="{C79A1585-4331-426C-89A4-8A22B3D39ABD}"/>
    <hyperlink ref="J373" r:id="rId613" xr:uid="{D4A99C6B-83C6-43CD-B8FE-2790F51B355F}"/>
    <hyperlink ref="M373" r:id="rId614" xr:uid="{9503463A-8369-4E9E-AEDA-D72E2303EC38}"/>
    <hyperlink ref="J374" r:id="rId615" xr:uid="{E846C1E8-F950-4C29-8B2F-165F03B72384}"/>
    <hyperlink ref="M374" r:id="rId616" xr:uid="{28099A07-CA4B-43AD-9A70-9D4BE7CF604A}"/>
    <hyperlink ref="J375" r:id="rId617" xr:uid="{9F8723C8-77FB-40B9-965D-581291F929CF}"/>
    <hyperlink ref="M375" r:id="rId618" xr:uid="{BA8C75FD-44DA-4EF0-9CFB-F5B703FD5522}"/>
    <hyperlink ref="J376" r:id="rId619" xr:uid="{E6B034DD-8AB3-4DD7-BFB2-A9BC39C503CC}"/>
    <hyperlink ref="M376" r:id="rId620" xr:uid="{98F04153-40BB-4021-8752-9819BAC592BC}"/>
    <hyperlink ref="J377" r:id="rId621" xr:uid="{9C533332-42B9-4482-8636-606FA4283E1D}"/>
    <hyperlink ref="M377" r:id="rId622" xr:uid="{7BD8A4D7-A17B-47A1-ADD7-E332E0715BF9}"/>
    <hyperlink ref="J378" r:id="rId623" xr:uid="{78C74A8F-9AA0-46DA-B92E-D54DF01D67F3}"/>
    <hyperlink ref="M378" r:id="rId624" xr:uid="{64B20C41-8553-41B1-A9DD-795E4431816B}"/>
    <hyperlink ref="J379" r:id="rId625" xr:uid="{8FB8B7D0-A5BE-42BB-9CAE-5419B910AE70}"/>
    <hyperlink ref="M379" r:id="rId626" xr:uid="{37541A96-C1EB-4957-8C75-D2AA6C5CD820}"/>
    <hyperlink ref="J380" r:id="rId627" xr:uid="{33C99069-A7D2-4882-9C8F-E20925BA2F64}"/>
    <hyperlink ref="M380" r:id="rId628" xr:uid="{1A6E2CBC-2BF0-465A-ACCD-8EFA2CE6B416}"/>
    <hyperlink ref="J381" r:id="rId629" xr:uid="{8DAFF420-81E2-4E5A-830E-EE2BD2866C2D}"/>
    <hyperlink ref="M381" r:id="rId630" xr:uid="{8B8D5133-716F-4C05-BEB2-D98072156F00}"/>
    <hyperlink ref="J382" r:id="rId631" xr:uid="{1A96CB9A-6A49-4CCE-B3B9-F83B90848BC1}"/>
    <hyperlink ref="M382" r:id="rId632" xr:uid="{C81083F2-2838-4700-9A97-EE9429DA9254}"/>
    <hyperlink ref="J383" r:id="rId633" xr:uid="{0C23644E-6429-4D3F-A96C-4478F79E540F}"/>
    <hyperlink ref="M383" r:id="rId634" xr:uid="{F91D2651-F2E8-465E-9CBE-1645119207FC}"/>
    <hyperlink ref="J384" r:id="rId635" xr:uid="{0513F77B-AA76-41FB-A88D-A0B80CED3E9A}"/>
    <hyperlink ref="M384" r:id="rId636" xr:uid="{3F003FD6-96FA-48A3-BCDF-9B26C68735CA}"/>
    <hyperlink ref="J385" r:id="rId637" xr:uid="{05587920-88B6-4EB7-B41A-9CA949118130}"/>
    <hyperlink ref="M385" r:id="rId638" xr:uid="{724118B8-EC82-46D1-A5D7-E5CDAFFC755B}"/>
    <hyperlink ref="J386" r:id="rId639" xr:uid="{E2AF4941-83FA-43A7-A3A1-AE14D2BE8C14}"/>
    <hyperlink ref="M386" r:id="rId640" xr:uid="{7D2676C2-035B-4A82-B837-160A75A58CB1}"/>
    <hyperlink ref="J387" r:id="rId641" xr:uid="{3ECF3CD1-F50A-42E0-84DC-AA968531ECBA}"/>
    <hyperlink ref="J388" r:id="rId642" xr:uid="{0CAD3C70-6B62-4A63-BEDF-BA28E62CE1D5}"/>
    <hyperlink ref="M388" r:id="rId643" xr:uid="{D2D7746E-C581-445F-8EE0-A6B24653351D}"/>
    <hyperlink ref="J389" r:id="rId644" xr:uid="{45A7BCFF-3739-4BCE-A5FA-815081C5C338}"/>
    <hyperlink ref="M389" r:id="rId645" xr:uid="{0D0D63B0-C997-4226-B38B-6D4029627446}"/>
    <hyperlink ref="J390" r:id="rId646" xr:uid="{A7F1CBA6-C8FE-4EEB-8539-80C9923B516D}"/>
    <hyperlink ref="M390" r:id="rId647" xr:uid="{FD30806C-55CD-42E5-99AB-C05306B925EE}"/>
    <hyperlink ref="J391" r:id="rId648" xr:uid="{3FFC7889-EC1C-4792-AAAE-3D6FB0DFBDA9}"/>
    <hyperlink ref="M391" r:id="rId649" xr:uid="{BECC114C-231E-4A6B-B98E-F3DEC1629590}"/>
    <hyperlink ref="J392" r:id="rId650" xr:uid="{94E798FD-7501-4E7F-B28A-CC791CCED4EE}"/>
    <hyperlink ref="M392" r:id="rId651" xr:uid="{5A0FE4BD-84D1-43EC-8364-1FB00A6327F6}"/>
    <hyperlink ref="J393" r:id="rId652" xr:uid="{75AA9278-0863-48E6-A744-0765B17F75A6}"/>
    <hyperlink ref="M393" r:id="rId653" xr:uid="{3AC5E8A0-89BA-497F-B54D-659AF7FAAF10}"/>
    <hyperlink ref="J394" r:id="rId654" xr:uid="{51CB9123-387E-44E7-A67A-41B07AD79735}"/>
    <hyperlink ref="M394" r:id="rId655" xr:uid="{566BBDE1-7231-4BD9-8435-FA07C34F86FA}"/>
    <hyperlink ref="J395" r:id="rId656" xr:uid="{85E4B4A2-4241-43B4-9E5D-C456CBE2EA1E}"/>
    <hyperlink ref="M395" r:id="rId657" xr:uid="{A1477C0E-BD9B-4FC0-892D-52DBDE3AFF00}"/>
    <hyperlink ref="J396" r:id="rId658" xr:uid="{00EA2478-E2BB-4B78-9B8A-B1BADED30F75}"/>
    <hyperlink ref="M396" r:id="rId659" xr:uid="{A5B119DA-80EC-4F28-B795-3EA30FCC29FD}"/>
    <hyperlink ref="J397" r:id="rId660" xr:uid="{DB1B9EFC-1D61-468A-9BC8-B82C15860621}"/>
    <hyperlink ref="M397" r:id="rId661" xr:uid="{B5CD9EBB-8598-4F40-BED3-C050DBB43CED}"/>
    <hyperlink ref="J398" r:id="rId662" xr:uid="{33BE7110-CC2C-4067-8C90-5E386E7B2F3B}"/>
    <hyperlink ref="M398" r:id="rId663" xr:uid="{B22DDA9C-4C66-4AF0-8554-7BC8D2DB75AB}"/>
    <hyperlink ref="J399" r:id="rId664" xr:uid="{F3FA5976-9E75-4950-B1E7-AB6C57233AF7}"/>
    <hyperlink ref="M399" r:id="rId665" xr:uid="{EA671CB8-1063-4AD9-9E92-B7A3CBC5A5FD}"/>
    <hyperlink ref="J400" r:id="rId666" xr:uid="{029295D3-CE77-451C-AEB3-CB4A8094BB22}"/>
    <hyperlink ref="M400" r:id="rId667" xr:uid="{3DC56C17-A8A3-4F35-A634-30330DE1FA7A}"/>
    <hyperlink ref="J401" r:id="rId668" xr:uid="{546AFF64-6DB4-4351-9759-DC89C9C78822}"/>
    <hyperlink ref="M401" r:id="rId669" xr:uid="{27D3BB04-C762-427C-99C6-9638C110B7E8}"/>
    <hyperlink ref="J402" r:id="rId670" xr:uid="{E6F03422-A0D3-4967-A8C8-218BCDC726B2}"/>
    <hyperlink ref="M402" r:id="rId671" xr:uid="{E4A89DF7-30EF-4A7D-B5BC-178AD714EEC4}"/>
    <hyperlink ref="J403" r:id="rId672" xr:uid="{AC708EDA-7694-4192-ACA4-4BA534828806}"/>
    <hyperlink ref="M403" r:id="rId673" xr:uid="{7E57863C-DFF0-48DC-8E9D-FC4FF2A0966C}"/>
    <hyperlink ref="J404" r:id="rId674" xr:uid="{2BE42985-0F32-4C46-B01B-34BE92DB7D42}"/>
    <hyperlink ref="M404" r:id="rId675" xr:uid="{AFABD92E-4C11-4F8F-9381-7D69AC4C643B}"/>
    <hyperlink ref="J405" r:id="rId676" xr:uid="{3C792A6C-2318-4F2E-BD28-AF357F27E16A}"/>
    <hyperlink ref="M405" r:id="rId677" xr:uid="{83CD2423-2FE0-4C95-AEC9-B894646EABDC}"/>
    <hyperlink ref="J406" r:id="rId678" xr:uid="{28B58DDB-7978-4BA7-AECC-23D5C63D84F2}"/>
    <hyperlink ref="M406" r:id="rId679" xr:uid="{0C56F50C-23BA-415D-A95D-0B87B868B4D3}"/>
    <hyperlink ref="J407" r:id="rId680" xr:uid="{248AD445-A631-4FEA-8515-B6DE8C53777C}"/>
    <hyperlink ref="M407" r:id="rId681" xr:uid="{95476D22-6503-42CA-BC6C-D8F25A3B800E}"/>
    <hyperlink ref="J408" r:id="rId682" xr:uid="{03D5B1B9-65AC-423B-B0C6-641145911891}"/>
    <hyperlink ref="M408" r:id="rId683" xr:uid="{32F981E4-6DBD-4A93-AAA3-5012D166BB64}"/>
    <hyperlink ref="J409" r:id="rId684" xr:uid="{10A56CEE-6AB4-4DE6-A4E1-4545CD43A7A2}"/>
    <hyperlink ref="M409" r:id="rId685" xr:uid="{BB1C3162-A225-4A30-9B57-D9F3FCC6E905}"/>
    <hyperlink ref="J410" r:id="rId686" xr:uid="{CE25EADA-52ED-4E36-AD8A-74584561B59A}"/>
    <hyperlink ref="M410" r:id="rId687" xr:uid="{45B58AAE-9DC1-413F-87B4-B722CE28E140}"/>
    <hyperlink ref="J411" r:id="rId688" xr:uid="{BC8A29A1-C40D-4D4D-9C69-6B3B2343B6C5}"/>
    <hyperlink ref="M411" r:id="rId689" xr:uid="{61FA752F-7230-437A-88AE-1B42E78FAEE8}"/>
    <hyperlink ref="J412" r:id="rId690" xr:uid="{1E7E216F-3215-4B3E-BA1B-0418CD45F981}"/>
    <hyperlink ref="M412" r:id="rId691" xr:uid="{4071394C-9E6A-4C1E-BB47-64F12AEC1DFD}"/>
    <hyperlink ref="J413" r:id="rId692" xr:uid="{8FBCEAFE-7091-47CE-9BD4-7C4E06FEC1F0}"/>
    <hyperlink ref="M413" r:id="rId693" xr:uid="{BD0F10F5-05C5-4455-8A8E-1F770E62B6F1}"/>
    <hyperlink ref="J414" r:id="rId694" xr:uid="{0D129EC0-BFDC-46A4-A250-4551789D06EC}"/>
    <hyperlink ref="M414" r:id="rId695" xr:uid="{C8E88DB1-152C-4077-9EEE-5517D9A02638}"/>
    <hyperlink ref="J415" r:id="rId696" xr:uid="{6A621FF8-DC07-4D4E-860A-6B3DC7C179BA}"/>
    <hyperlink ref="M415" r:id="rId697" xr:uid="{8AEEAE70-9C78-4DB7-8B15-6CD8EDE04A27}"/>
    <hyperlink ref="J416" r:id="rId698" xr:uid="{8A197CE9-E02D-471B-A7E1-B13D757CF63A}"/>
    <hyperlink ref="J417" r:id="rId699" xr:uid="{28F5777F-E2D7-43AE-BDEB-9302975352DD}"/>
    <hyperlink ref="M417" r:id="rId700" xr:uid="{DD6C4ED3-4E90-45B6-975F-F2FF0A8C113E}"/>
    <hyperlink ref="J418" r:id="rId701" xr:uid="{6BF2E5A3-3BFF-451F-BE17-9C437B6012AC}"/>
    <hyperlink ref="M418" r:id="rId702" xr:uid="{262CCAFE-7D4C-46C5-A7EE-5353B6F76A9F}"/>
    <hyperlink ref="J419" r:id="rId703" xr:uid="{46128ED7-FFD8-44C3-99FF-2B15986DE8EB}"/>
    <hyperlink ref="J420" r:id="rId704" xr:uid="{3DF2921B-A974-4715-BEB8-AFDC0A098BE4}"/>
    <hyperlink ref="M420" r:id="rId705" xr:uid="{132F815C-42DD-4558-BC6E-5D0E6999A1DC}"/>
    <hyperlink ref="J421" r:id="rId706" xr:uid="{747E6796-E355-41BE-9187-40F48E19616B}"/>
    <hyperlink ref="M421" r:id="rId707" xr:uid="{F7D2B36A-1949-420C-BFE3-E24F41EFD99C}"/>
    <hyperlink ref="J422" r:id="rId708" xr:uid="{CE445A47-75DB-4504-923D-43CE775EDF5C}"/>
    <hyperlink ref="M422" r:id="rId709" xr:uid="{6D040DD7-5BF6-4A5E-88C7-D8FBCB8D3703}"/>
    <hyperlink ref="J423" r:id="rId710" xr:uid="{F9035E32-837B-4391-8AD4-5648BFB46EB1}"/>
    <hyperlink ref="M423" r:id="rId711" xr:uid="{B6C387D6-D70B-45B7-B888-5D10C6D03792}"/>
    <hyperlink ref="J424" r:id="rId712" xr:uid="{09ECE208-F217-481F-A1D7-3B63802E4380}"/>
    <hyperlink ref="M424" r:id="rId713" xr:uid="{F90DF8EE-A5FB-4DCC-9B7A-C4B40452DE71}"/>
    <hyperlink ref="J425" r:id="rId714" xr:uid="{03B0400B-A6E0-46CC-9CBE-844DD85C8C20}"/>
    <hyperlink ref="M425" r:id="rId715" xr:uid="{800EDBF3-AD64-4A99-80B4-BDF26C5D848B}"/>
    <hyperlink ref="J426" r:id="rId716" xr:uid="{B5431E05-384F-43CF-BBF4-A124B7BF317D}"/>
    <hyperlink ref="M426" r:id="rId717" xr:uid="{DD64D88E-3469-49C2-9387-71E4980F4979}"/>
    <hyperlink ref="J427" r:id="rId718" xr:uid="{07CD72C3-DB80-4A88-981A-04E15F7906C7}"/>
    <hyperlink ref="M427" r:id="rId719" xr:uid="{AF69C1F3-A329-4E53-B4E0-D2813E49C84D}"/>
    <hyperlink ref="J428" r:id="rId720" xr:uid="{474C5BF9-90C7-4D69-A234-4A781D6A667B}"/>
    <hyperlink ref="M428" r:id="rId721" xr:uid="{FFFEFFA7-CBAB-4FD8-97E4-95FF58021235}"/>
    <hyperlink ref="J429" r:id="rId722" xr:uid="{2289D57A-BA79-45E3-93D1-11C8165734B8}"/>
    <hyperlink ref="M429" r:id="rId723" xr:uid="{FEC884BE-C5B9-4315-884B-6235998520EF}"/>
    <hyperlink ref="J430" r:id="rId724" xr:uid="{6ED177A9-BEA1-4646-8911-B8F4E1F12711}"/>
    <hyperlink ref="M430" r:id="rId725" xr:uid="{CBA7FE9F-65A5-4555-957F-AC238ADE7FD7}"/>
    <hyperlink ref="J431" r:id="rId726" xr:uid="{739CB1CD-8742-4AEB-8700-D08FC1A9D351}"/>
    <hyperlink ref="M431" r:id="rId727" xr:uid="{FCF647DF-0AE5-445E-B4D5-C79D42ADFA4E}"/>
    <hyperlink ref="J432" r:id="rId728" xr:uid="{91D596EA-905B-4480-93E3-E24C7FE3F809}"/>
    <hyperlink ref="M432" r:id="rId729" xr:uid="{62CCFE87-F845-4898-B5EF-7F081714FC89}"/>
    <hyperlink ref="J433" r:id="rId730" xr:uid="{F3CB3BCB-BC77-44C5-ACFF-A2E1C2470B34}"/>
    <hyperlink ref="M433" r:id="rId731" xr:uid="{A97A3057-7EF8-4BC4-B279-F2331D1FE427}"/>
    <hyperlink ref="J434" r:id="rId732" xr:uid="{CBCBD5DF-4336-41DD-92E3-CA1AB9E5989E}"/>
    <hyperlink ref="M434" r:id="rId733" xr:uid="{F819C0FD-CABA-4876-9F5B-32569204F19D}"/>
    <hyperlink ref="J435" r:id="rId734" xr:uid="{15D08F9A-B472-4825-BF60-E75BE8A6CAD5}"/>
    <hyperlink ref="M435" r:id="rId735" xr:uid="{543493DA-1257-4957-8FEF-E3C6920E4791}"/>
    <hyperlink ref="J436" r:id="rId736" xr:uid="{0810BFE4-9351-4DB0-9198-FF14A9433619}"/>
    <hyperlink ref="M436" r:id="rId737" xr:uid="{4F1E12C7-3662-4F9D-A07D-FF87D353C2BE}"/>
    <hyperlink ref="J437" r:id="rId738" xr:uid="{2B53DEE7-F98B-4FD7-BE98-7854136470B9}"/>
    <hyperlink ref="M437" r:id="rId739" xr:uid="{2F87442C-0E92-4CC5-B68A-2E1C5E39B7E6}"/>
    <hyperlink ref="J438" r:id="rId740" xr:uid="{218F1951-5E99-4F5A-88E0-EEE48B057FB3}"/>
    <hyperlink ref="M438" r:id="rId741" xr:uid="{F748FDA7-CDCB-4457-BA7E-431B95554C1F}"/>
    <hyperlink ref="J439" r:id="rId742" xr:uid="{FCC5E2EB-B8D4-4C39-ABFE-FC9EA107272B}"/>
    <hyperlink ref="M439" r:id="rId743" xr:uid="{E4C8FAE2-0B1A-4BB4-828D-FAF5BB21E943}"/>
    <hyperlink ref="J440" r:id="rId744" xr:uid="{A1266476-446F-4726-A422-D55DC5153CD8}"/>
    <hyperlink ref="M440" r:id="rId745" xr:uid="{E3146919-640F-4767-9CBB-8D9836320B48}"/>
    <hyperlink ref="J441" r:id="rId746" xr:uid="{3A3875B9-4172-487C-BDDF-A39B2BA73CA8}"/>
    <hyperlink ref="M441" r:id="rId747" xr:uid="{1505769C-E538-4126-BBC0-F7216031BD31}"/>
    <hyperlink ref="J442" r:id="rId748" xr:uid="{6E545BBF-CCFB-4789-B82C-031A95B1F3D9}"/>
    <hyperlink ref="M442" r:id="rId749" xr:uid="{28B2FF7A-5BD0-4E25-A498-F8D51638A1C5}"/>
    <hyperlink ref="J443" r:id="rId750" xr:uid="{C52FF032-BEF4-46A3-8304-E7D02E8F8FFD}"/>
    <hyperlink ref="M443" r:id="rId751" xr:uid="{A2D0F6A5-846B-4911-96B0-6F36EE224EBA}"/>
    <hyperlink ref="J444" r:id="rId752" xr:uid="{82FB819A-A28E-4CEB-A626-4E379D2BA005}"/>
    <hyperlink ref="M444" r:id="rId753" xr:uid="{41633B6D-48CE-43BE-B6CC-1B012FD8859F}"/>
    <hyperlink ref="J445" r:id="rId754" xr:uid="{1E2C05A0-713E-4E6F-9C0F-271E1739A585}"/>
    <hyperlink ref="M445" r:id="rId755" xr:uid="{A61262F6-FF6E-4110-B848-CFA39D5F15CF}"/>
    <hyperlink ref="J446" r:id="rId756" xr:uid="{7567C678-C271-4487-A597-188414B4BAE5}"/>
    <hyperlink ref="M446" r:id="rId757" xr:uid="{B5AF0849-21D6-49E4-99FD-233BAB3F7011}"/>
    <hyperlink ref="J447" r:id="rId758" xr:uid="{75C82FE7-D750-4EE0-ABAC-7AD15E923D88}"/>
    <hyperlink ref="M447" r:id="rId759" xr:uid="{8DCC498E-6FFF-4DF0-A0D6-251201D02323}"/>
    <hyperlink ref="J448" r:id="rId760" xr:uid="{8D1009C3-CEB1-47F6-A7B4-D8305892D968}"/>
    <hyperlink ref="J449" r:id="rId761" xr:uid="{98DE3625-4088-4D66-8EB2-9901EEB31809}"/>
    <hyperlink ref="M449" r:id="rId762" xr:uid="{F7F3D9E6-0CC8-4D0F-B004-78521011F2A4}"/>
    <hyperlink ref="J450" r:id="rId763" xr:uid="{2CFC2E23-28D3-44F5-8A4A-4B8731013A83}"/>
    <hyperlink ref="M450" r:id="rId764" xr:uid="{CB4B1968-D5D3-489B-BDBB-EAAC0E5D9FE5}"/>
    <hyperlink ref="J451" r:id="rId765" xr:uid="{A093DCB8-813A-4BF6-AC5D-18A847DFFF99}"/>
    <hyperlink ref="J452" r:id="rId766" xr:uid="{EE7B04E5-6215-4000-9396-33B92DE2EBCD}"/>
    <hyperlink ref="J453" r:id="rId767" xr:uid="{389F39EF-9F7F-43E8-AD72-C8BBC444C212}"/>
    <hyperlink ref="J454" r:id="rId768" xr:uid="{F8B32534-F33B-468F-A4DA-B0111CA61D05}"/>
    <hyperlink ref="M454" r:id="rId769" xr:uid="{69CCE04F-4300-4D79-81F5-5F8F4C00C582}"/>
    <hyperlink ref="J455" r:id="rId770" xr:uid="{4505C4DA-1A4B-4D6C-95A0-9AEAD51E6D3F}"/>
    <hyperlink ref="M455" r:id="rId771" xr:uid="{150E4654-7848-44DE-A8D5-BF32F0C0561F}"/>
    <hyperlink ref="J456" r:id="rId772" xr:uid="{C64AD95C-FE75-4DA4-A3C4-B47CE5ECBA0F}"/>
    <hyperlink ref="M456" r:id="rId773" xr:uid="{7502F6C0-1F08-4BA3-BCEC-028117E859FF}"/>
    <hyperlink ref="J457" r:id="rId774" xr:uid="{2FCBFF31-2E0A-408C-B3DB-B31B5F5E5F39}"/>
    <hyperlink ref="M457" r:id="rId775" xr:uid="{E51C6313-2D9F-4B56-8E96-6A01A23BC5D3}"/>
    <hyperlink ref="J458" r:id="rId776" xr:uid="{7D842AC9-B957-41A8-BD16-5CBE2F9B7035}"/>
    <hyperlink ref="M458" r:id="rId777" xr:uid="{970D2D2B-6B8C-4C41-8EE3-A076F16F8416}"/>
    <hyperlink ref="J459" r:id="rId778" xr:uid="{7580B8B4-4197-4B15-AC1D-7EC44D5AD040}"/>
    <hyperlink ref="M459" r:id="rId779" xr:uid="{7934B449-01DA-4079-A35A-E21FFAA4398E}"/>
    <hyperlink ref="J460" r:id="rId780" xr:uid="{6AEFD346-46F6-495A-91F1-E6B7CB085F8A}"/>
    <hyperlink ref="M460" r:id="rId781" xr:uid="{816024C1-53B1-4C94-AFFD-D6BB54C1C234}"/>
    <hyperlink ref="J461" r:id="rId782" xr:uid="{294009B1-0DDE-4036-B78C-7A57C3FB6E54}"/>
    <hyperlink ref="M461" r:id="rId783" xr:uid="{D6F09487-29D1-47FF-9263-5718C3468CA4}"/>
    <hyperlink ref="J462" r:id="rId784" xr:uid="{E30AEBB3-D23B-4970-A8C0-CF02297AB1B9}"/>
    <hyperlink ref="M462" r:id="rId785" xr:uid="{B91F5DEA-A196-4DF5-8424-06063D210971}"/>
    <hyperlink ref="J463" r:id="rId786" xr:uid="{3B349144-3CA3-4ABC-92ED-5AA6106C963A}"/>
    <hyperlink ref="M463" r:id="rId787" xr:uid="{6C8C393E-A5DF-44E1-8B86-8A7D1F7BBA67}"/>
    <hyperlink ref="J464" r:id="rId788" xr:uid="{868ABA89-E946-4AAC-8A9F-DE6EA71B4DCC}"/>
    <hyperlink ref="M464" r:id="rId789" xr:uid="{522B1C04-A836-44FA-99AA-99D5A653261F}"/>
    <hyperlink ref="J465" r:id="rId790" xr:uid="{DAA54FF8-E59D-4F8A-A960-FFF22308F536}"/>
    <hyperlink ref="M465" r:id="rId791" xr:uid="{74E90C63-FDAA-4B31-9ED0-BBC52B226B95}"/>
    <hyperlink ref="J466" r:id="rId792" xr:uid="{7DB34913-F750-4666-AA43-9F8941F0C490}"/>
    <hyperlink ref="M466" r:id="rId793" xr:uid="{49A0996D-02D3-4621-A4F7-61ACFAA17599}"/>
    <hyperlink ref="J467" r:id="rId794" xr:uid="{1A374C98-EE8A-40F6-AA8D-527ADC2FA149}"/>
    <hyperlink ref="M467" r:id="rId795" xr:uid="{8ADF1025-524B-4FBB-A16A-07A40DF31E71}"/>
    <hyperlink ref="J468" r:id="rId796" xr:uid="{5DF1A50B-9397-4614-8EC6-6903B05EB285}"/>
    <hyperlink ref="M468" r:id="rId797" xr:uid="{D3D59BF0-0F14-4EA1-AFF5-1725E100C27D}"/>
    <hyperlink ref="J469" r:id="rId798" xr:uid="{8612CFEC-EA0B-4850-93F2-D786244FEFB6}"/>
    <hyperlink ref="M469" r:id="rId799" xr:uid="{39A32EBD-9BCA-40E4-A3DA-CBD86D368171}"/>
    <hyperlink ref="J470" r:id="rId800" xr:uid="{6B284E4F-C6C9-4931-A16D-33ABD285C8CE}"/>
    <hyperlink ref="M470" r:id="rId801" xr:uid="{65DD4392-885C-4EB3-A7FF-FAAF23BC2756}"/>
    <hyperlink ref="J471" r:id="rId802" xr:uid="{8E3B2C7B-8836-4048-A151-F8966F7841E8}"/>
    <hyperlink ref="M471" r:id="rId803" xr:uid="{8E18437D-A34F-4299-9532-FCEF09804092}"/>
    <hyperlink ref="J472" r:id="rId804" xr:uid="{E8E37A4D-B972-413A-91FF-30D3D6EA0FA1}"/>
    <hyperlink ref="M472" r:id="rId805" xr:uid="{83CF09BF-C21E-4470-88CD-B1DB6B06A86D}"/>
    <hyperlink ref="J473" r:id="rId806" xr:uid="{88BB887D-E4B7-4B9A-95EE-40F03B668B26}"/>
    <hyperlink ref="M473" r:id="rId807" xr:uid="{0A3D857A-5DF3-41CF-848A-393A4F512020}"/>
    <hyperlink ref="J474" r:id="rId808" xr:uid="{C140FEA6-A360-4875-951F-5795EDF86B44}"/>
    <hyperlink ref="M474" r:id="rId809" xr:uid="{D4A88C53-27F4-413A-B852-7CB5D2F9B0C0}"/>
    <hyperlink ref="J475" r:id="rId810" xr:uid="{AE71807B-69F2-4C3E-A0A3-03C2C9B7C173}"/>
    <hyperlink ref="M475" r:id="rId811" xr:uid="{85C44906-DEB6-40F2-8682-C1CAB7156680}"/>
    <hyperlink ref="J476" r:id="rId812" xr:uid="{DD04E545-51DC-43D9-8BF9-900A134F59E6}"/>
    <hyperlink ref="M476" r:id="rId813" xr:uid="{5D44A97C-C016-45EB-9AAC-F07D1161CBC8}"/>
    <hyperlink ref="J477" r:id="rId814" xr:uid="{AC8B807E-73F8-4E8E-A21E-00B846662128}"/>
    <hyperlink ref="M477" r:id="rId815" xr:uid="{12F13366-5BD8-42D6-A9D2-45ADBEBD5B8C}"/>
    <hyperlink ref="J478" r:id="rId816" xr:uid="{CC1F8ABA-8BD5-4943-A525-8FCEA723AEE5}"/>
    <hyperlink ref="M478" r:id="rId817" xr:uid="{95778438-D484-45E8-B03F-1DD16A2C74FC}"/>
    <hyperlink ref="J479" r:id="rId818" xr:uid="{60B1F25D-49B8-42E3-B33D-F06E27CCCFC3}"/>
    <hyperlink ref="M479" r:id="rId819" xr:uid="{B31E19B1-1546-4AD5-83E7-59C5A7020983}"/>
    <hyperlink ref="J480" r:id="rId820" xr:uid="{9806511B-B616-4EAC-B487-51060A91B072}"/>
    <hyperlink ref="M480" r:id="rId821" xr:uid="{731515B8-8465-4646-8032-4A0611D7E099}"/>
    <hyperlink ref="J481" r:id="rId822" xr:uid="{1D6B892D-50E2-45D5-AEE1-15F843B59660}"/>
    <hyperlink ref="M481" r:id="rId823" xr:uid="{AF57C910-5E6B-4A41-B376-973126013B75}"/>
    <hyperlink ref="J482" r:id="rId824" xr:uid="{A0340EC2-0763-41D1-BDFD-ACC0D5900470}"/>
    <hyperlink ref="M482" r:id="rId825" xr:uid="{00A9167A-1130-472A-B1EB-10FCE96D34BD}"/>
    <hyperlink ref="J483" r:id="rId826" xr:uid="{0104B090-AE5E-4F3F-9FEB-70E386A66CFE}"/>
    <hyperlink ref="M483" r:id="rId827" xr:uid="{2761F21D-68BF-4AC0-83E8-04741E2C88F8}"/>
    <hyperlink ref="J484" r:id="rId828" xr:uid="{DE04AA18-271D-4417-BDC4-366EC3A46E3C}"/>
    <hyperlink ref="M484" r:id="rId829" xr:uid="{4FBF40F1-F736-4DB0-9ED3-E16306141744}"/>
    <hyperlink ref="J485" r:id="rId830" xr:uid="{433F1BC7-4998-4236-BB2C-EFB6E8A65987}"/>
    <hyperlink ref="M485" r:id="rId831" xr:uid="{78C79B7D-2D9C-4AF6-9528-5069AAE0A4B6}"/>
    <hyperlink ref="J486" r:id="rId832" xr:uid="{C54A23E2-048E-44B8-AEBB-CE6473CB82D6}"/>
    <hyperlink ref="M486" r:id="rId833" xr:uid="{C0C85B7A-EC34-4FCF-8E36-2CB219F7C8B7}"/>
    <hyperlink ref="J487" r:id="rId834" xr:uid="{915E550C-A059-4485-ADD5-C5341FF98CDE}"/>
    <hyperlink ref="M487" r:id="rId835" xr:uid="{DB95A9D2-8039-4052-AD35-C694ED5D06E6}"/>
    <hyperlink ref="J488" r:id="rId836" xr:uid="{69D3F5C0-8BA8-439B-8BB8-93D0AABB9BE5}"/>
    <hyperlink ref="M488" r:id="rId837" xr:uid="{64C7484B-50C7-4A16-9245-C3BA01D077F1}"/>
    <hyperlink ref="J489" r:id="rId838" xr:uid="{9877E038-A59B-43A6-A1F6-811C06CB87C6}"/>
    <hyperlink ref="M489" r:id="rId839" xr:uid="{BF3D7002-2286-43C9-98A4-F5D0722C3019}"/>
    <hyperlink ref="J490" r:id="rId840" xr:uid="{863A7531-EA02-4A65-B7CB-AF9E761BD6E0}"/>
    <hyperlink ref="M490" r:id="rId841" xr:uid="{307E2FA1-70A0-4A02-9742-29218A752268}"/>
    <hyperlink ref="J491" r:id="rId842" xr:uid="{F5B987BD-42B0-4298-B589-441EB18BC22F}"/>
    <hyperlink ref="M491" r:id="rId843" xr:uid="{846217ED-5029-4739-A895-AD789BD1489B}"/>
    <hyperlink ref="J492" r:id="rId844" xr:uid="{A4F40656-CE21-4256-AF2D-ADDAD7C87715}"/>
    <hyperlink ref="M492" r:id="rId845" xr:uid="{0C5191BA-D70A-4728-B3F5-EA6675B4C81B}"/>
    <hyperlink ref="J493" r:id="rId846" xr:uid="{DCF4231E-F802-4DAB-9543-E755A829BCA0}"/>
    <hyperlink ref="M493" r:id="rId847" xr:uid="{B164AA94-0D4A-47C5-8391-EA0C09B4DE0B}"/>
    <hyperlink ref="J494" r:id="rId848" xr:uid="{B25EF701-D1B6-4FF3-8C42-771EED47EAC4}"/>
    <hyperlink ref="M494" r:id="rId849" xr:uid="{C3B45C63-858D-4DEC-9F21-E32334C5D2FC}"/>
    <hyperlink ref="J495" r:id="rId850" xr:uid="{505DFB07-2DC3-4DC2-BAA5-AB39860D0797}"/>
    <hyperlink ref="M495" r:id="rId851" xr:uid="{F8376A58-488C-4848-86BB-22A2C39229EF}"/>
    <hyperlink ref="J496" r:id="rId852" xr:uid="{38DA34AF-550E-4A03-B2DF-AF162A4D39FD}"/>
    <hyperlink ref="M496" r:id="rId853" xr:uid="{79D06988-0D21-4B54-84C2-C8ED466A45EF}"/>
    <hyperlink ref="J497" r:id="rId854" xr:uid="{9CFD51C1-8189-4A80-A827-F71770A74BBC}"/>
    <hyperlink ref="M497" r:id="rId855" xr:uid="{F0FAE31C-8FBA-4C9E-A50B-89DE92586A4B}"/>
    <hyperlink ref="J498" r:id="rId856" xr:uid="{31B4DEC4-AEF9-4567-95D9-1991FEA3DE3B}"/>
    <hyperlink ref="M498" r:id="rId857" xr:uid="{6D01AD6F-014F-4598-8E68-4B36447C7EC8}"/>
    <hyperlink ref="J499" r:id="rId858" xr:uid="{2CF335E9-C69B-4216-9424-1E6D1A6086D3}"/>
    <hyperlink ref="M499" r:id="rId859" xr:uid="{4CAB6C48-58C6-44F3-A40D-12E07704D724}"/>
    <hyperlink ref="J500" r:id="rId860" xr:uid="{75F1D539-6D98-4C06-A40F-84F534B23565}"/>
    <hyperlink ref="M500" r:id="rId861" xr:uid="{728D46E2-703B-4E38-AB68-E798BD66A28A}"/>
    <hyperlink ref="J501" r:id="rId862" xr:uid="{6D722E82-2E04-4F7A-8430-637376D78FAB}"/>
    <hyperlink ref="M501" r:id="rId863" xr:uid="{2CE5A2A2-08E0-40BA-8F56-450632F31153}"/>
    <hyperlink ref="J502" r:id="rId864" xr:uid="{67C7481C-8626-4021-A6FA-ACE6EC32AA49}"/>
    <hyperlink ref="M502" r:id="rId865" xr:uid="{10E96B62-C959-4078-8CA4-E9FF92E6F75E}"/>
    <hyperlink ref="J503" r:id="rId866" xr:uid="{EEA6E81F-2801-491E-9516-5819DEF34289}"/>
    <hyperlink ref="M503" r:id="rId867" xr:uid="{C47BCCAF-571C-4EE5-B26D-4EC2542254C0}"/>
    <hyperlink ref="J504" r:id="rId868" xr:uid="{36691626-C6DE-4ABD-AE67-4B6A70A1FC3C}"/>
    <hyperlink ref="M504" r:id="rId869" xr:uid="{EBABE5EA-BBF8-45B7-AE47-410942CB031C}"/>
    <hyperlink ref="J505" r:id="rId870" xr:uid="{40D2B673-54D9-4592-ABBB-41BAA96202F9}"/>
    <hyperlink ref="M505" r:id="rId871" xr:uid="{B8E89567-2607-4254-A78C-5D0FD2D2F8A3}"/>
    <hyperlink ref="J506" r:id="rId872" xr:uid="{15534530-7384-40F8-B578-54885BE82A7F}"/>
    <hyperlink ref="M506" r:id="rId873" xr:uid="{CC413909-E894-4274-BC5F-54ED29213C0C}"/>
    <hyperlink ref="J507" r:id="rId874" xr:uid="{AB2723A3-A0E6-4EDF-93A2-74E5ADDBBA10}"/>
    <hyperlink ref="M507" r:id="rId875" xr:uid="{82D46E95-D9CA-4FE9-8A15-E24FABEB2160}"/>
    <hyperlink ref="J508" r:id="rId876" xr:uid="{7D9EBB28-D982-4839-8A8E-14B6FD8511F9}"/>
    <hyperlink ref="M508" r:id="rId877" xr:uid="{1977A6EE-24C8-4CF7-AF35-C22EACCA1597}"/>
    <hyperlink ref="J509" r:id="rId878" xr:uid="{77C596CE-ACDA-4BBC-A49B-104CAC05A370}"/>
    <hyperlink ref="M509" r:id="rId879" xr:uid="{6E5AC40A-9BD1-4490-BD0D-11F398F992FA}"/>
    <hyperlink ref="J510" r:id="rId880" xr:uid="{FE1ACA11-1C0D-407F-B48E-1FF06BC5EA40}"/>
    <hyperlink ref="M510" r:id="rId881" xr:uid="{68D78411-4563-42A9-9418-DF209202392C}"/>
    <hyperlink ref="J511" r:id="rId882" xr:uid="{2DC56BF6-2BE0-4CEA-AC91-B4AC4570285D}"/>
    <hyperlink ref="M511" r:id="rId883" xr:uid="{0438AAE9-63C0-4F86-A8EB-B4357C3750E8}"/>
    <hyperlink ref="J512" r:id="rId884" xr:uid="{8204CB45-F7D1-4D49-BF9A-B5C66A001941}"/>
    <hyperlink ref="M512" r:id="rId885" xr:uid="{B143450E-AF9E-42DE-8DC6-42D1DCD9A61B}"/>
    <hyperlink ref="J513" r:id="rId886" xr:uid="{BAEB9996-9BA1-421C-94BD-8BA7CF232E05}"/>
    <hyperlink ref="M513" r:id="rId887" xr:uid="{CAAA4884-301F-42AB-BEFF-EC70B3EB0049}"/>
    <hyperlink ref="J514" r:id="rId888" xr:uid="{2B960598-8985-4308-A3C5-A3EC704201E9}"/>
    <hyperlink ref="M514" r:id="rId889" xr:uid="{A4028C24-3BE9-47E3-9F7F-EF01AFB7648D}"/>
    <hyperlink ref="J515" r:id="rId890" xr:uid="{0854CFBF-C41E-42E6-8721-5E38CD8A70AE}"/>
    <hyperlink ref="M515" r:id="rId891" xr:uid="{9CA0BB25-FDF6-475A-B87E-689114610A12}"/>
    <hyperlink ref="J516" r:id="rId892" xr:uid="{125F52C7-D427-4172-9994-579BEF75D75F}"/>
    <hyperlink ref="M516" r:id="rId893" xr:uid="{AF09D94A-D1D2-4A31-AE27-095B4C93608B}"/>
    <hyperlink ref="J517" r:id="rId894" xr:uid="{10C7810B-F052-4B4E-927E-868C2C94F29B}"/>
    <hyperlink ref="M517" r:id="rId895" xr:uid="{9767AD58-5602-4CDD-8D41-0E2899271B66}"/>
    <hyperlink ref="J518" r:id="rId896" xr:uid="{D2C8B2B3-8305-4971-8C2F-CBA64C0F2BC0}"/>
    <hyperlink ref="M518" r:id="rId897" xr:uid="{260542B8-4E72-454E-AD46-C7DD7700742F}"/>
    <hyperlink ref="J519" r:id="rId898" xr:uid="{8DF6C56A-590B-4721-BCF2-DA76A87CAF56}"/>
    <hyperlink ref="M519" r:id="rId899" xr:uid="{8569CA0E-5EA1-471D-B3FD-8FA2E699B20F}"/>
    <hyperlink ref="J520" r:id="rId900" xr:uid="{EE9F38E4-4F72-459B-A461-6F63EE97C420}"/>
    <hyperlink ref="M520" r:id="rId901" xr:uid="{C8ADEFBA-D804-4785-9FEE-32D6FAF9C464}"/>
    <hyperlink ref="J521" r:id="rId902" xr:uid="{31373EFA-84F7-4899-86F3-5D987EBEA3C8}"/>
    <hyperlink ref="M521" r:id="rId903" xr:uid="{A206A9A7-F009-432F-B2BC-72D493A3A956}"/>
    <hyperlink ref="J522" r:id="rId904" xr:uid="{2A6C82D3-ECFE-4AF5-8D6B-A3631A7F2D35}"/>
    <hyperlink ref="M522" r:id="rId905" xr:uid="{993B3F40-14D5-435A-B28C-624EE7C5C379}"/>
    <hyperlink ref="J523" r:id="rId906" xr:uid="{A1CCDB42-8D9D-4D7C-A7AB-AFD83E9216C8}"/>
    <hyperlink ref="M523" r:id="rId907" xr:uid="{45119D33-02DC-405E-81DA-234DBD76BF5E}"/>
    <hyperlink ref="J524" r:id="rId908" xr:uid="{53D2BEDA-91C8-4D2B-B027-32FEB2DB1EBD}"/>
    <hyperlink ref="M524" r:id="rId909" xr:uid="{FDC6295B-ABAF-4851-8785-A95D1D04F36F}"/>
    <hyperlink ref="J525" r:id="rId910" xr:uid="{60DD0927-1F03-4321-BA90-BBA280DCD9FC}"/>
    <hyperlink ref="M525" r:id="rId911" xr:uid="{871E06D7-FB8A-4440-B958-F1A2FEDBC955}"/>
    <hyperlink ref="J526" r:id="rId912" xr:uid="{1E92DEE4-F30B-4C3C-98CD-A30021690271}"/>
    <hyperlink ref="M526" r:id="rId913" xr:uid="{1D8B66E5-47EA-4D6F-B274-C088FFFFE005}"/>
    <hyperlink ref="J527" r:id="rId914" xr:uid="{17913A78-AE66-43FC-94E8-1EA3210312F2}"/>
    <hyperlink ref="M527" r:id="rId915" xr:uid="{C3AF12F3-330B-4E57-A83D-B50FC5B5FA83}"/>
    <hyperlink ref="J528" r:id="rId916" xr:uid="{2CFD0E21-D21D-4DFA-8D11-B763C943A9E6}"/>
    <hyperlink ref="M528" r:id="rId917" xr:uid="{C5DDB8C4-04D4-41D8-A7D6-9F3873FC6219}"/>
    <hyperlink ref="J529" r:id="rId918" xr:uid="{B1F22148-D279-4E7E-84E4-DF6AF11F7C42}"/>
    <hyperlink ref="M529" r:id="rId919" xr:uid="{9056D41D-F317-427C-9D84-CEB1201EECEA}"/>
    <hyperlink ref="J530" r:id="rId920" xr:uid="{C5C664A0-633B-4007-8861-CE0B15599F55}"/>
    <hyperlink ref="M530" r:id="rId921" xr:uid="{02AF6AEE-AF06-4831-9F93-BCC804DC0E17}"/>
    <hyperlink ref="J531" r:id="rId922" xr:uid="{478FC49A-0989-4CA5-84D5-4C4702CC24CE}"/>
    <hyperlink ref="M531" r:id="rId923" xr:uid="{BCF895E2-5065-4E70-B37D-DA50E65078C4}"/>
    <hyperlink ref="J532" r:id="rId924" xr:uid="{F7214815-62A1-4F49-8B1F-6CB786046EF1}"/>
    <hyperlink ref="M532" r:id="rId925" xr:uid="{AC11085C-1B71-4E73-8986-01A68F0E4AAD}"/>
    <hyperlink ref="J533" r:id="rId926" xr:uid="{A721B9C1-4C39-467C-BC42-25A86B4FBDB6}"/>
    <hyperlink ref="M533" r:id="rId927" xr:uid="{247D84CA-7230-41DA-8ED9-FAC617CCE3E7}"/>
    <hyperlink ref="J534" r:id="rId928" xr:uid="{DE816E53-3591-4185-AC46-73314BE66901}"/>
    <hyperlink ref="M534" r:id="rId929" xr:uid="{0317E86B-EFDD-4F9F-B4B2-DE1B29D46885}"/>
    <hyperlink ref="J535" r:id="rId930" xr:uid="{99C31E8A-2385-4A13-A36C-A0990938F118}"/>
    <hyperlink ref="M535" r:id="rId931" xr:uid="{93AECCFB-163E-4BFB-85BE-073534642526}"/>
    <hyperlink ref="J536" r:id="rId932" xr:uid="{0778F03C-B61F-4FF4-A3E1-6CE7BDFB6E5B}"/>
    <hyperlink ref="M536" r:id="rId933" xr:uid="{BBFE6D83-37F8-4490-AE6D-48AF4A12B250}"/>
    <hyperlink ref="J537" r:id="rId934" xr:uid="{B881BAA8-0F3D-4670-8741-3C81AE70FC7C}"/>
    <hyperlink ref="M537" r:id="rId935" xr:uid="{0F793824-8362-436C-A466-9AD35D3950F9}"/>
    <hyperlink ref="J538" r:id="rId936" xr:uid="{4DBFF3CD-A922-45A2-940D-B03C5DBAFD8A}"/>
    <hyperlink ref="M538" r:id="rId937" xr:uid="{DC838504-FFC7-44C7-AD88-FA2FA3F44958}"/>
    <hyperlink ref="J539" r:id="rId938" xr:uid="{EF19F2E5-F0B8-4123-837F-9F5DD0F586FD}"/>
    <hyperlink ref="M539" r:id="rId939" xr:uid="{675D1644-79AB-4752-9FB3-4C6F979F749A}"/>
    <hyperlink ref="J540" r:id="rId940" xr:uid="{B5F043BF-C50F-4D3D-B49B-FBE13921BE6A}"/>
    <hyperlink ref="M540" r:id="rId941" xr:uid="{D2F6016B-5932-4BA6-8F42-2A8E0BD9DC6F}"/>
    <hyperlink ref="J541" r:id="rId942" xr:uid="{376999E8-9D5F-40CC-BEF9-1B307A9247A0}"/>
    <hyperlink ref="M541" r:id="rId943" xr:uid="{D4D68549-63A1-4A95-A30E-74566DFED981}"/>
    <hyperlink ref="J542" r:id="rId944" xr:uid="{BF62BE99-B564-45C3-B10D-920D0AFF8DD7}"/>
    <hyperlink ref="M542" r:id="rId945" xr:uid="{FC935D66-70A7-413B-81CB-FC5D8E4430A1}"/>
    <hyperlink ref="J543" r:id="rId946" xr:uid="{AAA8B199-4DB2-4A2D-B70A-CD793F7E60AA}"/>
    <hyperlink ref="M543" r:id="rId947" xr:uid="{440277F3-C5D9-4CBF-9917-B2EA86723396}"/>
    <hyperlink ref="J544" r:id="rId948" xr:uid="{C084DDCB-DD4C-4C03-8C56-4AE9D2D74B2C}"/>
    <hyperlink ref="M544" r:id="rId949" xr:uid="{C98215BD-28B8-4758-B3CD-C6613DC134CF}"/>
    <hyperlink ref="J545" r:id="rId950" xr:uid="{D3D980F4-7A12-407C-948A-5516DAC03DB0}"/>
    <hyperlink ref="M545" r:id="rId951" xr:uid="{83B1332B-BF43-4766-9DFA-604A47C086B3}"/>
    <hyperlink ref="J546" r:id="rId952" xr:uid="{5DD25DE0-A876-4B95-BA5D-C135827F55BF}"/>
    <hyperlink ref="M546" r:id="rId953" xr:uid="{7D2B0648-DD40-4ED1-B27B-301B5CCE5BDB}"/>
    <hyperlink ref="J547" r:id="rId954" xr:uid="{361A459F-D71E-44B3-B66A-4FB50BC2F3D4}"/>
    <hyperlink ref="M547" r:id="rId955" xr:uid="{6AFA0627-76EB-4E70-80A4-A42A028BBFAB}"/>
    <hyperlink ref="J548" r:id="rId956" xr:uid="{D3F85975-534B-4FAC-B0A0-8FFB1A1F9B88}"/>
    <hyperlink ref="M548" r:id="rId957" xr:uid="{4F7D3CD6-CBBA-47FF-8972-A278C1FAB83D}"/>
    <hyperlink ref="J549" r:id="rId958" xr:uid="{4A4E17EA-CF82-4E0C-8921-9FF2696AB5F2}"/>
    <hyperlink ref="M549" r:id="rId959" xr:uid="{1237E359-A357-4E33-AF38-2C21C9D180C6}"/>
    <hyperlink ref="J550" r:id="rId960" xr:uid="{A39BCEC0-EEC6-400E-90A4-14EC859E9974}"/>
    <hyperlink ref="M550" r:id="rId961" xr:uid="{A58A5B2E-32F4-4D29-94A9-B086E8340F1B}"/>
    <hyperlink ref="J551" r:id="rId962" xr:uid="{6782B17D-9DD8-498E-8B67-E89CFCBE529C}"/>
    <hyperlink ref="M551" r:id="rId963" xr:uid="{387FFA4B-6F13-4BEF-8AAF-366FAE71DA3C}"/>
    <hyperlink ref="J552" r:id="rId964" xr:uid="{2469EE62-6E05-4D62-BA32-84D7B4305CA4}"/>
    <hyperlink ref="M552" r:id="rId965" xr:uid="{8A770E8A-791D-43A5-B4C7-A37E5D51BA6F}"/>
    <hyperlink ref="J553" r:id="rId966" xr:uid="{B36ED828-3748-4E0C-B008-D7BEC6F3BF98}"/>
    <hyperlink ref="M553" r:id="rId967" xr:uid="{58105A58-EF28-4EC6-B053-81FCE20E126A}"/>
    <hyperlink ref="J554" r:id="rId968" xr:uid="{5053DB14-2226-4EC3-9C27-1D710A9CF59C}"/>
    <hyperlink ref="M554" r:id="rId969" xr:uid="{AE366414-D0FC-4F9A-913E-C041F34C6F4E}"/>
    <hyperlink ref="J555" r:id="rId970" xr:uid="{17D4A005-0434-4C9B-86D4-AF7529E8EBB4}"/>
    <hyperlink ref="M555" r:id="rId971" xr:uid="{0856EA76-B3EB-4DDD-A508-CA9D0F95AC22}"/>
    <hyperlink ref="J556" r:id="rId972" xr:uid="{8645D7AB-A301-4512-B667-829FC3D5CADB}"/>
    <hyperlink ref="M556" r:id="rId973" xr:uid="{DA60F50A-A694-483F-A9E9-0855AB4E3C7F}"/>
    <hyperlink ref="J557" r:id="rId974" xr:uid="{1761FE07-D3D0-4CBF-91F3-A4BF60B09B48}"/>
    <hyperlink ref="M557" r:id="rId975" xr:uid="{597100FE-65D1-49B7-94A4-AC082C0B5379}"/>
    <hyperlink ref="J558" r:id="rId976" xr:uid="{207F1F79-B575-45BC-9ABF-33B31AA80F6E}"/>
    <hyperlink ref="M558" r:id="rId977" xr:uid="{26FA2CED-C9B0-4C78-AC5B-FF5CCE70F313}"/>
    <hyperlink ref="J559" r:id="rId978" xr:uid="{4426CE3A-E0F9-4326-853C-E294EA9C0626}"/>
    <hyperlink ref="M559" r:id="rId979" xr:uid="{C018704E-62A0-484C-BC90-CAC8770BCDE6}"/>
    <hyperlink ref="J560" r:id="rId980" xr:uid="{445FC6D5-D522-4123-9920-1501E9F0A7AA}"/>
    <hyperlink ref="M560" r:id="rId981" xr:uid="{92749228-595F-4C8C-B184-DBD2009E6BC5}"/>
    <hyperlink ref="J561" r:id="rId982" xr:uid="{B2A78F0F-31A4-4635-8791-F1ED57C5FB89}"/>
    <hyperlink ref="M561" r:id="rId983" xr:uid="{A4779D6D-637E-4132-97E8-67735F9DAE15}"/>
    <hyperlink ref="J562" r:id="rId984" xr:uid="{82DB3A3A-31EF-4B3E-A2DC-A9179686B5DD}"/>
    <hyperlink ref="M562" r:id="rId985" xr:uid="{1DC9D63C-3492-4F4F-8C3A-592A786160A2}"/>
    <hyperlink ref="J563" r:id="rId986" xr:uid="{6CDD0DF1-65B8-4875-962B-AF33131939CA}"/>
    <hyperlink ref="M563" r:id="rId987" xr:uid="{97173CF2-D886-44E3-A406-8AEF201C70F9}"/>
    <hyperlink ref="J564" r:id="rId988" xr:uid="{24639168-EDDB-4D0C-8009-240038FE39D5}"/>
    <hyperlink ref="M564" r:id="rId989" xr:uid="{10F099C0-CB03-4BAA-B180-F1E661A081BA}"/>
    <hyperlink ref="J565" r:id="rId990" xr:uid="{24346A90-F37D-407B-8843-393860F28102}"/>
    <hyperlink ref="M565" r:id="rId991" xr:uid="{466627AA-9013-4846-9BE5-5BCCB1FE7DAF}"/>
    <hyperlink ref="J566" r:id="rId992" xr:uid="{B2BDFA26-6F9D-4F74-BDAA-D2E3C7A997CA}"/>
    <hyperlink ref="M566" r:id="rId993" xr:uid="{0EF55F7C-11C2-412D-9177-3E29B7C303AF}"/>
    <hyperlink ref="J567" r:id="rId994" xr:uid="{6A27B7B9-67CF-492D-A947-29C1426DF830}"/>
    <hyperlink ref="M567" r:id="rId995" xr:uid="{FC23E883-8415-461E-925D-1C0351B2B478}"/>
    <hyperlink ref="J568" r:id="rId996" xr:uid="{CFC284BB-A917-4A4E-8A57-F5F5EBC7AF5D}"/>
    <hyperlink ref="M568" r:id="rId997" xr:uid="{0BF33D53-604D-4E34-9627-82F918EFB4C7}"/>
    <hyperlink ref="J569" r:id="rId998" xr:uid="{2F1E5096-8983-4405-8B21-AF512698DD30}"/>
    <hyperlink ref="M569" r:id="rId999" xr:uid="{6E6062EB-8398-4DF4-A878-4A6E99F359BA}"/>
    <hyperlink ref="J570" r:id="rId1000" xr:uid="{7831EE0E-5943-4D6C-8D22-5D9FCCFB03D2}"/>
    <hyperlink ref="M570" r:id="rId1001" xr:uid="{281EA760-AE17-4091-957A-02D98DA18E93}"/>
    <hyperlink ref="J571" r:id="rId1002" xr:uid="{8F1869E1-9F54-428F-A8EE-4DE740688865}"/>
    <hyperlink ref="M571" r:id="rId1003" xr:uid="{CECA2D14-FD9B-4134-950F-B9C80E9AB1F1}"/>
    <hyperlink ref="J572" r:id="rId1004" xr:uid="{EBFFC845-2E1E-49CA-9E40-E76515C269A8}"/>
    <hyperlink ref="M572" r:id="rId1005" xr:uid="{4692B4E0-01D9-49E7-8931-86955771E30C}"/>
    <hyperlink ref="J573" r:id="rId1006" xr:uid="{5F1B0E9A-4BFF-4AC2-BBB2-641724E1E7C3}"/>
    <hyperlink ref="M573" r:id="rId1007" xr:uid="{2041F7E6-F80C-4956-8A53-E8BE80406AC3}"/>
    <hyperlink ref="J574" r:id="rId1008" xr:uid="{2EDE4D94-1F54-4847-A000-BF90AA5D296B}"/>
    <hyperlink ref="M574" r:id="rId1009" xr:uid="{D87C03A5-3AB9-4202-AD41-358AE946B0BA}"/>
    <hyperlink ref="J575" r:id="rId1010" xr:uid="{C8BBD046-930C-4886-AB87-9745AA3595CF}"/>
    <hyperlink ref="M575" r:id="rId1011" xr:uid="{9B2345FA-CACF-41E8-BF77-90541B31D5C4}"/>
    <hyperlink ref="J576" r:id="rId1012" xr:uid="{D243CC6C-D660-4876-86CF-F03E38129AC7}"/>
    <hyperlink ref="M576" r:id="rId1013" xr:uid="{602010A2-E21D-4B40-84E1-16D038B58704}"/>
    <hyperlink ref="J577" r:id="rId1014" xr:uid="{052BE3C4-5D55-44C5-834C-6852A7529E2D}"/>
    <hyperlink ref="M577" r:id="rId1015" xr:uid="{69E6CB3C-B8F8-49FC-80AE-4F3880CC6DE1}"/>
    <hyperlink ref="J578" r:id="rId1016" xr:uid="{2F05EF48-F903-4C4E-A163-835A65ED1529}"/>
    <hyperlink ref="M578" r:id="rId1017" xr:uid="{3F3157C9-A46C-466C-BAA3-2C7C9431E58A}"/>
    <hyperlink ref="J579" r:id="rId1018" xr:uid="{F09C185A-84C1-4B2A-92EF-20A5FFFEAF05}"/>
    <hyperlink ref="M579" r:id="rId1019" xr:uid="{5CB1CCBA-CBED-41D3-B4E1-CF1245D41BC5}"/>
    <hyperlink ref="J580" r:id="rId1020" xr:uid="{E5FF4709-5752-48EF-A8C8-97DAAE063B9F}"/>
    <hyperlink ref="M580" r:id="rId1021" xr:uid="{CBDCB46F-A4E9-4BD9-BCD0-B1DDBAB5D9ED}"/>
    <hyperlink ref="J581" r:id="rId1022" xr:uid="{CC7F6272-A8B2-465C-A1E0-457E2B8F45D8}"/>
    <hyperlink ref="M581" r:id="rId1023" xr:uid="{9145902D-66DF-41B9-AE58-A93F0908368A}"/>
    <hyperlink ref="J582" r:id="rId1024" xr:uid="{B98083FA-C3BD-4C2B-BC1D-01E48163ABE0}"/>
    <hyperlink ref="M582" r:id="rId1025" xr:uid="{62A911D0-C1D5-4E35-96C4-7FAEED1B92E9}"/>
    <hyperlink ref="J583" r:id="rId1026" xr:uid="{ED82248D-BE14-4ABF-B14B-B56540168FE0}"/>
    <hyperlink ref="M583" r:id="rId1027" xr:uid="{043349B2-C9A8-493C-B52F-E9FB4ADEEEED}"/>
    <hyperlink ref="J584" r:id="rId1028" xr:uid="{EFC779B8-BC48-4EBB-A848-9059D4369BD6}"/>
    <hyperlink ref="M584" r:id="rId1029" xr:uid="{0F2C6195-F951-46B1-9F4D-A748B2DA516C}"/>
    <hyperlink ref="J585" r:id="rId1030" xr:uid="{B4624F8C-26EB-4894-9D67-E3CD6BCBE40A}"/>
    <hyperlink ref="M585" r:id="rId1031" xr:uid="{4A8141CA-628E-405B-B121-41D2BD0ABC04}"/>
    <hyperlink ref="J586" r:id="rId1032" xr:uid="{3D7D729A-D3D1-4A1E-80C5-5EEB2658E097}"/>
    <hyperlink ref="M586" r:id="rId1033" xr:uid="{19A0F90C-732E-4B1C-82B9-E12EDDD26601}"/>
    <hyperlink ref="J587" r:id="rId1034" xr:uid="{A311BC0F-A054-41AE-AC87-E24847D55B0B}"/>
    <hyperlink ref="M587" r:id="rId1035" xr:uid="{21C0FD4E-DFFE-4F25-853B-9203193C15BB}"/>
    <hyperlink ref="J588" r:id="rId1036" xr:uid="{D6AB5694-5627-4142-B30A-0A100B48F906}"/>
    <hyperlink ref="M588" r:id="rId1037" xr:uid="{DA1F5DB6-F100-49EA-B80E-081A8095E716}"/>
    <hyperlink ref="J589" r:id="rId1038" xr:uid="{304F02EB-B834-4F94-B708-CD139DD8772C}"/>
    <hyperlink ref="M589" r:id="rId1039" xr:uid="{962A4014-D682-4DB0-91D7-6BEB308A3A2E}"/>
    <hyperlink ref="J590" r:id="rId1040" xr:uid="{02328E9A-BA8C-4935-964F-2255672C30D9}"/>
    <hyperlink ref="M590" r:id="rId1041" xr:uid="{FD13DD0B-581A-4705-864D-435B7B09D429}"/>
    <hyperlink ref="J591" r:id="rId1042" xr:uid="{D5CC1E24-0F52-48B2-A5E1-66FE38D19CE3}"/>
    <hyperlink ref="M591" r:id="rId1043" xr:uid="{F3BB3A2C-F6DA-40CB-90F2-C48DCFC9562A}"/>
    <hyperlink ref="J592" r:id="rId1044" xr:uid="{10D75E0F-7CB6-45AD-A0CC-D045079C20C7}"/>
    <hyperlink ref="M592" r:id="rId1045" xr:uid="{87B21247-4BCD-459C-8C21-9A51969343E4}"/>
    <hyperlink ref="J593" r:id="rId1046" xr:uid="{C2CB3CD3-3B85-4A01-BB0E-070ADE7D3985}"/>
    <hyperlink ref="M593" r:id="rId1047" xr:uid="{0AAF714A-2055-4C74-B1FE-2355FBCC6A81}"/>
    <hyperlink ref="J594" r:id="rId1048" xr:uid="{A279DE75-AB85-4129-9443-94109B25C863}"/>
    <hyperlink ref="M594" r:id="rId1049" xr:uid="{BFFC94F3-A6EB-4E65-A9B2-392DC9873DD7}"/>
    <hyperlink ref="J595" r:id="rId1050" xr:uid="{D7F6E4D2-7CD1-451B-8B11-3E3961D1EDEA}"/>
    <hyperlink ref="M595" r:id="rId1051" xr:uid="{E9DF1042-F937-4895-BE72-F7E8251BE0B2}"/>
    <hyperlink ref="J596" r:id="rId1052" xr:uid="{C8A9CE30-634D-447D-9720-A67AC2094DA4}"/>
    <hyperlink ref="M596" r:id="rId1053" xr:uid="{D3701CBA-A7D9-4C80-9D17-7F72A012E91B}"/>
    <hyperlink ref="J597" r:id="rId1054" xr:uid="{4D6B02AF-9702-4CB6-AF4C-D276832CF796}"/>
    <hyperlink ref="M597" r:id="rId1055" xr:uid="{C7EF923D-C16B-4B9B-B503-EFB2EC18A57B}"/>
    <hyperlink ref="J598" r:id="rId1056" xr:uid="{21830F87-8EAC-43EC-BC04-AC844058EBAE}"/>
    <hyperlink ref="M598" r:id="rId1057" xr:uid="{5EE6B271-975E-4490-9C6F-5B7D9C578FFB}"/>
    <hyperlink ref="J599" r:id="rId1058" xr:uid="{E42A9BF0-E9B2-4FC5-994A-27E7EC48E166}"/>
    <hyperlink ref="M599" r:id="rId1059" xr:uid="{08EBBD97-042A-46FC-A45A-51744CFDB0BA}"/>
    <hyperlink ref="J600" r:id="rId1060" xr:uid="{9355C327-8901-40FF-8E8A-1084645BADB8}"/>
    <hyperlink ref="M600" r:id="rId1061" xr:uid="{4B44DDDF-D806-4627-84B0-CDCFE9A8A9B1}"/>
    <hyperlink ref="J601" r:id="rId1062" xr:uid="{CB584A7D-D2F9-4D28-B40D-2CB9B336CC73}"/>
    <hyperlink ref="M601" r:id="rId1063" xr:uid="{CFF898F5-2637-417C-8361-721D325CC225}"/>
    <hyperlink ref="J602" r:id="rId1064" xr:uid="{318ACF52-980C-436F-A72D-23C730F8C6C1}"/>
    <hyperlink ref="M602" r:id="rId1065" xr:uid="{21D2BB6B-5EE2-4872-8B53-71E28D5DAF76}"/>
    <hyperlink ref="J603" r:id="rId1066" xr:uid="{820479A3-61BE-4E6A-95F9-431BF7FFDF33}"/>
    <hyperlink ref="M603" r:id="rId1067" xr:uid="{E720A9FA-463D-4E24-812B-74FD91E8D05B}"/>
    <hyperlink ref="J604" r:id="rId1068" xr:uid="{DA986124-060D-4D16-A4B5-D6BDC01999DA}"/>
    <hyperlink ref="M604" r:id="rId1069" xr:uid="{4C87481C-A35D-4706-A941-240F7407F610}"/>
    <hyperlink ref="J605" r:id="rId1070" xr:uid="{43553F6A-CD38-4FEE-AD83-3EB02181EF86}"/>
    <hyperlink ref="M605" r:id="rId1071" xr:uid="{AE7EC0F7-FFEE-48F2-93DB-471E7968258B}"/>
    <hyperlink ref="J606" r:id="rId1072" xr:uid="{9363870D-04BB-4EF3-87BB-855CA580BE8E}"/>
    <hyperlink ref="M606" r:id="rId1073" xr:uid="{5B73BDD0-52F3-42C0-ABD8-EEAE6B61B3FD}"/>
    <hyperlink ref="J607" r:id="rId1074" xr:uid="{76848C3A-2F6E-42C2-B97F-BA15613AD75D}"/>
    <hyperlink ref="M607" r:id="rId1075" xr:uid="{86301180-F896-4837-87E3-7A3FA97BA22A}"/>
    <hyperlink ref="J608" r:id="rId1076" xr:uid="{D219F549-BD8D-49D3-BBED-39D94ECDC914}"/>
    <hyperlink ref="M608" r:id="rId1077" xr:uid="{8DFB0962-230E-429B-B02F-056B7D5A7DDF}"/>
    <hyperlink ref="J609" r:id="rId1078" xr:uid="{3223D6B3-3827-46AF-AD4C-9854C3FA6D8F}"/>
    <hyperlink ref="M609" r:id="rId1079" xr:uid="{22390FC7-96AF-4A21-A131-1DB336027EDF}"/>
    <hyperlink ref="J610" r:id="rId1080" xr:uid="{01650E21-15E6-4739-8992-CF9218147E97}"/>
    <hyperlink ref="M610" r:id="rId1081" xr:uid="{4C969B0D-1453-4F84-B1C4-5E137641EB68}"/>
    <hyperlink ref="J611" r:id="rId1082" xr:uid="{F3395FFF-AD09-44D2-8D9A-AD44F10F1245}"/>
    <hyperlink ref="M611" r:id="rId1083" xr:uid="{0B4AADA6-5048-4FCD-9FE1-4E1C8951C247}"/>
    <hyperlink ref="J612" r:id="rId1084" xr:uid="{20FD5A52-A494-40AD-90AF-408922ABB4C2}"/>
    <hyperlink ref="M612" r:id="rId1085" xr:uid="{B26C016C-05A9-4F3B-BC44-FD8D9E0E3ABF}"/>
    <hyperlink ref="J613" r:id="rId1086" xr:uid="{4CA1A2EA-ED7F-4B38-82DA-5FF5819C02AC}"/>
    <hyperlink ref="M613" r:id="rId1087" xr:uid="{DD08069B-55BD-4665-B7E1-94E9DAD87B99}"/>
    <hyperlink ref="J614" r:id="rId1088" xr:uid="{9506193D-E664-4C2C-8421-889CFB8F127F}"/>
    <hyperlink ref="M614" r:id="rId1089" xr:uid="{09FA65F2-4CC1-41E0-863E-BFFFABCF870A}"/>
    <hyperlink ref="J615" r:id="rId1090" xr:uid="{9097E848-EA70-4B7E-869D-B6517B0D5E53}"/>
    <hyperlink ref="M615" r:id="rId1091" xr:uid="{3394E435-DAAE-435E-8CFC-F790121F0A90}"/>
    <hyperlink ref="J616" r:id="rId1092" xr:uid="{C1AF4772-87A3-4EA0-8331-144BC5B50946}"/>
    <hyperlink ref="M616" r:id="rId1093" xr:uid="{4743D5C2-1047-41F0-A5E7-8AE7F2F879DB}"/>
    <hyperlink ref="J617" r:id="rId1094" xr:uid="{F29A244D-B392-44E8-B066-5E5F6082898B}"/>
    <hyperlink ref="J618" r:id="rId1095" xr:uid="{74FF0DDA-BEC9-48AD-A510-AFBE4BB7C8EC}"/>
    <hyperlink ref="M618" r:id="rId1096" xr:uid="{B0B797FB-7F04-49EA-917D-344F2CE10C04}"/>
    <hyperlink ref="J619" r:id="rId1097" xr:uid="{285D8F79-4B7B-4AB7-96BD-7CD622D68CBC}"/>
    <hyperlink ref="M619" r:id="rId1098" xr:uid="{75E821B9-EC97-44CD-93B3-8C66B61F411A}"/>
    <hyperlink ref="J620" r:id="rId1099" xr:uid="{4EB7CF74-FC60-486B-B2EA-74A727F2FC62}"/>
    <hyperlink ref="M620" r:id="rId1100" xr:uid="{CBB29617-2E81-497F-9728-E3CF9CDDAECB}"/>
    <hyperlink ref="J621" r:id="rId1101" xr:uid="{6BDF8B6C-6CC5-4F80-86DB-9A6408860E59}"/>
    <hyperlink ref="M621" r:id="rId1102" xr:uid="{87491F61-72F4-4190-89B3-8DCA5456D790}"/>
    <hyperlink ref="J622" r:id="rId1103" xr:uid="{BB80CCE6-E7AD-4BEB-BAA9-A95A03CAF19F}"/>
    <hyperlink ref="M622" r:id="rId1104" xr:uid="{9FABD51C-382F-449A-98E4-5393E80DF74C}"/>
    <hyperlink ref="J623" r:id="rId1105" xr:uid="{83B8B0FC-71F9-40A5-A743-45188E459FBE}"/>
    <hyperlink ref="M623" r:id="rId1106" xr:uid="{4C098155-D629-4AF7-A0A5-C1A57F12D1B3}"/>
    <hyperlink ref="J624" r:id="rId1107" xr:uid="{FC1A66DD-DADB-4DBD-B4B9-8E59D3717F6F}"/>
    <hyperlink ref="M624" r:id="rId1108" xr:uid="{8EDBB1DF-312B-405E-A836-83680A8853A3}"/>
    <hyperlink ref="J625" r:id="rId1109" xr:uid="{E8E613FF-FBAE-4419-9579-050B78A9CC4C}"/>
    <hyperlink ref="M625" r:id="rId1110" xr:uid="{34F75EB6-ABCA-4756-98C1-5218DDA3D524}"/>
    <hyperlink ref="J626" r:id="rId1111" xr:uid="{CA236801-7307-4FFA-95D0-057616E083D6}"/>
    <hyperlink ref="M626" r:id="rId1112" xr:uid="{C9854DF2-92D7-4FD9-A94B-4CFE1E717E13}"/>
    <hyperlink ref="J627" r:id="rId1113" xr:uid="{C515A9A8-71CE-4B79-B734-73761B5D034B}"/>
    <hyperlink ref="M627" r:id="rId1114" xr:uid="{27E3B0EB-27D0-49B1-8CD2-0D6C7D9DD647}"/>
    <hyperlink ref="J628" r:id="rId1115" xr:uid="{8F9BF886-11BA-4259-A495-4B7F19535DBF}"/>
    <hyperlink ref="M628" r:id="rId1116" xr:uid="{15178735-43E4-410B-A7EB-0181285128E0}"/>
    <hyperlink ref="J629" r:id="rId1117" xr:uid="{1C3FDEC5-8FD8-4680-98D4-444E0E13139D}"/>
    <hyperlink ref="M629" r:id="rId1118" xr:uid="{9BECF671-AD45-49DC-84CC-E9679C5120C5}"/>
    <hyperlink ref="J630" r:id="rId1119" xr:uid="{3BD47AEF-F232-4364-8116-1BD39DBF195F}"/>
    <hyperlink ref="M630" r:id="rId1120" xr:uid="{8C44BEA1-6033-4A6C-91E5-96E4F55C34D8}"/>
    <hyperlink ref="J631" r:id="rId1121" xr:uid="{DFA52349-408A-416A-B6F5-44392CEF3E5D}"/>
    <hyperlink ref="M631" r:id="rId1122" xr:uid="{B6B42057-BB79-4074-A4CC-918EF35BA435}"/>
    <hyperlink ref="J632" r:id="rId1123" xr:uid="{BD470D6F-72E8-4809-BE08-C2C17DE6E85D}"/>
    <hyperlink ref="M632" r:id="rId1124" xr:uid="{A6520528-ABAD-4767-BA1D-B09124BC9252}"/>
    <hyperlink ref="J633" r:id="rId1125" xr:uid="{B95B5EC8-3DF8-4C65-9D1E-E370FB357BE0}"/>
    <hyperlink ref="M633" r:id="rId1126" xr:uid="{41772A98-5C00-41BD-814A-524D8C489547}"/>
    <hyperlink ref="J634" r:id="rId1127" xr:uid="{3D1928F8-D691-4343-9E4D-1156CA6A3339}"/>
    <hyperlink ref="M634" r:id="rId1128" xr:uid="{EC3CBB87-1DEA-4E57-8C10-D5BFD057D81C}"/>
    <hyperlink ref="J635" r:id="rId1129" xr:uid="{F40654CC-0001-4093-8C2D-2C1491FAEF03}"/>
    <hyperlink ref="M635" r:id="rId1130" xr:uid="{C1AE6DD7-7D61-4466-84FE-62D4C872F496}"/>
    <hyperlink ref="J636" r:id="rId1131" xr:uid="{4558AD65-B4F3-4B46-80C5-F87455D3F73C}"/>
    <hyperlink ref="M636" r:id="rId1132" xr:uid="{0E98CDB3-F5DB-461E-96A5-C80C508122D2}"/>
    <hyperlink ref="J637" r:id="rId1133" xr:uid="{25EA2705-AB42-4E81-B6CA-31251FA830EC}"/>
    <hyperlink ref="M637" r:id="rId1134" xr:uid="{654DC046-2C7C-413B-893F-AEB4F6579A58}"/>
    <hyperlink ref="J638" r:id="rId1135" xr:uid="{D8B08728-CDD6-4417-9E8C-94F149C38069}"/>
    <hyperlink ref="M638" r:id="rId1136" xr:uid="{C8D7BA1B-2C02-4FF4-97C2-206412CC54B3}"/>
    <hyperlink ref="J639" r:id="rId1137" xr:uid="{CD42C3B3-2FB2-4FDF-AACD-55FEDC4CE179}"/>
    <hyperlink ref="M639" r:id="rId1138" xr:uid="{80994128-ABBE-466A-ACCC-F440CD329149}"/>
    <hyperlink ref="J640" r:id="rId1139" xr:uid="{145A1046-4AEA-4686-A93F-D3C6443926CA}"/>
    <hyperlink ref="M640" r:id="rId1140" xr:uid="{FFE88114-5D19-4BC5-BE1A-0F6C86A42B5F}"/>
    <hyperlink ref="J641" r:id="rId1141" xr:uid="{86AB5A9D-DDD4-4F66-94D4-DA02F84D6110}"/>
    <hyperlink ref="M641" r:id="rId1142" xr:uid="{E12ED848-92AB-4B58-AD99-1219B1A8875E}"/>
    <hyperlink ref="J642" r:id="rId1143" xr:uid="{00C5C267-3729-4E1D-A2DB-0787166A19C2}"/>
    <hyperlink ref="M642" r:id="rId1144" xr:uid="{5A96F227-2C0E-42AE-80AA-A61A90864D71}"/>
    <hyperlink ref="J643" r:id="rId1145" xr:uid="{69861AA4-16C6-4558-8CA1-421E1C0BB56D}"/>
    <hyperlink ref="J644" r:id="rId1146" xr:uid="{100FA35D-FA7D-4F1C-8DFD-1769A4B29478}"/>
    <hyperlink ref="M644" r:id="rId1147" xr:uid="{9E2DB107-B836-4A90-93DA-57EEA991FC84}"/>
    <hyperlink ref="J645" r:id="rId1148" xr:uid="{60472BB2-7488-4FCD-9DFC-D5E0BD58CC3F}"/>
    <hyperlink ref="M645" r:id="rId1149" xr:uid="{871FFEBE-166D-4587-ACD1-9356742AF11C}"/>
    <hyperlink ref="J646" r:id="rId1150" xr:uid="{CB2BF589-77AF-4363-84ED-E7D56DE95E95}"/>
    <hyperlink ref="M646" r:id="rId1151" xr:uid="{F961CE42-5FCD-4F1D-B53C-E0092D6A756A}"/>
    <hyperlink ref="J647" r:id="rId1152" xr:uid="{8F6918B2-7590-427F-A9DF-1A8EB1B06D19}"/>
    <hyperlink ref="M647" r:id="rId1153" xr:uid="{6834E491-00CB-452F-83FD-9A53CDB49E51}"/>
    <hyperlink ref="J648" r:id="rId1154" xr:uid="{22C540D8-7050-4365-92B2-85A0F852A958}"/>
    <hyperlink ref="M648" r:id="rId1155" xr:uid="{C9E380C3-AE2F-4834-AC49-F13C618D4EEE}"/>
    <hyperlink ref="J649" r:id="rId1156" xr:uid="{AE05C47F-E1E2-4049-BFD5-8758A9472DCF}"/>
    <hyperlink ref="M649" r:id="rId1157" xr:uid="{1440C683-55D3-4A31-B10E-265C1D210222}"/>
    <hyperlink ref="J650" r:id="rId1158" xr:uid="{26E8A3B6-7A56-44BE-94F4-A2A70F9891E0}"/>
    <hyperlink ref="M650" r:id="rId1159" xr:uid="{D7E27E03-1EC3-436B-A48C-EBEB259ECC59}"/>
    <hyperlink ref="J651" r:id="rId1160" xr:uid="{95475150-15AF-4D1B-B79F-B3AE129EFF5D}"/>
    <hyperlink ref="M651" r:id="rId1161" xr:uid="{FA59B4BB-3F49-41C5-8B12-3BE1B5A376A9}"/>
    <hyperlink ref="J652" r:id="rId1162" xr:uid="{0D49A980-E647-48D7-BB5B-C03F8964A7E1}"/>
    <hyperlink ref="M652" r:id="rId1163" xr:uid="{478E07E2-BACA-4DCF-A41F-2DB66FFA3C89}"/>
    <hyperlink ref="J653" r:id="rId1164" xr:uid="{68CD3404-20FD-4382-AA51-65D061E9A2F5}"/>
    <hyperlink ref="M653" r:id="rId1165" xr:uid="{B0C058A1-FC5E-45B6-9927-96C0DF2FFDF4}"/>
    <hyperlink ref="J654" r:id="rId1166" xr:uid="{B16C049F-2740-4392-B5DE-DB1F66633F29}"/>
    <hyperlink ref="M654" r:id="rId1167" xr:uid="{F53C3C5E-682C-449C-9E79-72B668CED35B}"/>
    <hyperlink ref="J655" r:id="rId1168" xr:uid="{CFC73E9A-C855-4307-9DA5-3FB9029DFCC3}"/>
    <hyperlink ref="M655" r:id="rId1169" xr:uid="{9FAFE831-9509-4311-ABD7-910D01E820C3}"/>
    <hyperlink ref="J656" r:id="rId1170" xr:uid="{6D61DB3A-B2A9-41C3-8CB3-1B8B7ED58FB6}"/>
    <hyperlink ref="M656" r:id="rId1171" xr:uid="{1DBB5092-FCE1-4FC8-8713-A8AC319FC801}"/>
    <hyperlink ref="J657" r:id="rId1172" xr:uid="{BD17E200-1CE8-4554-8F36-28C08CB369CF}"/>
    <hyperlink ref="M657" r:id="rId1173" xr:uid="{B1E4A3A3-0DF5-4FCC-95AA-8B33F4B6ECD3}"/>
    <hyperlink ref="J658" r:id="rId1174" xr:uid="{5E48B9A0-2C21-4C7A-B70D-949EF68AD9AD}"/>
    <hyperlink ref="M658" r:id="rId1175" xr:uid="{B3B1A753-40BF-4691-93F0-DACE57C349C9}"/>
    <hyperlink ref="J659" r:id="rId1176" xr:uid="{EF77F1CA-9358-40BA-A11A-1FF4301CE4B0}"/>
    <hyperlink ref="M659" r:id="rId1177" xr:uid="{B6B14AFC-02F0-4D43-8DFD-940FE6701116}"/>
    <hyperlink ref="J660" r:id="rId1178" xr:uid="{23CFE33B-7A50-4E84-AB0C-B39EB75BA25C}"/>
    <hyperlink ref="M660" r:id="rId1179" xr:uid="{7F236BB0-7051-45FE-AE26-C2DD7ACF0DF5}"/>
    <hyperlink ref="J661" r:id="rId1180" xr:uid="{D407AE23-6068-49B9-BC44-2A2A8D853CE8}"/>
    <hyperlink ref="M661" r:id="rId1181" xr:uid="{998DD0CA-0CFB-4E48-9702-C57C614D1E62}"/>
    <hyperlink ref="J662" r:id="rId1182" xr:uid="{E98D076E-801C-4B15-BC42-141CFE307AEE}"/>
    <hyperlink ref="M662" r:id="rId1183" xr:uid="{E9CAD6CC-8752-4A5B-AE32-9ED95A0635A7}"/>
    <hyperlink ref="J663" r:id="rId1184" xr:uid="{6ED3BE04-4706-4952-8117-DD917351CE0C}"/>
    <hyperlink ref="M663" r:id="rId1185" xr:uid="{51EC184A-2C2E-4F24-A3EA-820AF0588A94}"/>
    <hyperlink ref="J664" r:id="rId1186" xr:uid="{A817A993-230B-47BC-AEE3-74AC921C11AA}"/>
    <hyperlink ref="M664" r:id="rId1187" xr:uid="{C8D5E220-7085-480D-8458-81677B99BED9}"/>
    <hyperlink ref="J665" r:id="rId1188" xr:uid="{AFE960FA-41F6-4907-97CE-9A019C6DA85E}"/>
    <hyperlink ref="M665" r:id="rId1189" xr:uid="{85AC628B-D9D5-436C-97A9-DCAEC71C2FEE}"/>
    <hyperlink ref="J666" r:id="rId1190" xr:uid="{54A7003A-925D-4F47-909D-7159BD85EF72}"/>
    <hyperlink ref="M666" r:id="rId1191" xr:uid="{629E5BF0-6490-447E-AF33-FA952F47D621}"/>
    <hyperlink ref="J667" r:id="rId1192" xr:uid="{53EA2005-BF97-4194-AEA5-74FE846668FA}"/>
    <hyperlink ref="M667" r:id="rId1193" xr:uid="{EE3E6B7D-A798-4150-A936-8789A2B9B173}"/>
    <hyperlink ref="J668" r:id="rId1194" xr:uid="{F249F1A5-0C53-4977-970F-07886D3B862B}"/>
    <hyperlink ref="M668" r:id="rId1195" xr:uid="{975BDAEF-60D9-423D-8B26-E3653E2F01BA}"/>
    <hyperlink ref="J669" r:id="rId1196" xr:uid="{9FF18BAC-6C52-41D2-B3FB-CAA09D1D59B3}"/>
    <hyperlink ref="M669" r:id="rId1197" xr:uid="{F2B3370D-2204-455E-8505-604BDF0D1DF7}"/>
    <hyperlink ref="J670" r:id="rId1198" xr:uid="{E96B9F37-83B9-47B2-9A1F-22AA7BC898ED}"/>
    <hyperlink ref="M670" r:id="rId1199" xr:uid="{518A3C28-EB1D-4B71-892F-D32020B85E0C}"/>
    <hyperlink ref="J671" r:id="rId1200" xr:uid="{C505CD9D-882E-41F0-A969-6D68FD7F37D3}"/>
    <hyperlink ref="M671" r:id="rId1201" xr:uid="{57AF986C-C9AE-42F5-A5F0-59E4E23E597E}"/>
    <hyperlink ref="J672" r:id="rId1202" xr:uid="{FC316E01-287A-4451-83D1-F65122110B7A}"/>
    <hyperlink ref="M672" r:id="rId1203" xr:uid="{B5FB8EDA-8A25-42D0-A8FE-8D5C9A1FBD7E}"/>
    <hyperlink ref="J673" r:id="rId1204" xr:uid="{6B275261-BB15-4060-86F8-7E923A27F310}"/>
    <hyperlink ref="M673" r:id="rId1205" xr:uid="{51E6A91C-26DA-4700-9A52-897593360242}"/>
    <hyperlink ref="J674" r:id="rId1206" xr:uid="{46FF20C3-EAA3-45C2-B02A-0E7CCB9C4075}"/>
    <hyperlink ref="M674" r:id="rId1207" xr:uid="{733AF3FB-AAD0-41E1-B876-EF50B5FAAD42}"/>
    <hyperlink ref="J675" r:id="rId1208" xr:uid="{AA333E44-9A76-43BB-B8C6-13E0E2B9F843}"/>
    <hyperlink ref="M675" r:id="rId1209" xr:uid="{FCCF6592-96F4-4FCA-A445-7A0DA9501070}"/>
    <hyperlink ref="J676" r:id="rId1210" xr:uid="{909BEBD8-7E7B-44A2-9DF3-D7586D6170FE}"/>
    <hyperlink ref="M676" r:id="rId1211" xr:uid="{0F753282-0FF0-46FF-A9EF-38872CA7976D}"/>
    <hyperlink ref="J677" r:id="rId1212" xr:uid="{73163A8E-6625-4434-A667-31092B620D76}"/>
    <hyperlink ref="M677" r:id="rId1213" xr:uid="{492F5193-9460-4164-A908-CEFB9FA0AAF0}"/>
    <hyperlink ref="J678" r:id="rId1214" xr:uid="{481B3198-1F59-41A2-864A-B1F2CEA8E36F}"/>
    <hyperlink ref="J679" r:id="rId1215" xr:uid="{CFC5491A-324F-45CD-AB89-D2C60DCFDC62}"/>
    <hyperlink ref="M679" r:id="rId1216" xr:uid="{CE19A19E-80C0-4D2C-A3D4-2E97D19FA86A}"/>
    <hyperlink ref="J680" r:id="rId1217" xr:uid="{3D1F1930-D51D-41B0-B9E0-0D7E50E76C85}"/>
    <hyperlink ref="M680" r:id="rId1218" xr:uid="{3AA0634D-5EC6-4EB9-8071-C900C063732C}"/>
    <hyperlink ref="J681" r:id="rId1219" xr:uid="{9B5D680F-6A76-4B12-99AE-D0BE7D92993B}"/>
    <hyperlink ref="M681" r:id="rId1220" xr:uid="{D3A56C8C-1033-44E0-94D3-9EFDAE4C0B85}"/>
    <hyperlink ref="J682" r:id="rId1221" xr:uid="{269E5477-38DE-4DB3-8454-5B958CE91B87}"/>
    <hyperlink ref="M682" r:id="rId1222" xr:uid="{1E2494C7-8EF9-46F8-93C9-D50D50CC911C}"/>
    <hyperlink ref="J683" r:id="rId1223" xr:uid="{16C84F2A-ABEA-49C8-B1B2-D7CD65D80F1A}"/>
    <hyperlink ref="M683" r:id="rId1224" xr:uid="{CE9AF9A5-550D-43BA-A922-B967E08235DC}"/>
    <hyperlink ref="J684" r:id="rId1225" xr:uid="{793BF4AF-29C6-4B45-A7EC-877D7E3916D7}"/>
    <hyperlink ref="M684" r:id="rId1226" xr:uid="{8E4BACEC-B076-4008-B128-8ACE4B2F9C0E}"/>
    <hyperlink ref="J685" r:id="rId1227" xr:uid="{79B0CE37-4BFC-4BCB-A6E3-9DDCB3F074D9}"/>
    <hyperlink ref="M685" r:id="rId1228" xr:uid="{C07BB75C-A951-4448-859B-88766E30320B}"/>
    <hyperlink ref="J686" r:id="rId1229" xr:uid="{46FC03B9-9E30-4AC4-9A8B-EFE67DF436C1}"/>
    <hyperlink ref="M686" r:id="rId1230" xr:uid="{DF1A38E4-C999-458E-AA8D-B6741389EA6A}"/>
    <hyperlink ref="J687" r:id="rId1231" xr:uid="{8863F984-202E-4B80-9DBE-6F4E433FEC14}"/>
    <hyperlink ref="M687" r:id="rId1232" xr:uid="{DC44A3A6-AA85-443C-A78C-D07A506C2936}"/>
    <hyperlink ref="J688" r:id="rId1233" xr:uid="{AADC7F3B-E73D-49AE-B65E-5058753F8D4D}"/>
    <hyperlink ref="M688" r:id="rId1234" xr:uid="{6716B8DF-D42F-41AE-A053-9E16DFF4AC60}"/>
    <hyperlink ref="J689" r:id="rId1235" xr:uid="{63BE513F-739B-4A1B-92A6-8A132AA1F819}"/>
    <hyperlink ref="M689" r:id="rId1236" xr:uid="{944361AB-1A6E-4F71-8D96-B5F13030AAD8}"/>
    <hyperlink ref="J690" r:id="rId1237" xr:uid="{E29857A7-965F-44B1-9FA4-0E72E9D5F9DD}"/>
    <hyperlink ref="M690" r:id="rId1238" xr:uid="{19BF3427-D508-423F-8AFD-0D16CC5F132C}"/>
    <hyperlink ref="J691" r:id="rId1239" xr:uid="{70534D8D-9FF9-43BD-B969-F624F3E266BC}"/>
    <hyperlink ref="J692" r:id="rId1240" xr:uid="{22416F60-EE26-4D90-A36F-F67ADBD580CA}"/>
    <hyperlink ref="M692" r:id="rId1241" xr:uid="{4DF6E73A-4B66-4D07-9171-9DEB5765B337}"/>
    <hyperlink ref="J693" r:id="rId1242" xr:uid="{26B782E4-6F96-4037-AEBF-CAF93D04B34A}"/>
    <hyperlink ref="M693" r:id="rId1243" xr:uid="{291EDDC9-8B68-4351-925E-9EBE5EA968FB}"/>
    <hyperlink ref="J694" r:id="rId1244" xr:uid="{D971AF63-5196-4DF5-8312-A60929E8E928}"/>
    <hyperlink ref="M694" r:id="rId1245" xr:uid="{C713BD37-5E45-446F-A42C-9497047A9008}"/>
    <hyperlink ref="J695" r:id="rId1246" xr:uid="{C3E263F0-B6EF-4A13-B5C7-2CC12F4C1B29}"/>
    <hyperlink ref="M695" r:id="rId1247" xr:uid="{878F0A86-3D4F-4EB1-A98C-2B421246A053}"/>
    <hyperlink ref="J696" r:id="rId1248" xr:uid="{388F80A8-9356-4260-96BD-0B8822FA2979}"/>
    <hyperlink ref="M696" r:id="rId1249" xr:uid="{7B89868D-12F1-449C-9FA7-FBDA8665CB11}"/>
    <hyperlink ref="J697" r:id="rId1250" xr:uid="{4E854697-B4BE-4F3C-A2E2-5799D41011F9}"/>
    <hyperlink ref="M697" r:id="rId1251" xr:uid="{6A87B168-E58E-4280-9A69-124BDA57EF4C}"/>
    <hyperlink ref="J698" r:id="rId1252" xr:uid="{605A8F44-F2C8-43C2-84FE-D83FB53DF23C}"/>
    <hyperlink ref="M698" r:id="rId1253" xr:uid="{EA6A9AD1-6A97-408E-8F13-7EB96F70FA7A}"/>
    <hyperlink ref="J699" r:id="rId1254" xr:uid="{33F81169-0B8C-49DA-A666-5D33CB5626C5}"/>
    <hyperlink ref="M699" r:id="rId1255" xr:uid="{14C30F88-839B-454F-A2D2-4E41A35C36C2}"/>
    <hyperlink ref="J700" r:id="rId1256" xr:uid="{88E2EC48-6EC9-4424-90AC-1F3B2713418C}"/>
    <hyperlink ref="M700" r:id="rId1257" xr:uid="{D2F04D90-D803-4915-844F-E127ADF55087}"/>
    <hyperlink ref="J701" r:id="rId1258" xr:uid="{DADC60AD-913E-4787-A616-80B8C7309574}"/>
    <hyperlink ref="M701" r:id="rId1259" xr:uid="{56F0C7D8-C132-4865-BC9A-3D90D066A5BD}"/>
    <hyperlink ref="J702" r:id="rId1260" xr:uid="{17F586DB-EA1A-4551-A05D-0C494662FD6B}"/>
    <hyperlink ref="M702" r:id="rId1261" xr:uid="{24B7C9F9-C80C-4949-9D61-53A81BFF9841}"/>
    <hyperlink ref="J703" r:id="rId1262" xr:uid="{789F48E2-B8A0-4C84-845A-91A2A9C84691}"/>
    <hyperlink ref="M703" r:id="rId1263" xr:uid="{E41FBEE8-8F38-44B5-92D4-2C1576ECC7AA}"/>
    <hyperlink ref="J704" r:id="rId1264" xr:uid="{4022633A-9D71-405B-8D3D-FBFF458F68B6}"/>
    <hyperlink ref="M704" r:id="rId1265" xr:uid="{F1E8562E-9533-4F0A-B164-8AB83192BEC6}"/>
    <hyperlink ref="J705" r:id="rId1266" xr:uid="{6A26A22C-CE94-4D9B-AFC4-186752FA8F76}"/>
    <hyperlink ref="M705" r:id="rId1267" xr:uid="{5A435D02-5636-4B70-8344-C383B0BE928B}"/>
    <hyperlink ref="J706" r:id="rId1268" xr:uid="{E4BA79B8-A195-4FD3-9E54-3A43123F320D}"/>
    <hyperlink ref="M706" r:id="rId1269" xr:uid="{5D8E45A4-B8F0-4CD1-BDDB-CE0913EBBDEF}"/>
    <hyperlink ref="J707" r:id="rId1270" xr:uid="{041030F2-438A-469A-AC15-74F7E8B41F90}"/>
    <hyperlink ref="M707" r:id="rId1271" xr:uid="{A1B22946-76A7-4FFF-BDFB-CA10D70C765F}"/>
    <hyperlink ref="J708" r:id="rId1272" xr:uid="{D17B9CD4-E96F-4757-93BD-52DD4B886410}"/>
    <hyperlink ref="M708" r:id="rId1273" xr:uid="{622E9425-0FE5-41CE-9ECE-06113CFD3F66}"/>
    <hyperlink ref="J709" r:id="rId1274" xr:uid="{42885011-4654-464F-889A-947EDBEEE84A}"/>
    <hyperlink ref="M709" r:id="rId1275" xr:uid="{5D62F334-904F-4B02-A806-471E15476B65}"/>
    <hyperlink ref="J710" r:id="rId1276" xr:uid="{01F604B6-D701-4CF6-8831-788137F1E614}"/>
    <hyperlink ref="M710" r:id="rId1277" xr:uid="{D589AD36-503A-4078-8BBA-32259BBD7718}"/>
    <hyperlink ref="J711" r:id="rId1278" xr:uid="{D61D72D6-C3A6-48AF-96FC-04EBB4490C2B}"/>
    <hyperlink ref="M711" r:id="rId1279" xr:uid="{E5DA7CE9-8A12-4FEA-8908-5E43F3C7E01A}"/>
    <hyperlink ref="J712" r:id="rId1280" xr:uid="{BC14483F-3024-495C-82D7-5A742A62B614}"/>
    <hyperlink ref="M712" r:id="rId1281" xr:uid="{18061F81-5E97-4B87-90B5-EE010F83A1BC}"/>
    <hyperlink ref="J713" r:id="rId1282" xr:uid="{4E3B4C2B-D897-47D7-9517-3263E9EE1D45}"/>
    <hyperlink ref="M713" r:id="rId1283" xr:uid="{621C5108-A414-4038-B981-A3D4390855F7}"/>
    <hyperlink ref="J714" r:id="rId1284" xr:uid="{EB8DCBEB-C09A-40E3-8BEA-A409D01A4434}"/>
    <hyperlink ref="M714" r:id="rId1285" xr:uid="{9E6AA906-2FF7-42DE-A860-9A4575AB675D}"/>
    <hyperlink ref="J715" r:id="rId1286" xr:uid="{542701AE-06C2-4AD5-BC3E-56FAC49BDA7E}"/>
    <hyperlink ref="M715" r:id="rId1287" xr:uid="{44306FA6-ED81-4C58-BBAC-D578F5917EE8}"/>
    <hyperlink ref="J716" r:id="rId1288" xr:uid="{7DBFDCE3-BA2C-4D1D-8525-B02689C200C3}"/>
    <hyperlink ref="M716" r:id="rId1289" xr:uid="{A7117053-D707-49F1-9DE6-B16C7738EF4E}"/>
    <hyperlink ref="J717" r:id="rId1290" xr:uid="{AE337088-6E36-41BE-BDB8-51EAE4A9805E}"/>
    <hyperlink ref="M717" r:id="rId1291" xr:uid="{39440C08-3817-40BF-8923-AB4287D6D1C0}"/>
    <hyperlink ref="J718" r:id="rId1292" xr:uid="{E01694E9-F028-4C6B-9E7B-84AF8DF81AF4}"/>
    <hyperlink ref="M718" r:id="rId1293" xr:uid="{B4F4314E-2FF5-4C9D-B096-42AFDFA07A92}"/>
    <hyperlink ref="J719" r:id="rId1294" xr:uid="{ADB2F5EF-A7F1-4A8C-8F66-282900FEE72E}"/>
    <hyperlink ref="M719" r:id="rId1295" xr:uid="{1FE62CFE-50FA-4B31-BAD3-0400A6995F06}"/>
    <hyperlink ref="J720" r:id="rId1296" xr:uid="{9F51957A-D522-43CC-AD49-844E7E8965F6}"/>
    <hyperlink ref="M720" r:id="rId1297" xr:uid="{C68925A3-B1AB-4848-96F1-9988B335FEE9}"/>
    <hyperlink ref="J721" r:id="rId1298" xr:uid="{D3F54B94-B340-4232-B8F4-34749C7A1908}"/>
    <hyperlink ref="M721" r:id="rId1299" xr:uid="{8FC28DD4-6B03-4ED9-AD3C-8BE2379601E3}"/>
    <hyperlink ref="J722" r:id="rId1300" xr:uid="{096F4064-9C8B-413E-9111-DE32EBF73AD0}"/>
    <hyperlink ref="M722" r:id="rId1301" xr:uid="{E02763B4-9D53-457A-894F-93BF058801FF}"/>
    <hyperlink ref="J723" r:id="rId1302" xr:uid="{A65CEEDA-74ED-429D-A4BF-00FAEF2F6E2E}"/>
    <hyperlink ref="M723" r:id="rId1303" xr:uid="{F52E7B61-2326-4E42-8891-66BAEAB6A3E2}"/>
    <hyperlink ref="J724" r:id="rId1304" xr:uid="{8A9E6FD5-6F2D-4643-ADB6-3EB5121858DF}"/>
    <hyperlink ref="M724" r:id="rId1305" xr:uid="{D88DCA1B-FE4C-4F39-8F1E-01BAEFD3FED3}"/>
    <hyperlink ref="J725" r:id="rId1306" xr:uid="{6614D605-B834-4D17-9130-A97A86986734}"/>
    <hyperlink ref="M725" r:id="rId1307" xr:uid="{03E795FF-98DE-4FC2-B155-89A46DC6AECC}"/>
    <hyperlink ref="J726" r:id="rId1308" xr:uid="{AE147B47-7E7C-42F8-B186-8656863E3CD5}"/>
    <hyperlink ref="M726" r:id="rId1309" xr:uid="{9762BD40-0158-44BD-9356-FA8E8DC99CA0}"/>
    <hyperlink ref="J727" r:id="rId1310" xr:uid="{668811C9-08EE-43D7-B00A-B60CB616F5A3}"/>
    <hyperlink ref="M727" r:id="rId1311" xr:uid="{23FF9E55-304F-4510-8DD8-466A913AA4A8}"/>
    <hyperlink ref="J728" r:id="rId1312" xr:uid="{167B15B8-767B-47A3-ACD3-71E50AF8F692}"/>
    <hyperlink ref="M728" r:id="rId1313" xr:uid="{FE1BDCE9-EC3F-45A7-ACE7-374830F7E17C}"/>
    <hyperlink ref="J729" r:id="rId1314" xr:uid="{10BA87E7-E553-40B8-BCF2-D6B8BE001756}"/>
    <hyperlink ref="M729" r:id="rId1315" xr:uid="{1F2DA93D-2B11-4E0C-98B2-5CEF0B3E6C5C}"/>
    <hyperlink ref="J730" r:id="rId1316" xr:uid="{0340D19A-7065-4011-A2E2-4F171218C87C}"/>
    <hyperlink ref="M730" r:id="rId1317" xr:uid="{69FBB5F5-694D-40B5-AB91-404EAADF626C}"/>
    <hyperlink ref="J731" r:id="rId1318" xr:uid="{39D400F0-8739-4B12-85F7-F37473AA5BD9}"/>
    <hyperlink ref="M731" r:id="rId1319" xr:uid="{61EF1C59-2722-44F2-9B52-92D21F20D1F7}"/>
    <hyperlink ref="J732" r:id="rId1320" xr:uid="{B1CFBE84-AA07-4DA2-B00B-242A18010788}"/>
    <hyperlink ref="M732" r:id="rId1321" xr:uid="{328B58BF-5432-4396-9EED-1230C1C0E7BA}"/>
    <hyperlink ref="J733" r:id="rId1322" xr:uid="{E31A2D68-AFB3-49E9-BBB2-B03E815004DA}"/>
    <hyperlink ref="M733" r:id="rId1323" xr:uid="{B2D2A580-F1F0-422E-B400-32D3A51247BC}"/>
    <hyperlink ref="J734" r:id="rId1324" xr:uid="{1FA4EBCC-E3F3-439B-82CE-7A93463470BA}"/>
    <hyperlink ref="M734" r:id="rId1325" xr:uid="{C93C9F56-1E9B-44CB-B42B-D901C0F03E40}"/>
    <hyperlink ref="J735" r:id="rId1326" xr:uid="{374BC782-BB7F-4983-8D32-1F2173E796C5}"/>
    <hyperlink ref="M735" r:id="rId1327" xr:uid="{27C96725-5BD4-49B0-886A-14662F593BD0}"/>
    <hyperlink ref="J736" r:id="rId1328" xr:uid="{3968DC4E-862A-4CB6-838A-DECF7BF54ED9}"/>
    <hyperlink ref="M736" r:id="rId1329" xr:uid="{8AC84204-1AAE-45F0-8275-BF13EFD7F451}"/>
    <hyperlink ref="J737" r:id="rId1330" xr:uid="{48E9B914-F6C6-45EC-8714-883F4C99DFFD}"/>
    <hyperlink ref="J738" r:id="rId1331" xr:uid="{1099E26F-E3BB-4DCD-BD76-6DEA8C02BB7B}"/>
    <hyperlink ref="M738" r:id="rId1332" xr:uid="{C6402CC7-55C5-45DB-B79B-C1545A6A540A}"/>
    <hyperlink ref="J739" r:id="rId1333" xr:uid="{7AF91EDE-5A4B-46BA-9622-268F0464845A}"/>
    <hyperlink ref="M739" r:id="rId1334" xr:uid="{AD9C9792-7520-462D-8FA1-EBB04D68214A}"/>
    <hyperlink ref="J740" r:id="rId1335" xr:uid="{9C362684-9067-4DC1-8417-A56148246A9A}"/>
    <hyperlink ref="M740" r:id="rId1336" xr:uid="{B96EA68C-B49C-4F5D-868B-3128F1702CBF}"/>
    <hyperlink ref="J741" r:id="rId1337" xr:uid="{049B8020-F8A0-4559-999F-4C0ECF3263AB}"/>
    <hyperlink ref="M741" r:id="rId1338" xr:uid="{B4B5998F-8C3D-45A8-8C1E-C1AE747D94E9}"/>
    <hyperlink ref="J742" r:id="rId1339" xr:uid="{238AA6C8-6F3E-4782-B4B4-9C2063B9691A}"/>
    <hyperlink ref="M742" r:id="rId1340" xr:uid="{D23D2F32-C5BA-4261-8DE9-9D69EBF665D3}"/>
    <hyperlink ref="J743" r:id="rId1341" xr:uid="{1333B030-1AC6-4BE1-BD2D-E849B6EFE5A7}"/>
    <hyperlink ref="M743" r:id="rId1342" xr:uid="{5C2F836B-46F8-483E-AB6B-13ECFA991BF8}"/>
    <hyperlink ref="J744" r:id="rId1343" xr:uid="{500032F3-B9D7-4641-B7DF-A52782723EE1}"/>
    <hyperlink ref="M744" r:id="rId1344" xr:uid="{7FEABC00-C79E-4C27-A0FB-F087065C6A1C}"/>
    <hyperlink ref="J745" r:id="rId1345" xr:uid="{0E9EABA8-31D0-459C-871E-4936F5EC19B3}"/>
    <hyperlink ref="M745" r:id="rId1346" xr:uid="{746CCB0E-24F5-4B26-BB9D-AEE729088F32}"/>
    <hyperlink ref="J746" r:id="rId1347" xr:uid="{6C10183B-7B99-47CA-B512-FBBF98D09418}"/>
    <hyperlink ref="M746" r:id="rId1348" xr:uid="{FEFAD9B0-AFA0-4B10-B921-AFEA58D3054F}"/>
    <hyperlink ref="J747" r:id="rId1349" xr:uid="{12767CB9-5AE8-4710-933F-FB4FC094C23E}"/>
    <hyperlink ref="M747" r:id="rId1350" xr:uid="{5695B498-2AF5-4E79-BED0-F431EAF2947B}"/>
    <hyperlink ref="J748" r:id="rId1351" xr:uid="{20775038-18BD-485A-B446-43155E26F824}"/>
    <hyperlink ref="M748" r:id="rId1352" xr:uid="{46D21CD5-7AFB-4BE4-B4B5-DE562FAE98E4}"/>
    <hyperlink ref="J749" r:id="rId1353" xr:uid="{5D908A82-5E97-475F-8C82-C5B2AE9C15E4}"/>
    <hyperlink ref="M749" r:id="rId1354" xr:uid="{B2EF043B-CC59-451E-A00E-47D8FFCBF302}"/>
    <hyperlink ref="J750" r:id="rId1355" xr:uid="{BC94C49E-2B2C-42BB-A38D-8DFD3AE79B82}"/>
    <hyperlink ref="M750" r:id="rId1356" xr:uid="{55E830C4-8093-42CB-9C24-9352F608D184}"/>
    <hyperlink ref="J751" r:id="rId1357" xr:uid="{A1076B64-0A4A-4DA9-81C0-63E0E2064B69}"/>
    <hyperlink ref="M751" r:id="rId1358" xr:uid="{FCB0724D-8B20-4E86-B87D-794F42E903EF}"/>
    <hyperlink ref="J752" r:id="rId1359" xr:uid="{109F778F-FA82-4381-A678-952752C32F7F}"/>
    <hyperlink ref="M752" r:id="rId1360" xr:uid="{EE62516B-0725-4867-AA46-C32EDC5E0CB5}"/>
    <hyperlink ref="J753" r:id="rId1361" xr:uid="{F590CF63-4AA7-4A9F-AC17-5855C5BEF388}"/>
    <hyperlink ref="M753" r:id="rId1362" xr:uid="{5D062FB2-2FCB-4A3F-B5B8-D83313FE0B0C}"/>
    <hyperlink ref="J754" r:id="rId1363" xr:uid="{F3FE1923-105B-4847-808A-57176982E213}"/>
    <hyperlink ref="M754" r:id="rId1364" xr:uid="{FFA9259E-26BB-49B5-A8A2-EE3FD0468C1A}"/>
    <hyperlink ref="J755" r:id="rId1365" xr:uid="{209FD01D-AE3B-4D68-80B9-BCA38C792F93}"/>
    <hyperlink ref="M755" r:id="rId1366" xr:uid="{A52F18D7-7B36-472E-80D9-19350E17D1FB}"/>
    <hyperlink ref="J756" r:id="rId1367" xr:uid="{B26D1724-38D1-4CA3-B2F5-D1CB505B9EB6}"/>
    <hyperlink ref="M756" r:id="rId1368" xr:uid="{ED106E2D-08DF-4C39-A7B1-9980624EE691}"/>
    <hyperlink ref="J757" r:id="rId1369" xr:uid="{4EA64722-D914-4A90-AE8B-4E20EDFE27CE}"/>
    <hyperlink ref="M757" r:id="rId1370" xr:uid="{65C7B59C-1A1C-4BAB-A53F-2F6217F3BF28}"/>
    <hyperlink ref="J758" r:id="rId1371" xr:uid="{7E55B7B2-BFB6-46A3-AE47-671A3AC3D564}"/>
    <hyperlink ref="M758" r:id="rId1372" xr:uid="{A1D01436-C562-427A-A115-D1CDAF25351F}"/>
    <hyperlink ref="J759" r:id="rId1373" xr:uid="{54246796-79F9-4736-ACB3-F75EF5759CEC}"/>
    <hyperlink ref="M759" r:id="rId1374" xr:uid="{00398E01-786F-4F82-957F-0489B3DB0036}"/>
    <hyperlink ref="J760" r:id="rId1375" xr:uid="{C52DC20B-6F4C-45E6-B758-B8E2A3A90F42}"/>
    <hyperlink ref="M760" r:id="rId1376" xr:uid="{916771C9-D61D-462D-AF3D-6F905EC5E905}"/>
    <hyperlink ref="J761" r:id="rId1377" xr:uid="{D48D75C3-654A-46F5-AF1A-6F9D754F2A08}"/>
    <hyperlink ref="M761" r:id="rId1378" xr:uid="{911E19E3-A6CB-4E85-9517-6B66BE756EA1}"/>
    <hyperlink ref="J762" r:id="rId1379" xr:uid="{B147749A-FA11-4544-89CF-0BEB9CC04BD3}"/>
    <hyperlink ref="M762" r:id="rId1380" xr:uid="{A0144823-0F62-4B9C-83D3-C63DC981FC47}"/>
    <hyperlink ref="J763" r:id="rId1381" xr:uid="{351920A8-634B-4566-A090-6104771C3F4D}"/>
    <hyperlink ref="M763" r:id="rId1382" xr:uid="{F7BEDBFE-8F55-4C5C-9F55-6AFBBDDFE1E4}"/>
    <hyperlink ref="J764" r:id="rId1383" xr:uid="{4C96327E-681A-4EB8-917C-4DC8B8A43082}"/>
    <hyperlink ref="M764" r:id="rId1384" xr:uid="{BED8953D-8077-4F11-ABD0-2CF5E170B44E}"/>
    <hyperlink ref="J765" r:id="rId1385" xr:uid="{61C0346D-0944-461C-88B5-A4A89303455E}"/>
    <hyperlink ref="M765" r:id="rId1386" xr:uid="{9033BEF2-0EE4-4DC4-9596-26810208B7FC}"/>
    <hyperlink ref="J766" r:id="rId1387" xr:uid="{4FFD1B44-ED5D-4885-9417-94F6C8B4A5A6}"/>
    <hyperlink ref="M766" r:id="rId1388" xr:uid="{FD04D0B9-1FC9-46E7-ADCB-3641E5944F69}"/>
    <hyperlink ref="J767" r:id="rId1389" xr:uid="{0F2A9A84-FBDC-4083-AE20-A7849F6B25CB}"/>
    <hyperlink ref="M767" r:id="rId1390" xr:uid="{C6BC6EC4-A092-4367-AAC7-C7CF4F38EC33}"/>
    <hyperlink ref="J768" r:id="rId1391" xr:uid="{41179B8B-F913-447A-A28B-F858EBDB66A2}"/>
    <hyperlink ref="M768" r:id="rId1392" xr:uid="{7E7EA965-97B3-49F4-B5B1-591CBD9B58DD}"/>
    <hyperlink ref="J769" r:id="rId1393" xr:uid="{CDADE5D0-0E82-456C-9E17-3A1DCD2B3062}"/>
    <hyperlink ref="M769" r:id="rId1394" xr:uid="{3FAAA7E4-049E-4AE5-99A9-77137040F5A8}"/>
    <hyperlink ref="J770" r:id="rId1395" xr:uid="{82A89F45-ABF5-47E9-8EBE-FA4212EF9741}"/>
    <hyperlink ref="M770" r:id="rId1396" xr:uid="{D175D494-6BBA-4414-BEC8-E1C21AEBB15E}"/>
    <hyperlink ref="J771" r:id="rId1397" xr:uid="{C2484543-78DC-48C6-91C4-F413539A1363}"/>
    <hyperlink ref="M771" r:id="rId1398" xr:uid="{BAE99AF7-C62E-4B0B-BAA8-CAB6467B6FB4}"/>
    <hyperlink ref="J772" r:id="rId1399" xr:uid="{57E7CE97-8FDD-497A-88B2-08103AAFB148}"/>
    <hyperlink ref="M772" r:id="rId1400" xr:uid="{AC784EFC-AAB5-4E04-B647-E57E12012C63}"/>
    <hyperlink ref="J773" r:id="rId1401" xr:uid="{241AC5D7-6972-49E2-915C-8229A6154D8A}"/>
    <hyperlink ref="M773" r:id="rId1402" xr:uid="{98A8E927-D6D5-41B7-AEB4-13080B302611}"/>
    <hyperlink ref="J774" r:id="rId1403" xr:uid="{EEAB168E-17CA-44E9-AB36-0766C9150334}"/>
    <hyperlink ref="M774" r:id="rId1404" xr:uid="{F5495482-7800-40A4-94CC-45D1D30CEB22}"/>
    <hyperlink ref="J775" r:id="rId1405" xr:uid="{E416A9ED-DB23-4BCF-844D-07CB1BF465EE}"/>
    <hyperlink ref="M775" r:id="rId1406" xr:uid="{B2C93A6E-66DD-4CFD-A45C-9D5C1EC2D2DF}"/>
    <hyperlink ref="J776" r:id="rId1407" xr:uid="{F58F2F0E-A263-4597-9585-2FC2FC2641F5}"/>
    <hyperlink ref="M776" r:id="rId1408" xr:uid="{62B0607C-AA7E-4E0C-A863-528074EE8A7B}"/>
    <hyperlink ref="J777" r:id="rId1409" xr:uid="{3BF238EA-8A82-430B-BD79-44CADD748383}"/>
    <hyperlink ref="M777" r:id="rId1410" xr:uid="{EFDA37D3-6EB3-4F02-A69F-92BCD4029D20}"/>
    <hyperlink ref="J778" r:id="rId1411" xr:uid="{EBD7782A-63C3-42A7-B577-13D4C9D21726}"/>
    <hyperlink ref="M778" r:id="rId1412" xr:uid="{BE778950-A8BD-421B-AE09-B5BECC0F4A93}"/>
    <hyperlink ref="J779" r:id="rId1413" xr:uid="{42DF901E-6B98-4AB2-92BF-525DE6D17984}"/>
    <hyperlink ref="M779" r:id="rId1414" xr:uid="{7CF27C03-B13A-485C-BD76-0B8531DCEB45}"/>
    <hyperlink ref="J780" r:id="rId1415" xr:uid="{5E3D16FA-581B-4763-8414-C0EAFA1AA69C}"/>
    <hyperlink ref="M780" r:id="rId1416" xr:uid="{22CAAE5F-3F47-4C66-B223-8250D88B3798}"/>
    <hyperlink ref="J781" r:id="rId1417" xr:uid="{A3C12867-CA76-4727-817A-E76EEC194B8B}"/>
    <hyperlink ref="M781" r:id="rId1418" xr:uid="{22864713-0EEE-4F28-AD0E-DD2F63217F46}"/>
    <hyperlink ref="J782" r:id="rId1419" xr:uid="{7DF45475-BA95-49D2-88BA-4CADF8CA5246}"/>
    <hyperlink ref="M782" r:id="rId1420" xr:uid="{17098850-7992-41E6-9869-EB6A9E17EE77}"/>
    <hyperlink ref="J783" r:id="rId1421" xr:uid="{D2E369BC-1F48-4AF4-8610-582B4D4D8313}"/>
    <hyperlink ref="M783" r:id="rId1422" xr:uid="{6FD79E4A-3FD1-43F1-8950-754F393020F9}"/>
    <hyperlink ref="J784" r:id="rId1423" xr:uid="{6CAF51B1-BE4B-4065-A21D-22914990143A}"/>
    <hyperlink ref="M784" r:id="rId1424" xr:uid="{DA937993-3C04-419E-A707-2CA83E263BBE}"/>
    <hyperlink ref="J785" r:id="rId1425" xr:uid="{36D150F0-CBC7-4938-9B3F-CF7384D730E7}"/>
    <hyperlink ref="M785" r:id="rId1426" xr:uid="{B3700539-7795-4F0F-9AA7-1522216A40E8}"/>
    <hyperlink ref="J786" r:id="rId1427" xr:uid="{103C4B27-56AE-4777-9041-420002C32F8B}"/>
    <hyperlink ref="M786" r:id="rId1428" xr:uid="{94FAA592-4FAE-40B8-B8B0-4510FCE4B797}"/>
    <hyperlink ref="J787" r:id="rId1429" xr:uid="{FD2A37E0-355B-4364-8E85-BCA1E45D4E4E}"/>
    <hyperlink ref="M787" r:id="rId1430" xr:uid="{3A8523E4-4209-47D0-AADB-E11FD6DA2453}"/>
    <hyperlink ref="J788" r:id="rId1431" xr:uid="{054B2E64-16A0-4261-B256-FE82EE2C25C9}"/>
    <hyperlink ref="M788" r:id="rId1432" xr:uid="{C92BD503-086B-4D53-85F0-83FCD446CCEA}"/>
    <hyperlink ref="J789" r:id="rId1433" xr:uid="{3034F0B5-3519-4E11-A972-9459192E7D38}"/>
    <hyperlink ref="M789" r:id="rId1434" xr:uid="{FD580D96-39E4-41BD-BCDB-03249198AAEF}"/>
    <hyperlink ref="J790" r:id="rId1435" xr:uid="{295F407E-8D1C-4BC2-B91B-6512CAA76C12}"/>
    <hyperlink ref="M790" r:id="rId1436" xr:uid="{79355104-9C2D-4A38-8EA7-EE9668993D57}"/>
    <hyperlink ref="J791" r:id="rId1437" xr:uid="{9C4C908B-68C5-47D3-A156-DCFE46CA465E}"/>
    <hyperlink ref="M791" r:id="rId1438" xr:uid="{3B4805A2-9762-484C-A09C-1C8147DFCEDB}"/>
    <hyperlink ref="J792" r:id="rId1439" xr:uid="{8F01942D-376C-47D2-B3FC-D86B5831E98B}"/>
    <hyperlink ref="M792" r:id="rId1440" xr:uid="{F97ABCB6-2C08-4F2E-BFEE-1E1EE6B93EBF}"/>
    <hyperlink ref="J793" r:id="rId1441" xr:uid="{2A46106D-9784-4041-B060-855C02004E28}"/>
    <hyperlink ref="M793" r:id="rId1442" xr:uid="{E6D96C82-9918-4AD7-9745-C2B4E345B5A9}"/>
    <hyperlink ref="J794" r:id="rId1443" xr:uid="{3161A0E5-2FF1-4E1D-9ABC-5BE2D0919376}"/>
    <hyperlink ref="M794" r:id="rId1444" xr:uid="{AB5A30DA-2470-4FB5-AF4F-5313DA73DACA}"/>
    <hyperlink ref="J795" r:id="rId1445" xr:uid="{C3B2F320-07B1-4D1A-9E1E-76D6EA378B53}"/>
    <hyperlink ref="M795" r:id="rId1446" xr:uid="{4ADB243E-9E68-438A-B88D-DAB03B847DBC}"/>
    <hyperlink ref="J796" r:id="rId1447" xr:uid="{A9FA51F8-14D2-40D1-B0C8-AB9AD020BF7F}"/>
    <hyperlink ref="M796" r:id="rId1448" xr:uid="{BFF7AD8B-4259-485F-A97F-65ACB73E9310}"/>
    <hyperlink ref="J797" r:id="rId1449" xr:uid="{1187B4D7-F03D-438E-9F24-2C0959EA6E00}"/>
    <hyperlink ref="M797" r:id="rId1450" xr:uid="{BD0E03C9-070F-49DC-AAD8-00F2B01EB482}"/>
    <hyperlink ref="J798" r:id="rId1451" xr:uid="{1A320C7D-699C-4DD5-B65D-B8FC119A3835}"/>
    <hyperlink ref="M798" r:id="rId1452" xr:uid="{49BE68AD-313A-4F45-A07C-C5CB1A95A662}"/>
    <hyperlink ref="J799" r:id="rId1453" xr:uid="{18089B84-8C38-445F-956D-9BE0064A3D61}"/>
    <hyperlink ref="M799" r:id="rId1454" xr:uid="{4D4376E8-1076-415D-BE0A-40BD15D6FBE5}"/>
    <hyperlink ref="J800" r:id="rId1455" xr:uid="{A9F86AE3-4CCA-4338-9F6B-59B37801591F}"/>
    <hyperlink ref="M800" r:id="rId1456" xr:uid="{E98330F5-B0BA-44B8-8FA2-F1BFDAAB3A0F}"/>
    <hyperlink ref="J801" r:id="rId1457" xr:uid="{4E3B77DD-E5A6-4451-9D3D-241AC1E422EC}"/>
    <hyperlink ref="M801" r:id="rId1458" xr:uid="{AA94840E-C9D0-4949-86C9-099C8F2BB084}"/>
    <hyperlink ref="J802" r:id="rId1459" xr:uid="{2BA81BEB-7C47-4AF5-91A5-B2671E0CABAF}"/>
    <hyperlink ref="M802" r:id="rId1460" xr:uid="{E0651E4C-3B4E-440C-A684-EAC69ECE44A1}"/>
    <hyperlink ref="J803" r:id="rId1461" xr:uid="{ACC1B917-0D28-4B8B-A7D8-70292EC3D2BE}"/>
    <hyperlink ref="M803" r:id="rId1462" xr:uid="{FB0209AF-09D4-4FF4-B23C-6E09384DB685}"/>
    <hyperlink ref="J804" r:id="rId1463" xr:uid="{EA341D70-89AB-4210-B7D6-0C5128F4E76C}"/>
    <hyperlink ref="M804" r:id="rId1464" xr:uid="{8CD506AB-D1F5-4276-AC0E-690059E6857C}"/>
    <hyperlink ref="J805" r:id="rId1465" xr:uid="{F8754BFC-85C2-4F62-B058-49E0631632BB}"/>
    <hyperlink ref="M805" r:id="rId1466" xr:uid="{8C1E282F-512F-466C-9ABA-EF99B0D60CD6}"/>
  </hyperlinks>
  <pageMargins left="0.7" right="0.7" top="0.75" bottom="0.75" header="0.3" footer="0.3"/>
  <pageSetup paperSize="20000" orientation="portrait" horizontalDpi="0" verticalDpi="0" r:id="rId146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85AB-FD1A-46D2-86ED-442CB0B1D718}">
  <dimension ref="A1:M469"/>
  <sheetViews>
    <sheetView workbookViewId="0">
      <selection activeCell="I3" sqref="I3"/>
    </sheetView>
  </sheetViews>
  <sheetFormatPr defaultRowHeight="15" x14ac:dyDescent="0.25"/>
  <cols>
    <col min="2" max="2" width="15.28515625" bestFit="1" customWidth="1"/>
    <col min="3" max="3" width="15.5703125" bestFit="1" customWidth="1"/>
    <col min="4" max="4" width="11.28515625" bestFit="1" customWidth="1"/>
    <col min="5" max="5" width="13.85546875" bestFit="1" customWidth="1"/>
    <col min="6" max="6" width="15.140625" bestFit="1" customWidth="1"/>
    <col min="7" max="7" width="16.42578125" bestFit="1" customWidth="1"/>
    <col min="8" max="8" width="17.7109375" bestFit="1" customWidth="1"/>
    <col min="9" max="9" width="30.42578125" bestFit="1" customWidth="1"/>
    <col min="10" max="10" width="18.28515625" bestFit="1" customWidth="1"/>
    <col min="11" max="11" width="10" bestFit="1" customWidth="1"/>
    <col min="12" max="12" width="5.85546875" bestFit="1" customWidth="1"/>
    <col min="13" max="13" width="9.5703125" bestFit="1" customWidth="1"/>
  </cols>
  <sheetData>
    <row r="1" spans="1:13" ht="15.75" thickBot="1" x14ac:dyDescent="0.3"/>
    <row r="2" spans="1:13" ht="15.75" thickBot="1" x14ac:dyDescent="0.3">
      <c r="A2" s="13" t="s">
        <v>3153</v>
      </c>
      <c r="B2" s="86" t="s">
        <v>3154</v>
      </c>
      <c r="C2" s="13" t="s">
        <v>3155</v>
      </c>
      <c r="D2" s="13" t="s">
        <v>3156</v>
      </c>
      <c r="E2" s="13" t="s">
        <v>3157</v>
      </c>
      <c r="F2" s="13" t="s">
        <v>3158</v>
      </c>
      <c r="G2" s="13" t="s">
        <v>3159</v>
      </c>
      <c r="H2" s="13" t="s">
        <v>3160</v>
      </c>
      <c r="I2" s="13" t="s">
        <v>3161</v>
      </c>
      <c r="J2" s="13" t="s">
        <v>3162</v>
      </c>
      <c r="K2" s="13" t="s">
        <v>3163</v>
      </c>
      <c r="L2" s="13" t="s">
        <v>3164</v>
      </c>
      <c r="M2" s="13" t="s">
        <v>3165</v>
      </c>
    </row>
    <row r="3" spans="1:13" x14ac:dyDescent="0.25">
      <c r="A3">
        <v>228</v>
      </c>
      <c r="B3" t="str">
        <f>Lembar2!L2</f>
        <v>EBTAQ25-06.001</v>
      </c>
      <c r="C3" t="str">
        <f>Lembar2!D2</f>
        <v>SITI NUR SALSABILA</v>
      </c>
      <c r="D3" t="str">
        <f>Lembar2!I2</f>
        <v>Perempuan</v>
      </c>
      <c r="E3" t="str">
        <f>Lembar2!E2</f>
        <v>Kendal</v>
      </c>
      <c r="F3" s="21">
        <f>Lembar2!F2</f>
        <v>40885</v>
      </c>
      <c r="G3" t="str">
        <f>Lembar2!G2</f>
        <v>SHOLIKHIN</v>
      </c>
      <c r="H3" t="str">
        <f>Lembar2!H2</f>
        <v>NGASTI'AH</v>
      </c>
      <c r="I3" t="str">
        <f>VLOOKUP(B3,Lembar1!A$4:H$175,8,FALSE)</f>
        <v>BIO_Images/EBTAQ25-06.001.jpg</v>
      </c>
      <c r="J3" t="str">
        <f>Lembar2!C2</f>
        <v>Mranggen - Futuhiyyah</v>
      </c>
    </row>
    <row r="4" spans="1:13" x14ac:dyDescent="0.25">
      <c r="A4">
        <v>229</v>
      </c>
      <c r="B4" t="str">
        <f>Lembar2!L3</f>
        <v>EBTAQ25-01.111</v>
      </c>
      <c r="C4" t="str">
        <f>Lembar2!D3</f>
        <v>WAKHIDATUN NAILIS SA'ADAH</v>
      </c>
      <c r="D4" t="str">
        <f>Lembar2!I3</f>
        <v>Perempuan</v>
      </c>
      <c r="E4" t="str">
        <f>Lembar2!E3</f>
        <v>Demak</v>
      </c>
      <c r="F4" s="21">
        <f>Lembar2!F3</f>
        <v>42501</v>
      </c>
      <c r="G4" t="str">
        <f>Lembar2!G3</f>
        <v>MAD SOLEH</v>
      </c>
      <c r="H4" t="str">
        <f>Lembar2!H3</f>
        <v>SITI KHOLIFAH</v>
      </c>
      <c r="I4" t="str">
        <f>VLOOKUP(B4,Lembar1!A$4:H$175,8,FALSE)</f>
        <v>BIO_Images/EBTAQ25-01.111.jpg</v>
      </c>
      <c r="J4" t="str">
        <f>Lembar2!C3</f>
        <v>Demak - TPQ KH ALJAZERI</v>
      </c>
    </row>
    <row r="5" spans="1:13" x14ac:dyDescent="0.25">
      <c r="A5">
        <v>230</v>
      </c>
      <c r="B5" t="str">
        <f>Lembar2!L4</f>
        <v>EBTAQ25-01.112</v>
      </c>
      <c r="C5" t="str">
        <f>Lembar2!D4</f>
        <v>Atika Zahra Latifa</v>
      </c>
      <c r="D5" t="str">
        <f>Lembar2!I4</f>
        <v>Perempuan</v>
      </c>
      <c r="E5" t="str">
        <f>Lembar2!E4</f>
        <v>Demak</v>
      </c>
      <c r="F5" s="21">
        <f>Lembar2!F4</f>
        <v>41776</v>
      </c>
      <c r="G5" t="str">
        <f>Lembar2!G4</f>
        <v>Abdul Hadi</v>
      </c>
      <c r="H5" t="str">
        <f>Lembar2!H4</f>
        <v>Tika Ikhwal Maryana</v>
      </c>
      <c r="I5" t="str">
        <f>VLOOKUP(B5,Lembar1!A$4:H$175,8,FALSE)</f>
        <v>BIO_Images/EBTAQ25-01.112atika - safaroh nizam</v>
      </c>
      <c r="J5" t="str">
        <f>Lembar2!C4</f>
        <v>Demak - TPQ KH ALJAZERI</v>
      </c>
    </row>
    <row r="6" spans="1:13" x14ac:dyDescent="0.25">
      <c r="A6">
        <v>231</v>
      </c>
      <c r="B6" t="str">
        <f>Lembar2!L5</f>
        <v>EBTAQ25-01.113</v>
      </c>
      <c r="C6" t="str">
        <f>Lembar2!D5</f>
        <v>Keisha Laila Fajrina</v>
      </c>
      <c r="D6" t="str">
        <f>Lembar2!I5</f>
        <v>Perempuan</v>
      </c>
      <c r="E6" t="str">
        <f>Lembar2!E5</f>
        <v>Demak</v>
      </c>
      <c r="F6" s="21">
        <f>Lembar2!F5</f>
        <v>42488</v>
      </c>
      <c r="G6" t="str">
        <f>Lembar2!G5</f>
        <v>Mohamad Fatkhan</v>
      </c>
      <c r="H6" t="str">
        <f>Lembar2!H5</f>
        <v>Sukinah</v>
      </c>
      <c r="I6" t="str">
        <f>VLOOKUP(B6,Lembar1!A$4:H$175,8,FALSE)</f>
        <v>BIO_Images/EBTAQ25-01.113.jpg</v>
      </c>
      <c r="J6" t="str">
        <f>Lembar2!C5</f>
        <v>Demak - TPQ ALHADID</v>
      </c>
    </row>
    <row r="7" spans="1:13" x14ac:dyDescent="0.25">
      <c r="A7">
        <v>232</v>
      </c>
      <c r="B7" t="str">
        <f>Lembar2!L6</f>
        <v>EBTAQ25-01.114</v>
      </c>
      <c r="C7" t="str">
        <f>Lembar2!D6</f>
        <v>ADELIA KHAIRA WILDA</v>
      </c>
      <c r="D7" t="str">
        <f>Lembar2!I6</f>
        <v>Perempuan</v>
      </c>
      <c r="E7" t="str">
        <f>Lembar2!E6</f>
        <v>DEMAK</v>
      </c>
      <c r="F7" s="21">
        <f>Lembar2!F6</f>
        <v>42037</v>
      </c>
      <c r="G7" t="str">
        <f>Lembar2!G6</f>
        <v>ZAENAL ABIDIN</v>
      </c>
      <c r="H7" t="str">
        <f>Lembar2!H6</f>
        <v>JIJIN TURIASIH</v>
      </c>
      <c r="I7" t="str">
        <f>VLOOKUP(B7,Lembar1!A$4:H$175,8,FALSE)</f>
        <v>BIO_Images/EBTAQ25-01.114.jpg</v>
      </c>
      <c r="J7" t="str">
        <f>Lembar2!C6</f>
        <v>Demak - TPQ ALHADID</v>
      </c>
    </row>
    <row r="8" spans="1:13" x14ac:dyDescent="0.25">
      <c r="A8">
        <v>233</v>
      </c>
      <c r="B8" t="str">
        <f>Lembar2!L7</f>
        <v>EBTAQ25-01.115</v>
      </c>
      <c r="C8" t="str">
        <f>Lembar2!D7</f>
        <v>Annisa faiha</v>
      </c>
      <c r="D8" t="str">
        <f>Lembar2!I7</f>
        <v>Perempuan</v>
      </c>
      <c r="E8" t="str">
        <f>Lembar2!E7</f>
        <v>Demak</v>
      </c>
      <c r="F8" s="21">
        <f>Lembar2!F7</f>
        <v>42841</v>
      </c>
      <c r="G8" t="str">
        <f>Lembar2!G7</f>
        <v>Kholil Bisri</v>
      </c>
      <c r="H8" t="str">
        <f>Lembar2!H7</f>
        <v>Himmatul Ulliya</v>
      </c>
      <c r="I8" t="str">
        <f>VLOOKUP(B8,Lembar1!A$4:H$175,8,FALSE)</f>
        <v>BIO_Images/EBTAQ25-01.115.jpg</v>
      </c>
      <c r="J8" t="str">
        <f>Lembar2!C7</f>
        <v>Demak - TPQ ALHADID</v>
      </c>
    </row>
    <row r="9" spans="1:13" x14ac:dyDescent="0.25">
      <c r="A9">
        <v>234</v>
      </c>
      <c r="B9" t="str">
        <f>Lembar2!L8</f>
        <v>EBTAQ25-01.116</v>
      </c>
      <c r="C9" t="str">
        <f>Lembar2!D8</f>
        <v>octafia ayu rahmawati</v>
      </c>
      <c r="D9" t="str">
        <f>Lembar2!I8</f>
        <v>Perempuan</v>
      </c>
      <c r="E9" t="str">
        <f>Lembar2!E8</f>
        <v>Demak</v>
      </c>
      <c r="F9" s="21">
        <f>Lembar2!F8</f>
        <v>42307</v>
      </c>
      <c r="G9" t="str">
        <f>Lembar2!G8</f>
        <v>purwadi</v>
      </c>
      <c r="H9" t="str">
        <f>Lembar2!H8</f>
        <v>saudah</v>
      </c>
      <c r="I9" t="str">
        <f>VLOOKUP(B9,Lembar1!A$4:H$175,8,FALSE)</f>
        <v>BIO_Images/EBTAQ25-01.116.jpg</v>
      </c>
      <c r="J9" t="str">
        <f>Lembar2!C8</f>
        <v>Demak - TPQ ALHADID</v>
      </c>
    </row>
    <row r="10" spans="1:13" x14ac:dyDescent="0.25">
      <c r="A10">
        <v>235</v>
      </c>
      <c r="B10" t="str">
        <f>Lembar2!L9</f>
        <v>EBTAQ25-01.117</v>
      </c>
      <c r="C10" t="str">
        <f>Lembar2!D9</f>
        <v>AQILA QURROTU A'YUN</v>
      </c>
      <c r="D10" t="str">
        <f>Lembar2!I9</f>
        <v>Perempuan</v>
      </c>
      <c r="E10" t="str">
        <f>Lembar2!E9</f>
        <v>Demak</v>
      </c>
      <c r="F10" s="21">
        <f>Lembar2!F9</f>
        <v>42577</v>
      </c>
      <c r="G10" t="str">
        <f>Lembar2!G9</f>
        <v>Sucipto</v>
      </c>
      <c r="H10" t="str">
        <f>Lembar2!H9</f>
        <v>Kholisoh</v>
      </c>
      <c r="I10" t="str">
        <f>VLOOKUP(B10,Lembar1!A$4:H$175,8,FALSE)</f>
        <v>BIO_Images/EBTAQ25-01.117.jpg</v>
      </c>
      <c r="J10" t="str">
        <f>Lembar2!C9</f>
        <v>Demak - TPQ ALHADID</v>
      </c>
    </row>
    <row r="11" spans="1:13" x14ac:dyDescent="0.25">
      <c r="A11">
        <v>236</v>
      </c>
      <c r="B11" t="str">
        <f>Lembar2!L10</f>
        <v>EBTAQ25-01.118</v>
      </c>
      <c r="C11" t="str">
        <f>Lembar2!D10</f>
        <v>Nurul Fauziyah Ramadhani</v>
      </c>
      <c r="D11" t="str">
        <f>Lembar2!I10</f>
        <v>Perempuan</v>
      </c>
      <c r="E11" t="str">
        <f>Lembar2!E10</f>
        <v>Demak</v>
      </c>
      <c r="F11" s="21">
        <f>Lembar2!F10</f>
        <v>41482</v>
      </c>
      <c r="G11" t="str">
        <f>Lembar2!G10</f>
        <v>Muhidin</v>
      </c>
      <c r="H11" t="str">
        <f>Lembar2!H10</f>
        <v>Sri kumaidah</v>
      </c>
      <c r="I11" t="str">
        <f>VLOOKUP(B11,Lembar1!A$4:H$175,8,FALSE)</f>
        <v>BIO_Images/EBTAQ25-01.118.jpg</v>
      </c>
      <c r="J11" t="str">
        <f>Lembar2!C10</f>
        <v>Demak - TPQ ALHADID</v>
      </c>
    </row>
    <row r="12" spans="1:13" x14ac:dyDescent="0.25">
      <c r="A12">
        <v>237</v>
      </c>
      <c r="B12" t="str">
        <f>Lembar2!L11</f>
        <v>EBTAQ25-01.119</v>
      </c>
      <c r="C12" t="str">
        <f>Lembar2!D11</f>
        <v>Aisya Faiha Maulidya</v>
      </c>
      <c r="D12" t="str">
        <f>Lembar2!I11</f>
        <v>Perempuan</v>
      </c>
      <c r="E12" t="str">
        <f>Lembar2!E11</f>
        <v>Demak</v>
      </c>
      <c r="F12" s="21">
        <f>Lembar2!F11</f>
        <v>42729</v>
      </c>
      <c r="G12" t="str">
        <f>Lembar2!G11</f>
        <v>Masri</v>
      </c>
      <c r="H12" t="str">
        <f>Lembar2!H11</f>
        <v>Kasiroh</v>
      </c>
      <c r="I12" t="str">
        <f>VLOOKUP(B12,Lembar1!A$4:H$175,8,FALSE)</f>
        <v>BIO_Images/EBTAQ25-01.119.jpg</v>
      </c>
      <c r="J12" t="str">
        <f>Lembar2!C11</f>
        <v>Demak - TPQ ALHADID</v>
      </c>
    </row>
    <row r="13" spans="1:13" x14ac:dyDescent="0.25">
      <c r="A13">
        <v>238</v>
      </c>
      <c r="B13" t="str">
        <f>Lembar2!L12</f>
        <v>EBTAQ25-06.002</v>
      </c>
      <c r="C13" t="str">
        <f>Lembar2!D12</f>
        <v>AQILA RAISA AILANI MA'ARIF</v>
      </c>
      <c r="D13" t="str">
        <f>Lembar2!I12</f>
        <v>Perempuan</v>
      </c>
      <c r="E13" t="str">
        <f>Lembar2!E12</f>
        <v>Semarang</v>
      </c>
      <c r="F13" s="21">
        <f>Lembar2!F12</f>
        <v>41853</v>
      </c>
      <c r="G13" t="str">
        <f>Lembar2!G12</f>
        <v>Khusnul Ma'arif</v>
      </c>
      <c r="H13" t="str">
        <f>Lembar2!H12</f>
        <v>Nur Khoiroh Wijayanti</v>
      </c>
      <c r="I13" t="str">
        <f>VLOOKUP(B13,Lembar1!A$4:H$175,8,FALSE)</f>
        <v>BIO_Images/EBTAQ25-06.002.jpg</v>
      </c>
      <c r="J13" t="str">
        <f>Lembar2!C12</f>
        <v>Mranggen - Darul qur'an</v>
      </c>
    </row>
    <row r="14" spans="1:13" x14ac:dyDescent="0.25">
      <c r="A14">
        <v>239</v>
      </c>
      <c r="B14" t="str">
        <f>Lembar2!L13</f>
        <v>EBTAQ25-06.003</v>
      </c>
      <c r="C14" t="str">
        <f>Lembar2!D13</f>
        <v>Ahmad Fakhryl Mubarok</v>
      </c>
      <c r="D14" t="str">
        <f>Lembar2!I13</f>
        <v>Laki-laki</v>
      </c>
      <c r="E14" t="str">
        <f>Lembar2!E13</f>
        <v>Demak</v>
      </c>
      <c r="F14" s="21">
        <f>Lembar2!F13</f>
        <v>41787</v>
      </c>
      <c r="G14" t="str">
        <f>Lembar2!G13</f>
        <v>Anton Husni Mubarok</v>
      </c>
      <c r="H14" t="str">
        <f>Lembar2!H13</f>
        <v>Akmalia</v>
      </c>
      <c r="I14" t="str">
        <f>VLOOKUP(B14,Lembar1!A$4:H$175,8,FALSE)</f>
        <v>BIO_Images/EBTAQ25-06.003.jpg</v>
      </c>
      <c r="J14" t="str">
        <f>Lembar2!C13</f>
        <v>Mranggen - Darul qur'an</v>
      </c>
    </row>
    <row r="15" spans="1:13" x14ac:dyDescent="0.25">
      <c r="A15">
        <v>240</v>
      </c>
      <c r="B15" t="str">
        <f>Lembar2!L14</f>
        <v>EBTAQ25-06.004</v>
      </c>
      <c r="C15" t="str">
        <f>Lembar2!D14</f>
        <v>Ayyash</v>
      </c>
      <c r="D15" t="str">
        <f>Lembar2!I14</f>
        <v>Laki-laki</v>
      </c>
      <c r="E15" t="str">
        <f>Lembar2!E14</f>
        <v>Semarang</v>
      </c>
      <c r="F15" s="21">
        <f>Lembar2!F14</f>
        <v>42271</v>
      </c>
      <c r="G15" t="str">
        <f>Lembar2!G14</f>
        <v>Dian Hadi Saputra</v>
      </c>
      <c r="H15" t="str">
        <f>Lembar2!H14</f>
        <v>May Kurniawati</v>
      </c>
      <c r="I15" t="str">
        <f>VLOOKUP(B15,Lembar1!A$4:H$175,8,FALSE)</f>
        <v>BIO_Images/EBTAQ25-06.004.jpg</v>
      </c>
      <c r="J15" t="str">
        <f>Lembar2!C14</f>
        <v>Mranggen - Darul qur'an</v>
      </c>
    </row>
    <row r="16" spans="1:13" x14ac:dyDescent="0.25">
      <c r="A16">
        <v>241</v>
      </c>
      <c r="B16" t="str">
        <f>Lembar2!L15</f>
        <v>EBTAQ25-06.005</v>
      </c>
      <c r="C16" t="str">
        <f>Lembar2!D15</f>
        <v>Muhammad Gibran Hifdzi Sarkan</v>
      </c>
      <c r="D16" t="str">
        <f>Lembar2!I15</f>
        <v>Laki-laki</v>
      </c>
      <c r="E16" t="str">
        <f>Lembar2!E15</f>
        <v>Semarang</v>
      </c>
      <c r="F16" s="21">
        <f>Lembar2!F15</f>
        <v>42339</v>
      </c>
      <c r="G16" t="str">
        <f>Lembar2!G15</f>
        <v>Ahmad Nasik</v>
      </c>
      <c r="H16" t="str">
        <f>Lembar2!H15</f>
        <v>Munawaroh</v>
      </c>
      <c r="I16" t="str">
        <f>VLOOKUP(B16,Lembar1!A$4:H$175,8,FALSE)</f>
        <v>BIO_Images/EBTAQ25-06.005.jpg</v>
      </c>
      <c r="J16" t="str">
        <f>Lembar2!C15</f>
        <v>Mranggen - Darul qur'an</v>
      </c>
    </row>
    <row r="17" spans="1:10" x14ac:dyDescent="0.25">
      <c r="A17">
        <v>242</v>
      </c>
      <c r="B17" t="str">
        <f>Lembar2!L16</f>
        <v>EBTAQ25-06.006</v>
      </c>
      <c r="C17" t="str">
        <f>Lembar2!D16</f>
        <v>Missela Rifalena</v>
      </c>
      <c r="D17" t="str">
        <f>Lembar2!I16</f>
        <v>Perempuan</v>
      </c>
      <c r="E17" t="str">
        <f>Lembar2!E16</f>
        <v>Demak</v>
      </c>
      <c r="F17" s="21">
        <f>Lembar2!F16</f>
        <v>40717</v>
      </c>
      <c r="G17" t="str">
        <f>Lembar2!G16</f>
        <v>Ahmad Mafaza</v>
      </c>
      <c r="H17" t="str">
        <f>Lembar2!H16</f>
        <v>Rina Andriyani</v>
      </c>
      <c r="I17" t="str">
        <f>VLOOKUP(B17,Lembar1!A$4:H$175,8,FALSE)</f>
        <v>BIO_Images/EBTAQ25-06.006.jpg</v>
      </c>
      <c r="J17" t="str">
        <f>Lembar2!C16</f>
        <v>Mranggen - Darul qur'an</v>
      </c>
    </row>
    <row r="18" spans="1:10" x14ac:dyDescent="0.25">
      <c r="A18">
        <v>243</v>
      </c>
      <c r="B18" t="str">
        <f>Lembar2!L17</f>
        <v>EBTAQ25-06.007</v>
      </c>
      <c r="C18" t="str">
        <f>Lembar2!D17</f>
        <v>Anugrah Malik Ihlaq Saputra</v>
      </c>
      <c r="D18" t="str">
        <f>Lembar2!I17</f>
        <v>Laki-laki</v>
      </c>
      <c r="E18" t="str">
        <f>Lembar2!E17</f>
        <v>Boyolali</v>
      </c>
      <c r="F18" s="21">
        <f>Lembar2!F17</f>
        <v>41091</v>
      </c>
      <c r="G18" t="str">
        <f>Lembar2!G17</f>
        <v>Agung Nugroho</v>
      </c>
      <c r="H18" t="str">
        <f>Lembar2!H17</f>
        <v>Fitroh</v>
      </c>
      <c r="I18" t="str">
        <f>VLOOKUP(B18,Lembar1!A$4:H$175,8,FALSE)</f>
        <v>BIO_Images/EBTAQ25-06.007.jpg</v>
      </c>
      <c r="J18" t="str">
        <f>Lembar2!C17</f>
        <v>Mranggen - Darul qur'an</v>
      </c>
    </row>
    <row r="19" spans="1:10" x14ac:dyDescent="0.25">
      <c r="A19">
        <v>244</v>
      </c>
      <c r="B19" t="str">
        <f>Lembar2!L18</f>
        <v>EBTAQ25-03.001</v>
      </c>
      <c r="C19" t="str">
        <f>Lembar2!D18</f>
        <v>MUHAMMAD ARHAB REYHAN ARDHANI</v>
      </c>
      <c r="D19" t="str">
        <f>Lembar2!I18</f>
        <v>Laki-laki</v>
      </c>
      <c r="E19" t="str">
        <f>Lembar2!E18</f>
        <v>Demak</v>
      </c>
      <c r="F19" s="21">
        <f>Lembar2!F18</f>
        <v>42899</v>
      </c>
      <c r="G19" t="str">
        <f>Lembar2!G18</f>
        <v>FATIKHIN</v>
      </c>
      <c r="H19" t="str">
        <f>Lembar2!H18</f>
        <v>NURUL INAROH</v>
      </c>
      <c r="I19" t="e">
        <f>VLOOKUP(B19,Lembar1!A$4:H$175,8,FALSE)</f>
        <v>#N/A</v>
      </c>
      <c r="J19" t="str">
        <f>Lembar2!C18</f>
        <v>BMW - Taisirul Qurro'</v>
      </c>
    </row>
    <row r="20" spans="1:10" x14ac:dyDescent="0.25">
      <c r="A20">
        <v>245</v>
      </c>
      <c r="B20" t="str">
        <f>Lembar2!L19</f>
        <v>EBTAQ25-03.002</v>
      </c>
      <c r="C20" t="str">
        <f>Lembar2!D19</f>
        <v>QORROTUL AINI ZULFA</v>
      </c>
      <c r="D20" t="str">
        <f>Lembar2!I19</f>
        <v>Perempuan</v>
      </c>
      <c r="E20" t="str">
        <f>Lembar2!E19</f>
        <v>DEMAK</v>
      </c>
      <c r="F20" s="21">
        <f>Lembar2!F19</f>
        <v>42865</v>
      </c>
      <c r="G20" t="str">
        <f>Lembar2!G19</f>
        <v>ABDUL ROKHIB</v>
      </c>
      <c r="H20" t="str">
        <f>Lembar2!H19</f>
        <v>KOIDAH</v>
      </c>
      <c r="I20" t="str">
        <f>VLOOKUP(B20,Lembar1!A$4:H$175,8,FALSE)</f>
        <v>BIO_Images/EBTAQ25-03.002.jpg</v>
      </c>
      <c r="J20" t="str">
        <f>Lembar2!C19</f>
        <v>BMW - Taisirul Qurro'</v>
      </c>
    </row>
    <row r="21" spans="1:10" x14ac:dyDescent="0.25">
      <c r="A21">
        <v>246</v>
      </c>
      <c r="B21" t="str">
        <f>Lembar2!L20</f>
        <v>EBTAQ25-03.003</v>
      </c>
      <c r="C21" t="str">
        <f>Lembar2!D20</f>
        <v>AHMAD RAFIF AYDIN ALVARO</v>
      </c>
      <c r="D21" t="str">
        <f>Lembar2!I20</f>
        <v>Laki-laki</v>
      </c>
      <c r="E21" t="str">
        <f>Lembar2!E20</f>
        <v>JEPARA</v>
      </c>
      <c r="F21" s="21">
        <f>Lembar2!F20</f>
        <v>43137</v>
      </c>
      <c r="G21" t="str">
        <f>Lembar2!G20</f>
        <v>AHMAD SYUKRON</v>
      </c>
      <c r="H21" t="str">
        <f>Lembar2!H20</f>
        <v>SITI TRI ALFI</v>
      </c>
      <c r="I21" t="str">
        <f>VLOOKUP(B21,Lembar1!A$4:H$175,8,FALSE)</f>
        <v>BIO_Images/EBTAQ25-03.003.jpg</v>
      </c>
      <c r="J21" t="str">
        <f>Lembar2!C20</f>
        <v>BMW - Taisirul Qurro'</v>
      </c>
    </row>
    <row r="22" spans="1:10" x14ac:dyDescent="0.25">
      <c r="A22">
        <v>247</v>
      </c>
      <c r="B22" t="str">
        <f>Lembar2!L21</f>
        <v>EBTAQ25-01.120</v>
      </c>
      <c r="C22" t="str">
        <f>Lembar2!D21</f>
        <v>Muhammad Ghani Aqilleo</v>
      </c>
      <c r="D22" t="str">
        <f>Lembar2!I21</f>
        <v>Laki-laki</v>
      </c>
      <c r="E22" t="str">
        <f>Lembar2!E21</f>
        <v>Demak</v>
      </c>
      <c r="F22" s="21">
        <f>Lembar2!F21</f>
        <v>41369</v>
      </c>
      <c r="G22" t="str">
        <f>Lembar2!G21</f>
        <v>Abdul Rouf</v>
      </c>
      <c r="H22" t="str">
        <f>Lembar2!H21</f>
        <v>Laili Suryani</v>
      </c>
      <c r="I22" t="e">
        <f>VLOOKUP(B22,Lembar1!A$4:H$175,8,FALSE)</f>
        <v>#N/A</v>
      </c>
      <c r="J22" t="str">
        <f>Lembar2!C21</f>
        <v>Demak - AL IMAN Mangunjiwan</v>
      </c>
    </row>
    <row r="23" spans="1:10" x14ac:dyDescent="0.25">
      <c r="A23">
        <v>248</v>
      </c>
      <c r="B23" t="str">
        <f>Lembar2!L22</f>
        <v>EBTAQ25-01.121</v>
      </c>
      <c r="C23" t="str">
        <f>Lembar2!D22</f>
        <v>Mirza Raja Al Fath</v>
      </c>
      <c r="D23" t="str">
        <f>Lembar2!I22</f>
        <v>Laki-laki</v>
      </c>
      <c r="E23" t="str">
        <f>Lembar2!E22</f>
        <v>Semarang</v>
      </c>
      <c r="F23" s="21">
        <f>Lembar2!F22</f>
        <v>42563</v>
      </c>
      <c r="G23" t="str">
        <f>Lembar2!G22</f>
        <v>Agus Suyitno</v>
      </c>
      <c r="H23" t="str">
        <f>Lembar2!H22</f>
        <v>Anik Eka Anasari</v>
      </c>
      <c r="I23" t="str">
        <f>VLOOKUP(B23,Lembar1!A$4:H$175,8,FALSE)</f>
        <v>BIO_Images/EBTAQ25-01.121.jpg</v>
      </c>
      <c r="J23" t="str">
        <f>Lembar2!C22</f>
        <v>Demak - AL IMAN Mangunjiwan</v>
      </c>
    </row>
    <row r="24" spans="1:10" x14ac:dyDescent="0.25">
      <c r="A24">
        <v>249</v>
      </c>
      <c r="B24" t="str">
        <f>Lembar2!L23</f>
        <v>EBTAQ25-01.122</v>
      </c>
      <c r="C24" t="str">
        <f>Lembar2!D23</f>
        <v>Elmeera Sheenaz Khalifa</v>
      </c>
      <c r="D24" t="str">
        <f>Lembar2!I23</f>
        <v>Perempuan</v>
      </c>
      <c r="E24" t="str">
        <f>Lembar2!E23</f>
        <v>Kudus</v>
      </c>
      <c r="F24" s="21">
        <f>Lembar2!F23</f>
        <v>42997</v>
      </c>
      <c r="G24" t="str">
        <f>Lembar2!G23</f>
        <v>Ikha Dalinar Kurnia Putra</v>
      </c>
      <c r="H24" t="str">
        <f>Lembar2!H23</f>
        <v>Siti Chanifah</v>
      </c>
      <c r="I24" t="str">
        <f>VLOOKUP(B24,Lembar1!A$4:H$175,8,FALSE)</f>
        <v>BIO_Images/EBTAQ25-01.122.jpg</v>
      </c>
      <c r="J24" t="str">
        <f>Lembar2!C23</f>
        <v>Demak - AL IMAN Mangunjiwan</v>
      </c>
    </row>
    <row r="25" spans="1:10" x14ac:dyDescent="0.25">
      <c r="A25">
        <v>250</v>
      </c>
      <c r="B25" t="str">
        <f>Lembar2!L24</f>
        <v>EBTAQ25-01.123</v>
      </c>
      <c r="C25" t="str">
        <f>Lembar2!D24</f>
        <v>MUHAMMAD AFFAN MUHADDZIB ABQARY</v>
      </c>
      <c r="D25" t="str">
        <f>Lembar2!I24</f>
        <v>Laki-laki</v>
      </c>
      <c r="E25" t="str">
        <f>Lembar2!E24</f>
        <v>DEMAK</v>
      </c>
      <c r="F25" s="21">
        <f>Lembar2!F24</f>
        <v>42812</v>
      </c>
      <c r="G25" t="str">
        <f>Lembar2!G24</f>
        <v>AHMAD SOLIKIN</v>
      </c>
      <c r="H25" t="str">
        <f>Lembar2!H24</f>
        <v>ANISSA NIRMA CAHYANINGRUM</v>
      </c>
      <c r="I25" t="str">
        <f>VLOOKUP(B25,Lembar1!A$4:H$175,8,FALSE)</f>
        <v>BIO_Images/EBTAQ25-01.123.jpg</v>
      </c>
      <c r="J25" t="str">
        <f>Lembar2!C24</f>
        <v>Demak - AL IMAN Mangunjiwan</v>
      </c>
    </row>
    <row r="26" spans="1:10" x14ac:dyDescent="0.25">
      <c r="A26">
        <v>251</v>
      </c>
      <c r="B26" t="str">
        <f>Lembar2!L25</f>
        <v>EBTAQ25-01.124</v>
      </c>
      <c r="C26" t="str">
        <f>Lembar2!D25</f>
        <v>Hamizan Arsakha Rasyid</v>
      </c>
      <c r="D26" t="str">
        <f>Lembar2!I25</f>
        <v>Laki-laki</v>
      </c>
      <c r="E26" t="str">
        <f>Lembar2!E25</f>
        <v>Demak</v>
      </c>
      <c r="F26" s="21">
        <f>Lembar2!F25</f>
        <v>42110</v>
      </c>
      <c r="G26" t="str">
        <f>Lembar2!G25</f>
        <v>Riyuniawan Subekti</v>
      </c>
      <c r="H26" t="str">
        <f>Lembar2!H25</f>
        <v>Paramitha Hanifia</v>
      </c>
      <c r="I26" t="str">
        <f>VLOOKUP(B26,Lembar1!A$4:H$175,8,FALSE)</f>
        <v>BIO_Images/EBTAQ25-01.124.jpg</v>
      </c>
      <c r="J26" t="str">
        <f>Lembar2!C25</f>
        <v>Demak - AL IMAN Mangunjiwan</v>
      </c>
    </row>
    <row r="27" spans="1:10" x14ac:dyDescent="0.25">
      <c r="A27">
        <v>252</v>
      </c>
      <c r="B27" t="str">
        <f>Lembar2!L26</f>
        <v>EBTAQ25-01.125</v>
      </c>
      <c r="C27" t="str">
        <f>Lembar2!D26</f>
        <v>MUHAMMAD GHANI AQILLEO</v>
      </c>
      <c r="D27" t="str">
        <f>Lembar2!I26</f>
        <v>Laki-laki</v>
      </c>
      <c r="E27" t="str">
        <f>Lembar2!E26</f>
        <v>DEMAK</v>
      </c>
      <c r="F27" s="21">
        <f>Lembar2!F26</f>
        <v>41369</v>
      </c>
      <c r="G27" t="str">
        <f>Lembar2!G26</f>
        <v>ABDUL ROUF</v>
      </c>
      <c r="H27" t="str">
        <f>Lembar2!H26</f>
        <v>LAILI SURYANI</v>
      </c>
      <c r="I27" t="str">
        <f>VLOOKUP(B27,Lembar1!A$4:H$175,8,FALSE)</f>
        <v>BIO_Images/EBTAQ25-01.125.jpeg</v>
      </c>
      <c r="J27" t="str">
        <f>Lembar2!C26</f>
        <v>Demak - AL IMAN Mangunjiwan</v>
      </c>
    </row>
    <row r="28" spans="1:10" x14ac:dyDescent="0.25">
      <c r="A28">
        <v>253</v>
      </c>
      <c r="B28" t="str">
        <f>Lembar2!L27</f>
        <v>EBTAQ25-01.126</v>
      </c>
      <c r="C28" t="str">
        <f>Lembar2!D27</f>
        <v>Arkana Adhiyatsa Rayhan</v>
      </c>
      <c r="D28" t="str">
        <f>Lembar2!I27</f>
        <v>Laki-laki</v>
      </c>
      <c r="E28" t="str">
        <f>Lembar2!E27</f>
        <v>Demak</v>
      </c>
      <c r="F28" s="21">
        <f>Lembar2!F27</f>
        <v>42133</v>
      </c>
      <c r="G28" t="str">
        <f>Lembar2!G27</f>
        <v>Nurul Ariyanto</v>
      </c>
      <c r="H28" t="str">
        <f>Lembar2!H27</f>
        <v>Herlia Murbawati</v>
      </c>
      <c r="I28" t="str">
        <f>VLOOKUP(B28,Lembar1!A$4:H$175,8,FALSE)</f>
        <v>BIO_Images/EBTAQ25-01.126.jpg</v>
      </c>
      <c r="J28" t="str">
        <f>Lembar2!C27</f>
        <v>Demak - AL IMAN Mangunjiwan</v>
      </c>
    </row>
    <row r="29" spans="1:10" x14ac:dyDescent="0.25">
      <c r="A29">
        <v>254</v>
      </c>
      <c r="B29" t="str">
        <f>Lembar2!L28</f>
        <v>EBTAQ25-01.127</v>
      </c>
      <c r="C29" t="str">
        <f>Lembar2!D28</f>
        <v>Lubna Atsila Basyasyah</v>
      </c>
      <c r="D29" t="str">
        <f>Lembar2!I28</f>
        <v>Perempuan</v>
      </c>
      <c r="E29" t="str">
        <f>Lembar2!E28</f>
        <v>Demak</v>
      </c>
      <c r="F29" s="21">
        <f>Lembar2!F28</f>
        <v>42970</v>
      </c>
      <c r="G29" t="str">
        <f>Lembar2!G28</f>
        <v>Wahid Hasyim</v>
      </c>
      <c r="H29" t="str">
        <f>Lembar2!H28</f>
        <v>Laili Pandiawati</v>
      </c>
      <c r="I29" t="str">
        <f>VLOOKUP(B29,Lembar1!A$4:H$175,8,FALSE)</f>
        <v>BIO_Images/EBTAQ25-01.127.jpg</v>
      </c>
      <c r="J29" t="str">
        <f>Lembar2!C28</f>
        <v>Demak - AL IMAN Mangunjiwan</v>
      </c>
    </row>
    <row r="30" spans="1:10" x14ac:dyDescent="0.25">
      <c r="A30">
        <v>255</v>
      </c>
      <c r="B30" t="str">
        <f>Lembar2!L29</f>
        <v>EBTAQ25-01.128</v>
      </c>
      <c r="C30" t="str">
        <f>Lembar2!D29</f>
        <v>MUHAMMAD SAKHA MAHATVAVIRYA</v>
      </c>
      <c r="D30" t="str">
        <f>Lembar2!I29</f>
        <v>Laki-laki</v>
      </c>
      <c r="E30" t="str">
        <f>Lembar2!E29</f>
        <v>DEMAK</v>
      </c>
      <c r="F30" s="21">
        <f>Lembar2!F29</f>
        <v>42663</v>
      </c>
      <c r="G30" t="str">
        <f>Lembar2!G29</f>
        <v>JEIHAN YOGANA</v>
      </c>
      <c r="H30" t="str">
        <f>Lembar2!H29</f>
        <v>ISNA KURNIA ANDINTIAS</v>
      </c>
      <c r="I30" t="str">
        <f>VLOOKUP(B30,Lembar1!A$4:H$175,8,FALSE)</f>
        <v>BIO_Images/EBTAQ25-01.128.jpeg</v>
      </c>
      <c r="J30" t="str">
        <f>Lembar2!C29</f>
        <v>Demak - AL IMAN Mangunjiwan</v>
      </c>
    </row>
    <row r="31" spans="1:10" x14ac:dyDescent="0.25">
      <c r="A31">
        <v>256</v>
      </c>
      <c r="B31" t="str">
        <f>Lembar2!L30</f>
        <v>EBTAQ25-01.129</v>
      </c>
      <c r="C31" t="str">
        <f>Lembar2!D30</f>
        <v>Hanun El Rusyda Saputra</v>
      </c>
      <c r="D31" t="str">
        <f>Lembar2!I30</f>
        <v>Perempuan</v>
      </c>
      <c r="E31" t="str">
        <f>Lembar2!E30</f>
        <v>Demak</v>
      </c>
      <c r="F31" s="21">
        <f>Lembar2!F30</f>
        <v>42181</v>
      </c>
      <c r="G31" t="str">
        <f>Lembar2!G30</f>
        <v>Pamungkas Hijrah Saputra</v>
      </c>
      <c r="H31" t="str">
        <f>Lembar2!H30</f>
        <v>Dwi Octaviyanti</v>
      </c>
      <c r="I31" t="str">
        <f>VLOOKUP(B31,Lembar1!A$4:H$175,8,FALSE)</f>
        <v>BIO_Images/EBTAQ25-01.129.jpg</v>
      </c>
      <c r="J31" t="str">
        <f>Lembar2!C30</f>
        <v>Demak - AL IMAN Mangunjiwan</v>
      </c>
    </row>
    <row r="32" spans="1:10" x14ac:dyDescent="0.25">
      <c r="A32">
        <v>257</v>
      </c>
      <c r="B32" t="str">
        <f>Lembar2!L31</f>
        <v>EBTAQ25-05.001</v>
      </c>
      <c r="C32" t="str">
        <f>Lembar2!D31</f>
        <v>Irsyad Kafin Al Ghifari</v>
      </c>
      <c r="D32" t="str">
        <f>Lembar2!I31</f>
        <v>Laki-laki</v>
      </c>
      <c r="E32" t="str">
        <f>Lembar2!E31</f>
        <v>Demak</v>
      </c>
      <c r="F32" s="21">
        <f>Lembar2!F31</f>
        <v>42724</v>
      </c>
      <c r="G32" t="str">
        <f>Lembar2!G31</f>
        <v>Nur Eko kuntoro</v>
      </c>
      <c r="H32" t="str">
        <f>Lembar2!H31</f>
        <v>Umayah</v>
      </c>
      <c r="I32" t="str">
        <f>VLOOKUP(B32,Lembar1!A$4:H$175,8,FALSE)</f>
        <v>BIO_Images/EBTAQ25-05.001.jpg</v>
      </c>
      <c r="J32" t="str">
        <f>Lembar2!C31</f>
        <v>Karbon - TPQ MASITHOH 2</v>
      </c>
    </row>
    <row r="33" spans="1:10" x14ac:dyDescent="0.25">
      <c r="A33">
        <v>258</v>
      </c>
      <c r="B33" t="str">
        <f>Lembar2!L32</f>
        <v>EBTAQ25-05.002</v>
      </c>
      <c r="C33" t="str">
        <f>Lembar2!D32</f>
        <v>Iskrasophia Dinasty Al - Qudsia</v>
      </c>
      <c r="D33" t="str">
        <f>Lembar2!I32</f>
        <v>Perempuan</v>
      </c>
      <c r="E33" t="str">
        <f>Lembar2!E32</f>
        <v>Demak</v>
      </c>
      <c r="F33" s="21">
        <f>Lembar2!F32</f>
        <v>41707</v>
      </c>
      <c r="G33" t="str">
        <f>Lembar2!G32</f>
        <v>Mustholih</v>
      </c>
      <c r="H33" t="str">
        <f>Lembar2!H32</f>
        <v>Sri Wahyuningsih</v>
      </c>
      <c r="I33" t="str">
        <f>VLOOKUP(B33,Lembar1!A$4:H$175,8,FALSE)</f>
        <v>BIO_Images/EBTAQ25-05.002.jpg</v>
      </c>
      <c r="J33" t="str">
        <f>Lembar2!C32</f>
        <v>Karbon - TPQ MASITHOH 3</v>
      </c>
    </row>
    <row r="34" spans="1:10" x14ac:dyDescent="0.25">
      <c r="A34">
        <v>259</v>
      </c>
      <c r="B34" t="str">
        <f>Lembar2!L33</f>
        <v>EBTAQ25-05.003</v>
      </c>
      <c r="C34" t="str">
        <f>Lembar2!D33</f>
        <v>Muhammad Fakhrudin Hasyim</v>
      </c>
      <c r="D34" t="str">
        <f>Lembar2!I33</f>
        <v>Laki-laki</v>
      </c>
      <c r="E34" t="str">
        <f>Lembar2!E33</f>
        <v>Semarang</v>
      </c>
      <c r="F34" s="21">
        <f>Lembar2!F33</f>
        <v>42459</v>
      </c>
      <c r="G34" t="str">
        <f>Lembar2!G33</f>
        <v>Miftaqul Ulun</v>
      </c>
      <c r="H34" t="str">
        <f>Lembar2!H33</f>
        <v>Aminatus Sa'adah</v>
      </c>
      <c r="I34" t="str">
        <f>VLOOKUP(B34,Lembar1!A$4:H$175,8,FALSE)</f>
        <v>BIO_Images/EBTAQ25-05.003.jpg</v>
      </c>
      <c r="J34" t="str">
        <f>Lembar2!C33</f>
        <v>Karbon - TPQ MASITHOH 4</v>
      </c>
    </row>
    <row r="35" spans="1:10" x14ac:dyDescent="0.25">
      <c r="A35">
        <v>260</v>
      </c>
      <c r="B35" t="str">
        <f>Lembar2!L34</f>
        <v>EBTAQ25-05.004</v>
      </c>
      <c r="C35" t="str">
        <f>Lembar2!D34</f>
        <v>Khalisha Azza Shafitri</v>
      </c>
      <c r="D35" t="str">
        <f>Lembar2!I34</f>
        <v>Perempuan</v>
      </c>
      <c r="E35" t="str">
        <f>Lembar2!E34</f>
        <v>Demak</v>
      </c>
      <c r="F35" s="21">
        <f>Lembar2!F34</f>
        <v>42225</v>
      </c>
      <c r="G35" t="str">
        <f>Lembar2!G34</f>
        <v>Subandi</v>
      </c>
      <c r="H35" t="str">
        <f>Lembar2!H34</f>
        <v>Qutrotuz Zamzami</v>
      </c>
      <c r="I35" t="str">
        <f>VLOOKUP(B35,Lembar1!A$4:H$175,8,FALSE)</f>
        <v>BIO_Images/EBTAQ25-05.004.jpg</v>
      </c>
      <c r="J35" t="str">
        <f>Lembar2!C34</f>
        <v>Karbon - TPQ MASITHOH 5</v>
      </c>
    </row>
    <row r="36" spans="1:10" x14ac:dyDescent="0.25">
      <c r="A36">
        <v>261</v>
      </c>
      <c r="B36" t="str">
        <f>Lembar2!L35</f>
        <v>EBTAQ25-05.005</v>
      </c>
      <c r="C36" t="str">
        <f>Lembar2!D35</f>
        <v>Laili Nur Safitri Nikmatu Azzahra</v>
      </c>
      <c r="D36" t="str">
        <f>Lembar2!I35</f>
        <v>Perempuan</v>
      </c>
      <c r="E36" t="str">
        <f>Lembar2!E35</f>
        <v>Demak</v>
      </c>
      <c r="F36" s="21">
        <f>Lembar2!F35</f>
        <v>41509</v>
      </c>
      <c r="G36" t="str">
        <f>Lembar2!G35</f>
        <v>Koko</v>
      </c>
      <c r="H36" t="str">
        <f>Lembar2!H35</f>
        <v>Safaatun</v>
      </c>
      <c r="I36" t="str">
        <f>VLOOKUP(B36,Lembar1!A$4:H$175,8,FALSE)</f>
        <v>BIO_Images/EBTAQ25-05.005.jpg</v>
      </c>
      <c r="J36" t="str">
        <f>Lembar2!C35</f>
        <v>Karbon - TPQ MASITHOH 6</v>
      </c>
    </row>
    <row r="37" spans="1:10" x14ac:dyDescent="0.25">
      <c r="A37">
        <v>262</v>
      </c>
      <c r="B37" t="str">
        <f>Lembar2!L36</f>
        <v>EBTAQ25-05.006</v>
      </c>
      <c r="C37" t="str">
        <f>Lembar2!D36</f>
        <v>Muhammad Fariz Maulana Akbar</v>
      </c>
      <c r="D37" t="str">
        <f>Lembar2!I36</f>
        <v>Laki-laki</v>
      </c>
      <c r="E37" t="str">
        <f>Lembar2!E36</f>
        <v>Semarang</v>
      </c>
      <c r="F37" s="21">
        <f>Lembar2!F36</f>
        <v>42122</v>
      </c>
      <c r="G37" t="str">
        <f>Lembar2!G36</f>
        <v>Syaikun</v>
      </c>
      <c r="H37" t="str">
        <f>Lembar2!H36</f>
        <v>Istiqomah</v>
      </c>
      <c r="I37" t="str">
        <f>VLOOKUP(B37,Lembar1!A$4:H$175,8,FALSE)</f>
        <v>BIO_Images/EBTAQ25-05.006.jpg</v>
      </c>
      <c r="J37" t="str">
        <f>Lembar2!C36</f>
        <v>Karbon - TPQ MASITHOH 7</v>
      </c>
    </row>
    <row r="38" spans="1:10" x14ac:dyDescent="0.25">
      <c r="A38">
        <v>263</v>
      </c>
      <c r="B38" t="str">
        <f>Lembar2!L37</f>
        <v>EBTAQ25-05.007</v>
      </c>
      <c r="C38" t="str">
        <f>Lembar2!D37</f>
        <v>Shakila Dzahin Nicky Azzahra</v>
      </c>
      <c r="D38" t="str">
        <f>Lembar2!I37</f>
        <v>Perempuan</v>
      </c>
      <c r="E38" t="str">
        <f>Lembar2!E37</f>
        <v>Demak</v>
      </c>
      <c r="F38" s="21">
        <f>Lembar2!F37</f>
        <v>42604</v>
      </c>
      <c r="G38" t="str">
        <f>Lembar2!G37</f>
        <v>Nicky Yulianto</v>
      </c>
      <c r="H38" t="str">
        <f>Lembar2!H37</f>
        <v>Mimin Afita Sari</v>
      </c>
      <c r="I38" t="str">
        <f>VLOOKUP(B38,Lembar1!A$4:H$175,8,FALSE)</f>
        <v>BIO_Images/EBTAQ25-05.007.jpg</v>
      </c>
      <c r="J38" t="str">
        <f>Lembar2!C37</f>
        <v>Karbon - TPQ MASITHOH 8</v>
      </c>
    </row>
    <row r="39" spans="1:10" x14ac:dyDescent="0.25">
      <c r="A39">
        <v>264</v>
      </c>
      <c r="B39" t="str">
        <f>Lembar2!L38</f>
        <v>EBTAQ25-05.008</v>
      </c>
      <c r="C39" t="str">
        <f>Lembar2!D38</f>
        <v>Alif Nur Zakiyyah Akhfi</v>
      </c>
      <c r="D39" t="str">
        <f>Lembar2!I38</f>
        <v>Perempuan</v>
      </c>
      <c r="E39" t="str">
        <f>Lembar2!E38</f>
        <v>Demak</v>
      </c>
      <c r="F39" s="21">
        <f>Lembar2!F38</f>
        <v>42109</v>
      </c>
      <c r="G39" t="str">
        <f>Lembar2!G38</f>
        <v>Nur Sahid</v>
      </c>
      <c r="H39" t="str">
        <f>Lembar2!H38</f>
        <v>Arni Ardiyawati</v>
      </c>
      <c r="I39" t="e">
        <f>VLOOKUP(B39,Lembar1!A$4:H$175,8,FALSE)</f>
        <v>#N/A</v>
      </c>
      <c r="J39" t="str">
        <f>Lembar2!C38</f>
        <v>Karbon - TPQ Qurrotul 'Ain</v>
      </c>
    </row>
    <row r="40" spans="1:10" x14ac:dyDescent="0.25">
      <c r="A40">
        <v>265</v>
      </c>
      <c r="B40" t="str">
        <f>Lembar2!L39</f>
        <v>EBTAQ25-03.004</v>
      </c>
      <c r="C40" t="str">
        <f>Lembar2!D39</f>
        <v>GEBRIEL JUNITA AZ-ZAHRA</v>
      </c>
      <c r="D40" t="str">
        <f>Lembar2!I39</f>
        <v>Perempuan</v>
      </c>
      <c r="E40" t="str">
        <f>Lembar2!E39</f>
        <v>DEMAK</v>
      </c>
      <c r="F40" s="21">
        <f>Lembar2!F39</f>
        <v>42532</v>
      </c>
      <c r="G40" t="str">
        <f>Lembar2!G39</f>
        <v>ROMDHON</v>
      </c>
      <c r="H40" t="str">
        <f>Lembar2!H39</f>
        <v>NUR HAYATI</v>
      </c>
      <c r="I40" t="str">
        <f>VLOOKUP(B40,Lembar1!A$4:H$175,8,FALSE)</f>
        <v>BIO_Images/EBTAQ25-03.004.jpeg</v>
      </c>
      <c r="J40" t="str">
        <f>Lembar2!C39</f>
        <v>BMW - Roudhotus Syifa</v>
      </c>
    </row>
    <row r="41" spans="1:10" x14ac:dyDescent="0.25">
      <c r="A41">
        <v>266</v>
      </c>
      <c r="B41" t="str">
        <f>Lembar2!L40</f>
        <v>EBTAQ25-03.005</v>
      </c>
      <c r="C41" t="str">
        <f>Lembar2!D40</f>
        <v>NELY LIZA LISTIANY</v>
      </c>
      <c r="D41" t="str">
        <f>Lembar2!I40</f>
        <v>Perempuan</v>
      </c>
      <c r="E41" t="str">
        <f>Lembar2!E40</f>
        <v>DEMAK</v>
      </c>
      <c r="F41" s="21">
        <f>Lembar2!F40</f>
        <v>42553</v>
      </c>
      <c r="G41" t="str">
        <f>Lembar2!G40</f>
        <v>NUR KHOLIS</v>
      </c>
      <c r="H41" t="str">
        <f>Lembar2!H40</f>
        <v>NUR AZIZAH</v>
      </c>
      <c r="I41" t="str">
        <f>VLOOKUP(B41,Lembar1!A$4:H$175,8,FALSE)</f>
        <v>BIO_Images/EBTAQ25-03.005.jpg</v>
      </c>
      <c r="J41" t="str">
        <f>Lembar2!C40</f>
        <v>BMW - Roudhotus Syifa</v>
      </c>
    </row>
    <row r="42" spans="1:10" x14ac:dyDescent="0.25">
      <c r="A42">
        <v>267</v>
      </c>
      <c r="B42" t="str">
        <f>Lembar2!L41</f>
        <v>EBTAQ25-05.009</v>
      </c>
      <c r="C42" t="str">
        <f>Lembar2!D41</f>
        <v>RARA TRI APRILIANA</v>
      </c>
      <c r="D42" t="str">
        <f>Lembar2!I41</f>
        <v>Perempuan</v>
      </c>
      <c r="E42" t="str">
        <f>Lembar2!E41</f>
        <v>DEMAK</v>
      </c>
      <c r="F42" s="21">
        <f>Lembar2!F41</f>
        <v>42109</v>
      </c>
      <c r="G42" t="str">
        <f>Lembar2!G41</f>
        <v>RAKIMIN</v>
      </c>
      <c r="H42" t="str">
        <f>Lembar2!H41</f>
        <v>ROMLAH</v>
      </c>
      <c r="I42" t="e">
        <f>VLOOKUP(B42,Lembar1!A$4:H$175,8,FALSE)</f>
        <v>#N/A</v>
      </c>
      <c r="J42" t="str">
        <f>Lembar2!C41</f>
        <v>Karbon - TPQ Nahdlotul Qur'an</v>
      </c>
    </row>
    <row r="43" spans="1:10" x14ac:dyDescent="0.25">
      <c r="A43">
        <v>268</v>
      </c>
      <c r="B43" t="str">
        <f>Lembar2!L42</f>
        <v>EBTAQ25-05.010</v>
      </c>
      <c r="C43" t="str">
        <f>Lembar2!D42</f>
        <v>naura latisha aquina</v>
      </c>
      <c r="D43" t="str">
        <f>Lembar2!I42</f>
        <v>Perempuan</v>
      </c>
      <c r="E43" t="str">
        <f>Lembar2!E42</f>
        <v>demak</v>
      </c>
      <c r="F43" s="21">
        <f>Lembar2!F42</f>
        <v>42349</v>
      </c>
      <c r="G43" t="str">
        <f>Lembar2!G42</f>
        <v>ahmad saefudin</v>
      </c>
      <c r="H43" t="str">
        <f>Lembar2!H42</f>
        <v>ropiah</v>
      </c>
      <c r="I43" t="e">
        <f>VLOOKUP(B43,Lembar1!A$4:H$175,8,FALSE)</f>
        <v>#N/A</v>
      </c>
      <c r="J43" t="str">
        <f>Lembar2!C42</f>
        <v>Karbon - TPQ Nahdlotul Qur'an</v>
      </c>
    </row>
    <row r="44" spans="1:10" x14ac:dyDescent="0.25">
      <c r="A44">
        <v>269</v>
      </c>
      <c r="B44" t="str">
        <f>Lembar2!L43</f>
        <v>EBTAQ25-05.011</v>
      </c>
      <c r="C44" t="str">
        <f>Lembar2!D43</f>
        <v>NABILA NAILU ZAKIYYATUL MUNA</v>
      </c>
      <c r="D44" t="str">
        <f>Lembar2!I43</f>
        <v>Perempuan</v>
      </c>
      <c r="E44" t="str">
        <f>Lembar2!E43</f>
        <v>DEMAK</v>
      </c>
      <c r="F44" s="21">
        <f>Lembar2!F43</f>
        <v>42330</v>
      </c>
      <c r="G44" t="str">
        <f>Lembar2!G43</f>
        <v>MUHAMAD KOERI</v>
      </c>
      <c r="H44" t="str">
        <f>Lembar2!H43</f>
        <v>ROMLAH</v>
      </c>
      <c r="I44" t="e">
        <f>VLOOKUP(B44,Lembar1!A$4:H$175,8,FALSE)</f>
        <v>#N/A</v>
      </c>
      <c r="J44" t="str">
        <f>Lembar2!C43</f>
        <v>Karbon - TPQ Nahdlotul Qur'an</v>
      </c>
    </row>
    <row r="45" spans="1:10" x14ac:dyDescent="0.25">
      <c r="A45">
        <v>270</v>
      </c>
      <c r="B45" t="str">
        <f>Lembar2!L44</f>
        <v>EBTAQ25-05.012</v>
      </c>
      <c r="C45" t="str">
        <f>Lembar2!D44</f>
        <v>DANISHA NAIRA NAJMI</v>
      </c>
      <c r="D45" t="str">
        <f>Lembar2!I44</f>
        <v>Perempuan</v>
      </c>
      <c r="E45" t="str">
        <f>Lembar2!E44</f>
        <v>DEMAK</v>
      </c>
      <c r="F45" s="21">
        <f>Lembar2!F44</f>
        <v>42546</v>
      </c>
      <c r="G45" t="str">
        <f>Lembar2!G44</f>
        <v>MOH AGUS SALIM</v>
      </c>
      <c r="H45" t="str">
        <f>Lembar2!H44</f>
        <v>NURUL KHOIRIYAH</v>
      </c>
      <c r="I45" t="e">
        <f>VLOOKUP(B45,Lembar1!A$4:H$175,8,FALSE)</f>
        <v>#N/A</v>
      </c>
      <c r="J45" t="str">
        <f>Lembar2!C44</f>
        <v>Karbon - TPQ Nahdlotul Qur'an</v>
      </c>
    </row>
    <row r="46" spans="1:10" x14ac:dyDescent="0.25">
      <c r="A46">
        <v>271</v>
      </c>
      <c r="B46" t="str">
        <f>Lembar2!L45</f>
        <v>EBTAQ25-05.013</v>
      </c>
      <c r="C46" t="str">
        <f>Lembar2!D45</f>
        <v>TALITHA MUTIA AZZAHRA</v>
      </c>
      <c r="D46" t="str">
        <f>Lembar2!I45</f>
        <v>Perempuan</v>
      </c>
      <c r="E46" t="str">
        <f>Lembar2!E45</f>
        <v>DEMAK</v>
      </c>
      <c r="F46" s="21">
        <f>Lembar2!F45</f>
        <v>42668</v>
      </c>
      <c r="G46" t="str">
        <f>Lembar2!G45</f>
        <v>AKHID IRIADI</v>
      </c>
      <c r="H46" t="str">
        <f>Lembar2!H45</f>
        <v>IKA SILVIA MARTANIA</v>
      </c>
      <c r="I46" t="e">
        <f>VLOOKUP(B46,Lembar1!A$4:H$175,8,FALSE)</f>
        <v>#N/A</v>
      </c>
      <c r="J46" t="str">
        <f>Lembar2!C45</f>
        <v>Karbon - TPQ Nahdlotul Qur'an</v>
      </c>
    </row>
    <row r="47" spans="1:10" x14ac:dyDescent="0.25">
      <c r="A47">
        <v>272</v>
      </c>
      <c r="B47" t="str">
        <f>Lembar2!L46</f>
        <v>EBTAQ25-05.014</v>
      </c>
      <c r="C47" t="str">
        <f>Lembar2!D46</f>
        <v>KHOIRUNNISA SALSABILA</v>
      </c>
      <c r="D47" t="str">
        <f>Lembar2!I46</f>
        <v>Perempuan</v>
      </c>
      <c r="E47" t="str">
        <f>Lembar2!E46</f>
        <v>SEMARANG</v>
      </c>
      <c r="F47" s="21">
        <f>Lembar2!F46</f>
        <v>42393</v>
      </c>
      <c r="G47" t="str">
        <f>Lembar2!G46</f>
        <v>MIFTAHUL HUDA</v>
      </c>
      <c r="H47" t="str">
        <f>Lembar2!H46</f>
        <v>AINUL MAFROKAH</v>
      </c>
      <c r="I47" t="e">
        <f>VLOOKUP(B47,Lembar1!A$4:H$175,8,FALSE)</f>
        <v>#N/A</v>
      </c>
      <c r="J47" t="str">
        <f>Lembar2!C46</f>
        <v>Karbon - TPQ Nahdlotul Qur'an</v>
      </c>
    </row>
    <row r="48" spans="1:10" x14ac:dyDescent="0.25">
      <c r="A48">
        <v>273</v>
      </c>
      <c r="B48" t="str">
        <f>Lembar2!L47</f>
        <v>EBTAQ25-01.130</v>
      </c>
      <c r="C48" t="str">
        <f>Lembar2!D47</f>
        <v>FATIMATUZ ZAHRA ADNAN</v>
      </c>
      <c r="D48" t="str">
        <f>Lembar2!I47</f>
        <v>Perempuan</v>
      </c>
      <c r="E48" t="str">
        <f>Lembar2!E47</f>
        <v>SEMARANG</v>
      </c>
      <c r="F48" s="21">
        <f>Lembar2!F47</f>
        <v>41794</v>
      </c>
      <c r="G48" t="str">
        <f>Lembar2!G47</f>
        <v>AHMAD ADNAN</v>
      </c>
      <c r="H48" t="str">
        <f>Lembar2!H47</f>
        <v>UCI NOVIATI</v>
      </c>
      <c r="I48" t="str">
        <f>VLOOKUP(B48,Lembar1!A$4:H$175,8,FALSE)</f>
        <v>BIO_Images/EBTAQ25-01.130.jpg</v>
      </c>
      <c r="J48" t="str">
        <f>Lembar2!C47</f>
        <v>SDIT KOTAWALI</v>
      </c>
    </row>
    <row r="49" spans="1:10" x14ac:dyDescent="0.25">
      <c r="A49">
        <v>274</v>
      </c>
      <c r="B49" t="str">
        <f>Lembar2!L48</f>
        <v>EBTAQ25-05.015</v>
      </c>
      <c r="C49" t="str">
        <f>Lembar2!D48</f>
        <v>Muhammad Danish Arkana</v>
      </c>
      <c r="D49" t="str">
        <f>Lembar2!I48</f>
        <v>Laki-laki</v>
      </c>
      <c r="E49" t="str">
        <f>Lembar2!E48</f>
        <v>Pekalongan</v>
      </c>
      <c r="F49" s="21">
        <f>Lembar2!F48</f>
        <v>42133</v>
      </c>
      <c r="G49" t="str">
        <f>Lembar2!G48</f>
        <v>Muhamad Rofiq</v>
      </c>
      <c r="H49" t="str">
        <f>Lembar2!H48</f>
        <v>Tri Umiati</v>
      </c>
      <c r="I49" t="e">
        <f>VLOOKUP(B49,Lembar1!A$4:H$175,8,FALSE)</f>
        <v>#N/A</v>
      </c>
      <c r="J49" t="str">
        <f>Lembar2!C48</f>
        <v>Karbon - TPQ Masithoh II</v>
      </c>
    </row>
    <row r="50" spans="1:10" x14ac:dyDescent="0.25">
      <c r="A50">
        <v>275</v>
      </c>
      <c r="B50" t="str">
        <f>Lembar2!L49</f>
        <v>EBTAQ25-01.131</v>
      </c>
      <c r="C50" t="str">
        <f>Lembar2!D49</f>
        <v>Sabrina aqila rahma</v>
      </c>
      <c r="D50" t="str">
        <f>Lembar2!I49</f>
        <v>Perempuan</v>
      </c>
      <c r="E50" t="str">
        <f>Lembar2!E49</f>
        <v>Demak</v>
      </c>
      <c r="F50" s="21">
        <f>Lembar2!F49</f>
        <v>42114</v>
      </c>
      <c r="G50" t="str">
        <f>Lembar2!G49</f>
        <v>Khoirul latif</v>
      </c>
      <c r="H50" t="str">
        <f>Lembar2!H49</f>
        <v>Lukluatul khadziroh</v>
      </c>
      <c r="I50" t="str">
        <f>VLOOKUP(B50,Lembar1!A$4:H$175,8,FALSE)</f>
        <v>BIO_Images/EBTAQ25-01.131.jpg</v>
      </c>
      <c r="J50" t="str">
        <f>Lembar2!C49</f>
        <v>Karbon - TPQ Qurrotul 'Ain</v>
      </c>
    </row>
    <row r="51" spans="1:10" x14ac:dyDescent="0.25">
      <c r="A51">
        <v>276</v>
      </c>
      <c r="B51" t="str">
        <f>Lembar2!L50</f>
        <v>EBTAQ25-05.016</v>
      </c>
      <c r="C51" t="str">
        <f>Lembar2!D50</f>
        <v>Maulida Naila nabila</v>
      </c>
      <c r="D51" t="str">
        <f>Lembar2!I50</f>
        <v>Perempuan</v>
      </c>
      <c r="E51" t="str">
        <f>Lembar2!E50</f>
        <v>Demak,12 Desember 2016</v>
      </c>
      <c r="F51" s="21">
        <f>Lembar2!F50</f>
        <v>42716</v>
      </c>
      <c r="G51" t="str">
        <f>Lembar2!G50</f>
        <v>Muhammad mashuri</v>
      </c>
      <c r="H51" t="str">
        <f>Lembar2!H50</f>
        <v>Amin munzainah</v>
      </c>
      <c r="I51" t="e">
        <f>VLOOKUP(B51,Lembar1!A$4:H$175,8,FALSE)</f>
        <v>#N/A</v>
      </c>
      <c r="J51" t="str">
        <f>Lembar2!C50</f>
        <v>Karbon - TPQ Qurrotul 'Ain</v>
      </c>
    </row>
    <row r="52" spans="1:10" x14ac:dyDescent="0.25">
      <c r="A52">
        <v>277</v>
      </c>
      <c r="B52" t="str">
        <f>Lembar2!L51</f>
        <v>EBTAQ25-05.017</v>
      </c>
      <c r="C52" t="str">
        <f>Lembar2!D51</f>
        <v>Kiandra Aqila Hatmiko</v>
      </c>
      <c r="D52" t="str">
        <f>Lembar2!I51</f>
        <v>Perempuan</v>
      </c>
      <c r="E52" t="str">
        <f>Lembar2!E51</f>
        <v>Semarang</v>
      </c>
      <c r="F52" s="21">
        <f>Lembar2!F51</f>
        <v>41811</v>
      </c>
      <c r="G52" t="str">
        <f>Lembar2!G51</f>
        <v>Anjar tri hatmiko</v>
      </c>
      <c r="H52" t="str">
        <f>Lembar2!H51</f>
        <v>Retno murdianingrum</v>
      </c>
      <c r="I52" t="e">
        <f>VLOOKUP(B52,Lembar1!A$4:H$175,8,FALSE)</f>
        <v>#N/A</v>
      </c>
      <c r="J52" t="str">
        <f>Lembar2!C51</f>
        <v>Karbon - TPQ Qurrotul 'Ain</v>
      </c>
    </row>
    <row r="53" spans="1:10" x14ac:dyDescent="0.25">
      <c r="A53">
        <v>278</v>
      </c>
      <c r="B53" t="str">
        <f>Lembar2!L52</f>
        <v>EBTAQ25-05.018</v>
      </c>
      <c r="C53" t="str">
        <f>Lembar2!D52</f>
        <v>Maylani Ananda Putri</v>
      </c>
      <c r="D53" t="str">
        <f>Lembar2!I52</f>
        <v>Perempuan</v>
      </c>
      <c r="E53" t="str">
        <f>Lembar2!E52</f>
        <v>Demak</v>
      </c>
      <c r="F53" s="21">
        <f>Lembar2!F52</f>
        <v>42129</v>
      </c>
      <c r="G53" t="str">
        <f>Lembar2!G52</f>
        <v>Fendy Agus Riyanto</v>
      </c>
      <c r="H53" t="str">
        <f>Lembar2!H52</f>
        <v>Iatikomah</v>
      </c>
      <c r="I53" t="e">
        <f>VLOOKUP(B53,Lembar1!A$4:H$175,8,FALSE)</f>
        <v>#N/A</v>
      </c>
      <c r="J53" t="str">
        <f>Lembar2!C52</f>
        <v>Karbon - TPQ Qurrotul 'Ain</v>
      </c>
    </row>
    <row r="54" spans="1:10" x14ac:dyDescent="0.25">
      <c r="A54">
        <v>279</v>
      </c>
      <c r="B54" t="str">
        <f>Lembar2!L53</f>
        <v>EBTAQ25-01.132</v>
      </c>
      <c r="C54" t="str">
        <f>Lembar2!D53</f>
        <v>ANA NAFISATUZZAHRO</v>
      </c>
      <c r="D54" t="str">
        <f>Lembar2!I53</f>
        <v>Perempuan</v>
      </c>
      <c r="E54" t="str">
        <f>Lembar2!E53</f>
        <v>SEMARANG</v>
      </c>
      <c r="F54" s="21">
        <f>Lembar2!F53</f>
        <v>42354</v>
      </c>
      <c r="G54" t="str">
        <f>Lembar2!G53</f>
        <v>KARTONO</v>
      </c>
      <c r="H54" t="str">
        <f>Lembar2!H53</f>
        <v>NURUL HIKMAH</v>
      </c>
      <c r="I54" t="str">
        <f>VLOOKUP(B54,Lembar1!A$4:H$175,8,FALSE)</f>
        <v>BIO_Images/EBTAQ25-01.132.jpg</v>
      </c>
      <c r="J54" t="str">
        <f>Lembar2!C53</f>
        <v>Karbon - TPQ Qurrotul 'Ain</v>
      </c>
    </row>
    <row r="55" spans="1:10" x14ac:dyDescent="0.25">
      <c r="A55">
        <v>280</v>
      </c>
      <c r="B55" t="str">
        <f>Lembar2!L54</f>
        <v>EBTAQ25-01.133</v>
      </c>
      <c r="C55" t="str">
        <f>Lembar2!D54</f>
        <v>Ahmad Muiz Halim</v>
      </c>
      <c r="D55" t="str">
        <f>Lembar2!I54</f>
        <v>Laki-laki</v>
      </c>
      <c r="E55" t="str">
        <f>Lembar2!E54</f>
        <v>Demak</v>
      </c>
      <c r="F55" s="21">
        <f>Lembar2!F54</f>
        <v>42259</v>
      </c>
      <c r="G55" t="str">
        <f>Lembar2!G54</f>
        <v>Sutiyono</v>
      </c>
      <c r="H55" t="str">
        <f>Lembar2!H54</f>
        <v>Novita Murtiyani</v>
      </c>
      <c r="I55" t="str">
        <f>VLOOKUP(B55,Lembar1!A$4:H$175,8,FALSE)</f>
        <v>BIO_Images/EBTAQ25-01.133.jpg</v>
      </c>
      <c r="J55" t="str">
        <f>Lembar2!C54</f>
        <v>Karbon - TPQ Qurrotul 'Ain</v>
      </c>
    </row>
    <row r="56" spans="1:10" x14ac:dyDescent="0.25">
      <c r="A56">
        <v>281</v>
      </c>
      <c r="B56" t="str">
        <f>Lembar2!L55</f>
        <v>EBTAQ25-01.134</v>
      </c>
      <c r="C56" t="str">
        <f>Lembar2!D55</f>
        <v>Ahmad Muiz halim</v>
      </c>
      <c r="D56" t="str">
        <f>Lembar2!I55</f>
        <v>Laki-laki</v>
      </c>
      <c r="E56" t="str">
        <f>Lembar2!E55</f>
        <v>Demak</v>
      </c>
      <c r="F56" s="21">
        <f>Lembar2!F55</f>
        <v>42259</v>
      </c>
      <c r="G56" t="str">
        <f>Lembar2!G55</f>
        <v>Sutiyono</v>
      </c>
      <c r="H56" t="str">
        <f>Lembar2!H55</f>
        <v>Novitamurtiyani</v>
      </c>
      <c r="I56" t="str">
        <f>VLOOKUP(B56,Lembar1!A$4:H$175,8,FALSE)</f>
        <v>BIO_Images/EBTAQ25-01.134.jpg</v>
      </c>
      <c r="J56" t="str">
        <f>Lembar2!C55</f>
        <v>Karbon - TPQ Qurrotul 'Ain</v>
      </c>
    </row>
    <row r="57" spans="1:10" x14ac:dyDescent="0.25">
      <c r="A57">
        <v>282</v>
      </c>
      <c r="B57" t="str">
        <f>Lembar2!L56</f>
        <v>EBTAQ25-01.135</v>
      </c>
      <c r="C57" t="str">
        <f>Lembar2!D56</f>
        <v>ahmad muiz halim</v>
      </c>
      <c r="D57" t="str">
        <f>Lembar2!I56</f>
        <v>Laki-laki</v>
      </c>
      <c r="E57" t="str">
        <f>Lembar2!E56</f>
        <v>DEMAK</v>
      </c>
      <c r="F57" s="21">
        <f>Lembar2!F56</f>
        <v>42347</v>
      </c>
      <c r="G57" t="str">
        <f>Lembar2!G56</f>
        <v>sutiyono</v>
      </c>
      <c r="H57" t="str">
        <f>Lembar2!H56</f>
        <v>novita murtiyani</v>
      </c>
      <c r="I57" t="str">
        <f>VLOOKUP(B57,Lembar1!A$4:H$175,8,FALSE)</f>
        <v>BIO_Images/EBTAQ25-01.135.jpg</v>
      </c>
      <c r="J57" t="str">
        <f>Lembar2!C56</f>
        <v>Karbon - TPQ Qurrotul 'Ain</v>
      </c>
    </row>
    <row r="58" spans="1:10" x14ac:dyDescent="0.25">
      <c r="A58">
        <v>283</v>
      </c>
      <c r="B58" t="str">
        <f>Lembar2!L57</f>
        <v>EBTAQ25-01.136</v>
      </c>
      <c r="C58" t="str">
        <f>Lembar2!D57</f>
        <v>Ahmad muiz halim</v>
      </c>
      <c r="D58" t="str">
        <f>Lembar2!I57</f>
        <v>Laki-laki</v>
      </c>
      <c r="E58" t="str">
        <f>Lembar2!E57</f>
        <v>Demak</v>
      </c>
      <c r="F58" s="21">
        <f>Lembar2!F57</f>
        <v>42347</v>
      </c>
      <c r="G58" t="str">
        <f>Lembar2!G57</f>
        <v>Sutiyono</v>
      </c>
      <c r="H58" t="str">
        <f>Lembar2!H57</f>
        <v>Murtiyani</v>
      </c>
      <c r="I58" t="str">
        <f>VLOOKUP(B58,Lembar1!A$4:H$175,8,FALSE)</f>
        <v>BIO_Images/EBTAQ25-01.136.jpg</v>
      </c>
      <c r="J58" t="str">
        <f>Lembar2!C57</f>
        <v>Karbon - TPQ Qurrotul 'Ain</v>
      </c>
    </row>
    <row r="59" spans="1:10" x14ac:dyDescent="0.25">
      <c r="A59">
        <v>284</v>
      </c>
      <c r="B59" t="str">
        <f>Lembar2!L58</f>
        <v>EBTAQ25-01.137</v>
      </c>
      <c r="C59" t="str">
        <f>Lembar2!D58</f>
        <v>Muhammad Revan Putra pambudi</v>
      </c>
      <c r="D59" t="str">
        <f>Lembar2!I58</f>
        <v>Laki-laki</v>
      </c>
      <c r="E59" t="str">
        <f>Lembar2!E58</f>
        <v>Demak</v>
      </c>
      <c r="F59" s="21">
        <f>Lembar2!F58</f>
        <v>42217</v>
      </c>
      <c r="G59" t="str">
        <f>Lembar2!G58</f>
        <v>Galuh eka pambudi</v>
      </c>
      <c r="H59" t="str">
        <f>Lembar2!H58</f>
        <v>Sumi kastutik</v>
      </c>
      <c r="I59" t="str">
        <f>VLOOKUP(B59,Lembar1!A$4:H$175,8,FALSE)</f>
        <v>BIO_Images/EBTAQ25-01.137.jpg</v>
      </c>
      <c r="J59" t="str">
        <f>Lembar2!C58</f>
        <v>Karbon - TPQ Qurrotul 'Ain</v>
      </c>
    </row>
    <row r="60" spans="1:10" x14ac:dyDescent="0.25">
      <c r="A60">
        <v>285</v>
      </c>
      <c r="B60" t="str">
        <f>Lembar2!L59</f>
        <v>EBTAQ25-01.138</v>
      </c>
      <c r="C60" t="str">
        <f>Lembar2!D59</f>
        <v>Syaffira Maharani Putri Fie</v>
      </c>
      <c r="D60" t="str">
        <f>Lembar2!I59</f>
        <v>Perempuan</v>
      </c>
      <c r="E60" t="str">
        <f>Lembar2!E59</f>
        <v>Demak</v>
      </c>
      <c r="F60" s="21">
        <f>Lembar2!F59</f>
        <v>41692</v>
      </c>
      <c r="G60" t="str">
        <f>Lembar2!G59</f>
        <v>Fahruddin Lutfiei</v>
      </c>
      <c r="H60" t="str">
        <f>Lembar2!H59</f>
        <v>Eka Prasetya Ningrum</v>
      </c>
      <c r="I60" t="str">
        <f>VLOOKUP(B60,Lembar1!A$4:H$175,8,FALSE)</f>
        <v>BIO_Images/EBTAQ25-01.138.jpg</v>
      </c>
      <c r="J60" t="str">
        <f>Lembar2!C59</f>
        <v>Dewoka - Nuzulur Rohmah</v>
      </c>
    </row>
    <row r="61" spans="1:10" x14ac:dyDescent="0.25">
      <c r="A61">
        <v>286</v>
      </c>
      <c r="B61" t="str">
        <f>Lembar2!L60</f>
        <v>EBTAQ25-05.019</v>
      </c>
      <c r="C61" t="str">
        <f>Lembar2!D60</f>
        <v>RAFA AHMAD ANSHORI</v>
      </c>
      <c r="D61" t="str">
        <f>Lembar2!I60</f>
        <v>Laki-laki</v>
      </c>
      <c r="E61" t="str">
        <f>Lembar2!E60</f>
        <v>Semarang</v>
      </c>
      <c r="F61" s="21">
        <f>Lembar2!F60</f>
        <v>42628</v>
      </c>
      <c r="G61" t="str">
        <f>Lembar2!G60</f>
        <v>A. KHARIS MUKTAFI</v>
      </c>
      <c r="H61" t="str">
        <f>Lembar2!H60</f>
        <v>ANNI FARICHAH</v>
      </c>
      <c r="I61" t="e">
        <f>VLOOKUP(B61,Lembar1!A$4:H$175,8,FALSE)</f>
        <v>#N/A</v>
      </c>
      <c r="J61" t="str">
        <f>Lembar2!C60</f>
        <v>Karbon - TPQ Qurrotul 'Ain</v>
      </c>
    </row>
    <row r="62" spans="1:10" x14ac:dyDescent="0.25">
      <c r="A62">
        <v>287</v>
      </c>
      <c r="B62" t="str">
        <f>Lembar2!L61</f>
        <v>EBTAQ25-05.020</v>
      </c>
      <c r="C62" t="str">
        <f>Lembar2!D61</f>
        <v>Alif nur zakiyyah akhfi</v>
      </c>
      <c r="D62" t="str">
        <f>Lembar2!I61</f>
        <v>Perempuan</v>
      </c>
      <c r="E62" t="str">
        <f>Lembar2!E61</f>
        <v>Demak</v>
      </c>
      <c r="F62" s="21">
        <f>Lembar2!F61</f>
        <v>42108</v>
      </c>
      <c r="G62" t="str">
        <f>Lembar2!G61</f>
        <v>Nur sahid</v>
      </c>
      <c r="H62" t="str">
        <f>Lembar2!H61</f>
        <v>Arni ardiyawati</v>
      </c>
      <c r="I62" t="e">
        <f>VLOOKUP(B62,Lembar1!A$4:H$175,8,FALSE)</f>
        <v>#N/A</v>
      </c>
      <c r="J62" t="str">
        <f>Lembar2!C61</f>
        <v>Karbon - TPQ Qurrotul 'Ain</v>
      </c>
    </row>
    <row r="63" spans="1:10" x14ac:dyDescent="0.25">
      <c r="A63">
        <v>288</v>
      </c>
      <c r="B63" t="str">
        <f>Lembar2!L62</f>
        <v>EBTAQ25-05.021</v>
      </c>
      <c r="C63" t="str">
        <f>Lembar2!D62</f>
        <v>DIAS WAHYU PRATAMA</v>
      </c>
      <c r="D63" t="str">
        <f>Lembar2!I62</f>
        <v>Laki-laki</v>
      </c>
      <c r="E63" t="str">
        <f>Lembar2!E62</f>
        <v>Demak</v>
      </c>
      <c r="F63" s="21">
        <f>Lembar2!F62</f>
        <v>40836</v>
      </c>
      <c r="G63" t="str">
        <f>Lembar2!G62</f>
        <v>Muhamad Nasi'in</v>
      </c>
      <c r="H63" t="str">
        <f>Lembar2!H62</f>
        <v>Rondiyah</v>
      </c>
      <c r="I63" t="e">
        <f>VLOOKUP(B63,Lembar1!A$4:H$175,8,FALSE)</f>
        <v>#N/A</v>
      </c>
      <c r="J63" t="str">
        <f>Lembar2!C62</f>
        <v>Karbon - Hidayatul Mubtadi'in</v>
      </c>
    </row>
    <row r="64" spans="1:10" x14ac:dyDescent="0.25">
      <c r="A64">
        <v>289</v>
      </c>
      <c r="B64" t="str">
        <f>Lembar2!L63</f>
        <v>EBTAQ25-05.022</v>
      </c>
      <c r="C64" t="str">
        <f>Lembar2!D63</f>
        <v>Muhammad Khalid Sutarji</v>
      </c>
      <c r="D64" t="str">
        <f>Lembar2!I63</f>
        <v>Laki-laki</v>
      </c>
      <c r="E64" t="str">
        <f>Lembar2!E63</f>
        <v>Demak</v>
      </c>
      <c r="F64" s="21">
        <f>Lembar2!F63</f>
        <v>41588</v>
      </c>
      <c r="G64" t="str">
        <f>Lembar2!G63</f>
        <v>Sutarji</v>
      </c>
      <c r="H64" t="str">
        <f>Lembar2!H63</f>
        <v>Novrida Ningsih Simangunsong</v>
      </c>
      <c r="I64" t="e">
        <f>VLOOKUP(B64,Lembar1!A$4:H$175,8,FALSE)</f>
        <v>#N/A</v>
      </c>
      <c r="J64" t="str">
        <f>Lembar2!C63</f>
        <v>Karbon - TPQ Qurrotul 'Ain</v>
      </c>
    </row>
    <row r="65" spans="1:10" x14ac:dyDescent="0.25">
      <c r="A65">
        <v>290</v>
      </c>
      <c r="B65" t="str">
        <f>Lembar2!L64</f>
        <v>EBTAQ25-05.023</v>
      </c>
      <c r="C65" t="str">
        <f>Lembar2!D64</f>
        <v>Rafi Ahmad Anshori</v>
      </c>
      <c r="D65" t="str">
        <f>Lembar2!I64</f>
        <v>Laki-laki</v>
      </c>
      <c r="E65" t="str">
        <f>Lembar2!E64</f>
        <v>Semarang</v>
      </c>
      <c r="F65" s="21">
        <f>Lembar2!F64</f>
        <v>42629</v>
      </c>
      <c r="G65" t="str">
        <f>Lembar2!G64</f>
        <v>A. Kharis Muktafi</v>
      </c>
      <c r="H65" t="str">
        <f>Lembar2!H64</f>
        <v>Anni Farichah</v>
      </c>
      <c r="I65" t="e">
        <f>VLOOKUP(B65,Lembar1!A$4:H$175,8,FALSE)</f>
        <v>#N/A</v>
      </c>
      <c r="J65" t="str">
        <f>Lembar2!C64</f>
        <v>Karbon - TPQ Qurrotul 'Ain</v>
      </c>
    </row>
    <row r="66" spans="1:10" x14ac:dyDescent="0.25">
      <c r="A66">
        <v>291</v>
      </c>
      <c r="B66" t="str">
        <f>Lembar2!L65</f>
        <v>EBTAQ25-05.024</v>
      </c>
      <c r="C66" t="str">
        <f>Lembar2!D65</f>
        <v>Muhammad Zidan Alfarisi</v>
      </c>
      <c r="D66" t="str">
        <f>Lembar2!I65</f>
        <v>Laki-laki</v>
      </c>
      <c r="E66" t="str">
        <f>Lembar2!E65</f>
        <v>Semarang</v>
      </c>
      <c r="F66" s="21">
        <f>Lembar2!F65</f>
        <v>42334</v>
      </c>
      <c r="G66" t="str">
        <f>Lembar2!G65</f>
        <v>Saiful Amri</v>
      </c>
      <c r="H66" t="str">
        <f>Lembar2!H65</f>
        <v>Maftukah</v>
      </c>
      <c r="I66" t="e">
        <f>VLOOKUP(B66,Lembar1!A$4:H$175,8,FALSE)</f>
        <v>#N/A</v>
      </c>
      <c r="J66" t="str">
        <f>Lembar2!C65</f>
        <v>Karbon - TPQ Qurrotul 'Ain</v>
      </c>
    </row>
    <row r="67" spans="1:10" x14ac:dyDescent="0.25">
      <c r="A67">
        <v>292</v>
      </c>
      <c r="B67" t="str">
        <f>Lembar2!L66</f>
        <v>EBTAQ25-05.025</v>
      </c>
      <c r="C67" t="str">
        <f>Lembar2!D66</f>
        <v>Muhammad Zidan Alfarisi</v>
      </c>
      <c r="D67" t="str">
        <f>Lembar2!I66</f>
        <v>Laki-laki</v>
      </c>
      <c r="E67" t="str">
        <f>Lembar2!E66</f>
        <v>Semarang</v>
      </c>
      <c r="F67" s="21">
        <f>Lembar2!F66</f>
        <v>42334</v>
      </c>
      <c r="G67" t="str">
        <f>Lembar2!G66</f>
        <v>Saiful Amri</v>
      </c>
      <c r="H67" t="str">
        <f>Lembar2!H66</f>
        <v>Maftukah</v>
      </c>
      <c r="I67" t="e">
        <f>VLOOKUP(B67,Lembar1!A$4:H$175,8,FALSE)</f>
        <v>#N/A</v>
      </c>
      <c r="J67" t="str">
        <f>Lembar2!C66</f>
        <v>Karbon - TPQ Qurrotul 'Ain</v>
      </c>
    </row>
    <row r="68" spans="1:10" x14ac:dyDescent="0.25">
      <c r="A68">
        <v>293</v>
      </c>
      <c r="B68" t="str">
        <f>Lembar2!L67</f>
        <v>EBTAQ25-01.139</v>
      </c>
      <c r="C68" t="str">
        <f>Lembar2!D67</f>
        <v>Zidnatul ilma</v>
      </c>
      <c r="D68" t="str">
        <f>Lembar2!I67</f>
        <v>Perempuan</v>
      </c>
      <c r="E68" t="str">
        <f>Lembar2!E67</f>
        <v>Mlaten, karang melati, kec. Demak, kab. Semakin</v>
      </c>
      <c r="F68" s="21">
        <f>Lembar2!F67</f>
        <v>42162</v>
      </c>
      <c r="G68" t="str">
        <f>Lembar2!G67</f>
        <v>Hadi mahmudi</v>
      </c>
      <c r="H68" t="str">
        <f>Lembar2!H67</f>
        <v>Siti azizah</v>
      </c>
      <c r="I68" t="str">
        <f>VLOOKUP(B68,Lembar1!A$4:H$175,8,FALSE)</f>
        <v>BIO_Images/EBTAQ25-01.139.jpg</v>
      </c>
      <c r="J68" t="str">
        <f>Lembar2!C67</f>
        <v>Demak - TPQ KH ALJAZERI</v>
      </c>
    </row>
    <row r="69" spans="1:10" x14ac:dyDescent="0.25">
      <c r="A69">
        <v>294</v>
      </c>
      <c r="B69" t="str">
        <f>Lembar2!L68</f>
        <v>EBTAQ25-03.139</v>
      </c>
      <c r="C69" t="str">
        <f>Lembar2!D68</f>
        <v>Roisatut Dzawin Najah</v>
      </c>
      <c r="D69" t="str">
        <f>Lembar2!I68</f>
        <v>Perempuan</v>
      </c>
      <c r="E69" t="str">
        <f>Lembar2!E68</f>
        <v>Pati</v>
      </c>
      <c r="F69" s="21">
        <f>Lembar2!F68</f>
        <v>42269</v>
      </c>
      <c r="G69" t="str">
        <f>Lembar2!G68</f>
        <v>Mohammad Shodiqin</v>
      </c>
      <c r="H69" t="str">
        <f>Lembar2!H68</f>
        <v>Siti Aminah</v>
      </c>
      <c r="I69" t="e">
        <f>VLOOKUP(B69,Lembar1!A$4:H$175,8,FALSE)</f>
        <v>#N/A</v>
      </c>
      <c r="J69" t="str">
        <f>Lembar2!C68</f>
        <v>Dewoka - Nuzulur Rohmah</v>
      </c>
    </row>
    <row r="70" spans="1:10" x14ac:dyDescent="0.25">
      <c r="A70">
        <v>295</v>
      </c>
      <c r="B70" t="str">
        <f>Lembar2!L69</f>
        <v>EBTAQ25-03.006</v>
      </c>
      <c r="C70" t="str">
        <f>Lembar2!D69</f>
        <v>Nur Alifah</v>
      </c>
      <c r="D70" t="str">
        <f>Lembar2!I69</f>
        <v>Perempuan</v>
      </c>
      <c r="E70" t="str">
        <f>Lembar2!E69</f>
        <v>Demak</v>
      </c>
      <c r="F70" s="21">
        <f>Lembar2!F69</f>
        <v>42318</v>
      </c>
      <c r="G70" t="str">
        <f>Lembar2!G69</f>
        <v>Abu rozin</v>
      </c>
      <c r="H70" t="str">
        <f>Lembar2!H69</f>
        <v>Nur hidayah</v>
      </c>
      <c r="I70" t="str">
        <f>VLOOKUP(B70,Lembar1!A$4:H$175,8,FALSE)</f>
        <v>BIO_Images/EBTAQ25-03.006.jpg</v>
      </c>
      <c r="J70" t="str">
        <f>Lembar2!C69</f>
        <v>BMW - Matholiul Falah</v>
      </c>
    </row>
    <row r="71" spans="1:10" x14ac:dyDescent="0.25">
      <c r="A71">
        <v>296</v>
      </c>
      <c r="B71" t="str">
        <f>Lembar2!L70</f>
        <v>EBTAQ25-03.007</v>
      </c>
      <c r="C71" t="str">
        <f>Lembar2!D70</f>
        <v>Asaa Najma Azzahra</v>
      </c>
      <c r="D71" t="str">
        <f>Lembar2!I70</f>
        <v>Perempuan</v>
      </c>
      <c r="E71" t="str">
        <f>Lembar2!E70</f>
        <v>Demak</v>
      </c>
      <c r="F71" s="21">
        <f>Lembar2!F70</f>
        <v>42312</v>
      </c>
      <c r="G71" t="str">
        <f>Lembar2!G70</f>
        <v>Ahmad Muhajir</v>
      </c>
      <c r="H71" t="str">
        <f>Lembar2!H70</f>
        <v>Musokhikah</v>
      </c>
      <c r="I71" t="str">
        <f>VLOOKUP(B71,Lembar1!A$4:H$175,8,FALSE)</f>
        <v>BIO_Images/EBTAQ25-03.007.jpg</v>
      </c>
      <c r="J71" t="str">
        <f>Lembar2!C70</f>
        <v>BMW - Matholiul Falah</v>
      </c>
    </row>
    <row r="72" spans="1:10" x14ac:dyDescent="0.25">
      <c r="A72">
        <v>297</v>
      </c>
      <c r="B72" t="str">
        <f>Lembar2!L71</f>
        <v>EBTAQ25-03.008</v>
      </c>
      <c r="C72" t="str">
        <f>Lembar2!D71</f>
        <v>Reva Dwi Rahmadhani</v>
      </c>
      <c r="D72" t="str">
        <f>Lembar2!I71</f>
        <v>Perempuan</v>
      </c>
      <c r="E72" t="str">
        <f>Lembar2!E71</f>
        <v>Kudus</v>
      </c>
      <c r="F72" s="21">
        <f>Lembar2!F71</f>
        <v>42191</v>
      </c>
      <c r="G72" t="str">
        <f>Lembar2!G71</f>
        <v>Nur cipto</v>
      </c>
      <c r="H72" t="str">
        <f>Lembar2!H71</f>
        <v>Nur ismah</v>
      </c>
      <c r="I72" t="str">
        <f>VLOOKUP(B72,Lembar1!A$4:H$175,8,FALSE)</f>
        <v>BIO_Images/EBTAQ25-03.008.jpg</v>
      </c>
      <c r="J72" t="str">
        <f>Lembar2!C71</f>
        <v>BMW - Matholiul Falah</v>
      </c>
    </row>
    <row r="73" spans="1:10" x14ac:dyDescent="0.25">
      <c r="A73">
        <v>298</v>
      </c>
      <c r="B73" t="str">
        <f>Lembar2!L72</f>
        <v>EBTAQ25-01.140</v>
      </c>
      <c r="C73" t="str">
        <f>Lembar2!D72</f>
        <v>ARSYA MAULANA FIRMANSYAH</v>
      </c>
      <c r="D73" t="str">
        <f>Lembar2!I72</f>
        <v>Laki-laki</v>
      </c>
      <c r="E73" t="str">
        <f>Lembar2!E72</f>
        <v>DEMAK</v>
      </c>
      <c r="F73" s="21">
        <f>Lembar2!F72</f>
        <v>42022</v>
      </c>
      <c r="G73" t="str">
        <f>Lembar2!G72</f>
        <v>MEN KARSIMAN</v>
      </c>
      <c r="H73" t="str">
        <f>Lembar2!H72</f>
        <v>ZAKHIYAH SYAFITRI</v>
      </c>
      <c r="I73" t="str">
        <f>VLOOKUP(B73,Lembar1!A$4:H$175,8,FALSE)</f>
        <v>BIO_Images/EBTAQ25-01.140.jpg</v>
      </c>
      <c r="J73" t="str">
        <f>Lembar2!C72</f>
        <v>Demak - TPQ KH ALJAZERI</v>
      </c>
    </row>
    <row r="74" spans="1:10" x14ac:dyDescent="0.25">
      <c r="A74">
        <v>299</v>
      </c>
      <c r="B74" t="str">
        <f>Lembar2!L73</f>
        <v>EBTAQ25-03.009</v>
      </c>
      <c r="C74" t="str">
        <f>Lembar2!D73</f>
        <v>ALFIAH JULIANTI</v>
      </c>
      <c r="D74" t="str">
        <f>Lembar2!I73</f>
        <v>Perempuan</v>
      </c>
      <c r="E74" t="str">
        <f>Lembar2!E73</f>
        <v>DEMAK</v>
      </c>
      <c r="F74" s="21">
        <f>Lembar2!F73</f>
        <v>41826</v>
      </c>
      <c r="G74" t="str">
        <f>Lembar2!G73</f>
        <v>ACHSANU ROHIM</v>
      </c>
      <c r="H74" t="str">
        <f>Lembar2!H73</f>
        <v>DEWI KHUSAEMAH</v>
      </c>
      <c r="I74" t="str">
        <f>VLOOKUP(B74,Lembar1!A$4:H$175,8,FALSE)</f>
        <v>BIO_Images/EBTAQ25-03.009.jpg</v>
      </c>
      <c r="J74" t="str">
        <f>Lembar2!C73</f>
        <v>BMW - Al Khoiriyah</v>
      </c>
    </row>
    <row r="75" spans="1:10" x14ac:dyDescent="0.25">
      <c r="A75">
        <v>300</v>
      </c>
      <c r="B75" t="str">
        <f>Lembar2!L74</f>
        <v>EBTAQ25-03.010</v>
      </c>
      <c r="C75" t="str">
        <f>Lembar2!D74</f>
        <v>NUFIKHO SOFARA KHOIRIYAH</v>
      </c>
      <c r="D75" t="str">
        <f>Lembar2!I74</f>
        <v>Perempuan</v>
      </c>
      <c r="E75" t="str">
        <f>Lembar2!E74</f>
        <v>DEMAK</v>
      </c>
      <c r="F75" s="21">
        <f>Lembar2!F74</f>
        <v>41995</v>
      </c>
      <c r="G75" t="str">
        <f>Lembar2!G74</f>
        <v>ACHMAD SIFULFAZI</v>
      </c>
      <c r="H75" t="str">
        <f>Lembar2!H74</f>
        <v>LAIKHATUN</v>
      </c>
      <c r="I75" t="str">
        <f>VLOOKUP(B75,Lembar1!A$4:H$175,8,FALSE)</f>
        <v>BIO_Images/EBTAQ25-03.010.jpg</v>
      </c>
      <c r="J75" t="str">
        <f>Lembar2!C74</f>
        <v>BMW - Al Khoiriyah</v>
      </c>
    </row>
    <row r="76" spans="1:10" x14ac:dyDescent="0.25">
      <c r="A76">
        <v>301</v>
      </c>
      <c r="B76" t="str">
        <f>Lembar2!L75</f>
        <v>EBTAQ25-01.141</v>
      </c>
      <c r="C76" t="str">
        <f>Lembar2!D75</f>
        <v>MURNI ASIH ARDIANTI</v>
      </c>
      <c r="D76" t="str">
        <f>Lembar2!I75</f>
        <v>Perempuan</v>
      </c>
      <c r="E76" t="str">
        <f>Lembar2!E75</f>
        <v>Demak</v>
      </c>
      <c r="F76" s="21">
        <f>Lembar2!F75</f>
        <v>41644</v>
      </c>
      <c r="G76" t="str">
        <f>Lembar2!G75</f>
        <v>Zaenal Sodikin</v>
      </c>
      <c r="H76" t="str">
        <f>Lembar2!H75</f>
        <v>Dewi Ratnawati</v>
      </c>
      <c r="I76" t="str">
        <f>VLOOKUP(B76,Lembar1!A$4:H$175,8,FALSE)</f>
        <v>BIO_Images/EBTAQ25-01.141.jpg</v>
      </c>
      <c r="J76" t="str">
        <f>Lembar2!C75</f>
        <v>Demak - TPQ KH ALJAZERI</v>
      </c>
    </row>
    <row r="77" spans="1:10" x14ac:dyDescent="0.25">
      <c r="A77">
        <v>302</v>
      </c>
      <c r="B77" t="str">
        <f>Lembar2!L76</f>
        <v>EBTAQ25-05.026</v>
      </c>
      <c r="C77" t="str">
        <f>Lembar2!D76</f>
        <v>MUHAMMAD DANISH BAYHAQI</v>
      </c>
      <c r="D77" t="str">
        <f>Lembar2!I76</f>
        <v>Laki-laki</v>
      </c>
      <c r="E77" t="str">
        <f>Lembar2!E76</f>
        <v>DEMAK</v>
      </c>
      <c r="F77" s="21">
        <f>Lembar2!F76</f>
        <v>42069</v>
      </c>
      <c r="G77" t="str">
        <f>Lembar2!G76</f>
        <v>HERU PRASETIO</v>
      </c>
      <c r="H77" t="str">
        <f>Lembar2!H76</f>
        <v>ENI SUSILOWATI</v>
      </c>
      <c r="I77" t="e">
        <f>VLOOKUP(B77,Lembar1!A$4:H$175,8,FALSE)</f>
        <v>#N/A</v>
      </c>
      <c r="J77" t="str">
        <f>Lembar2!C76</f>
        <v>Karbon- Darussalam</v>
      </c>
    </row>
    <row r="78" spans="1:10" x14ac:dyDescent="0.25">
      <c r="A78">
        <v>303</v>
      </c>
      <c r="B78" t="str">
        <f>Lembar2!L77</f>
        <v>EBTAQ25-01.142</v>
      </c>
      <c r="C78" t="str">
        <f>Lembar2!D77</f>
        <v>Kamilatun Ni'mah</v>
      </c>
      <c r="D78" t="str">
        <f>Lembar2!I77</f>
        <v>Perempuan</v>
      </c>
      <c r="E78" t="str">
        <f>Lembar2!E77</f>
        <v>Demak</v>
      </c>
      <c r="F78" s="21">
        <f>Lembar2!F77</f>
        <v>42367</v>
      </c>
      <c r="G78" t="str">
        <f>Lembar2!G77</f>
        <v>Nur Alex</v>
      </c>
      <c r="H78" t="str">
        <f>Lembar2!H77</f>
        <v>Romi Zuli astuti</v>
      </c>
      <c r="I78" t="str">
        <f>VLOOKUP(B78,Lembar1!A$4:H$175,8,FALSE)</f>
        <v>BIO_Images/EBTAQ25-01.142.jpg</v>
      </c>
      <c r="J78" t="str">
        <f>Lembar2!C77</f>
        <v>Demak - TPQ KH ALJAZERI</v>
      </c>
    </row>
    <row r="79" spans="1:10" x14ac:dyDescent="0.25">
      <c r="A79">
        <v>304</v>
      </c>
      <c r="B79" t="str">
        <f>Lembar2!L78</f>
        <v>EBTAQ25-03.106</v>
      </c>
      <c r="C79" t="str">
        <f>Lembar2!D78</f>
        <v>M. FAIZAL FADHIL</v>
      </c>
      <c r="D79" t="str">
        <f>Lembar2!I78</f>
        <v>Laki-laki</v>
      </c>
      <c r="E79" t="str">
        <f>Lembar2!E78</f>
        <v>DEMAK</v>
      </c>
      <c r="F79" s="21">
        <f>Lembar2!F78</f>
        <v>41633</v>
      </c>
      <c r="G79" t="str">
        <f>Lembar2!G78</f>
        <v>MASRUKIN</v>
      </c>
      <c r="H79" t="str">
        <f>Lembar2!H78</f>
        <v>KASNI</v>
      </c>
      <c r="I79" t="e">
        <f>VLOOKUP(B79,Lembar1!A$4:H$175,8,FALSE)</f>
        <v>#N/A</v>
      </c>
      <c r="J79" t="str">
        <f>Lembar2!C78</f>
        <v>Dewoka - Nurul Qur'an</v>
      </c>
    </row>
    <row r="80" spans="1:10" x14ac:dyDescent="0.25">
      <c r="A80">
        <v>305</v>
      </c>
      <c r="B80" t="str">
        <f>Lembar2!L79</f>
        <v>EBTAQ25-03.107</v>
      </c>
      <c r="C80" t="str">
        <f>Lembar2!D79</f>
        <v>CINTYA FEBRIYANA SAPUTRI</v>
      </c>
      <c r="D80" t="str">
        <f>Lembar2!I79</f>
        <v>Perempuan</v>
      </c>
      <c r="E80" t="str">
        <f>Lembar2!E79</f>
        <v>DEMAK</v>
      </c>
      <c r="F80" s="21">
        <f>Lembar2!F79</f>
        <v>40962</v>
      </c>
      <c r="G80" t="str">
        <f>Lembar2!G79</f>
        <v>AHMAD YASIN</v>
      </c>
      <c r="H80" t="str">
        <f>Lembar2!H79</f>
        <v>SITI SUPRIYATI</v>
      </c>
      <c r="I80" t="e">
        <f>VLOOKUP(B80,Lembar1!A$4:H$175,8,FALSE)</f>
        <v>#N/A</v>
      </c>
      <c r="J80" t="str">
        <f>Lembar2!C79</f>
        <v>Dewoka - Nurul Qur'an</v>
      </c>
    </row>
    <row r="81" spans="1:10" x14ac:dyDescent="0.25">
      <c r="A81">
        <v>306</v>
      </c>
      <c r="B81" t="str">
        <f>Lembar2!L80</f>
        <v>EBTAQ25-05.027</v>
      </c>
      <c r="C81" t="str">
        <f>Lembar2!D80</f>
        <v>MUHAMMAD LABIB ALI MURTADHO</v>
      </c>
      <c r="D81" t="str">
        <f>Lembar2!I80</f>
        <v>Laki-laki</v>
      </c>
      <c r="E81" t="str">
        <f>Lembar2!E80</f>
        <v>DEMAK</v>
      </c>
      <c r="F81" s="21">
        <f>Lembar2!F80</f>
        <v>42095</v>
      </c>
      <c r="G81" t="str">
        <f>Lembar2!G80</f>
        <v>SUDIRMAN</v>
      </c>
      <c r="H81" t="str">
        <f>Lembar2!H80</f>
        <v>ARIFATUL KHOIRIYAH</v>
      </c>
      <c r="I81" t="e">
        <f>VLOOKUP(B81,Lembar1!A$4:H$175,8,FALSE)</f>
        <v>#N/A</v>
      </c>
      <c r="J81" t="str">
        <f>Lembar2!C80</f>
        <v>Karbon - TPQ Darussalam</v>
      </c>
    </row>
    <row r="82" spans="1:10" x14ac:dyDescent="0.25">
      <c r="A82">
        <v>307</v>
      </c>
      <c r="B82" t="str">
        <f>Lembar2!L81</f>
        <v>EBTAQ25-03.108</v>
      </c>
      <c r="C82" t="str">
        <f>Lembar2!D81</f>
        <v>GITHA AZALIA</v>
      </c>
      <c r="D82" t="str">
        <f>Lembar2!I81</f>
        <v>Perempuan</v>
      </c>
      <c r="E82" t="str">
        <f>Lembar2!E81</f>
        <v>DEMAK</v>
      </c>
      <c r="F82" s="21">
        <f>Lembar2!F81</f>
        <v>41907</v>
      </c>
      <c r="G82" t="str">
        <f>Lembar2!G81</f>
        <v>MAHMUDI</v>
      </c>
      <c r="H82" t="str">
        <f>Lembar2!H81</f>
        <v>LIA KRISTIYANTI</v>
      </c>
      <c r="I82" t="e">
        <f>VLOOKUP(B82,Lembar1!A$4:H$175,8,FALSE)</f>
        <v>#N/A</v>
      </c>
      <c r="J82" t="str">
        <f>Lembar2!C81</f>
        <v>Dewoka - Nurul Qur'an</v>
      </c>
    </row>
    <row r="83" spans="1:10" x14ac:dyDescent="0.25">
      <c r="A83">
        <v>308</v>
      </c>
      <c r="B83" t="str">
        <f>Lembar2!L82</f>
        <v>EBTAQ25-03.109</v>
      </c>
      <c r="C83" t="str">
        <f>Lembar2!D82</f>
        <v>AISYA IZZATUL ALISA</v>
      </c>
      <c r="D83" t="str">
        <f>Lembar2!I82</f>
        <v>Perempuan</v>
      </c>
      <c r="E83" t="str">
        <f>Lembar2!E82</f>
        <v>DEMAK</v>
      </c>
      <c r="F83" s="21">
        <f>Lembar2!F82</f>
        <v>41674</v>
      </c>
      <c r="G83" t="str">
        <f>Lembar2!G82</f>
        <v>MOHAMAD ZAINAL ABIDIN</v>
      </c>
      <c r="H83" t="str">
        <f>Lembar2!H82</f>
        <v>SITI RUMIYATI</v>
      </c>
      <c r="I83" t="e">
        <f>VLOOKUP(B83,Lembar1!A$4:H$175,8,FALSE)</f>
        <v>#N/A</v>
      </c>
      <c r="J83" t="str">
        <f>Lembar2!C82</f>
        <v>Dewoka - Nurul Qur'an</v>
      </c>
    </row>
    <row r="84" spans="1:10" x14ac:dyDescent="0.25">
      <c r="A84">
        <v>309</v>
      </c>
      <c r="B84" t="str">
        <f>Lembar2!L83</f>
        <v>EBTAQ25-03.110</v>
      </c>
      <c r="C84" t="str">
        <f>Lembar2!D83</f>
        <v>SYIFA ELYSIA DARAPUSPITA</v>
      </c>
      <c r="D84" t="str">
        <f>Lembar2!I83</f>
        <v>Perempuan</v>
      </c>
      <c r="E84" t="str">
        <f>Lembar2!E83</f>
        <v>DEMAK</v>
      </c>
      <c r="F84" s="21">
        <f>Lembar2!F83</f>
        <v>41481</v>
      </c>
      <c r="G84" t="str">
        <f>Lembar2!G83</f>
        <v>SUSILO</v>
      </c>
      <c r="H84" t="str">
        <f>Lembar2!H83</f>
        <v>ENDANG DWI SUNARTI</v>
      </c>
      <c r="I84" t="e">
        <f>VLOOKUP(B84,Lembar1!A$4:H$175,8,FALSE)</f>
        <v>#N/A</v>
      </c>
      <c r="J84" t="str">
        <f>Lembar2!C83</f>
        <v>Dewoka - Nurul Qur'an</v>
      </c>
    </row>
    <row r="85" spans="1:10" x14ac:dyDescent="0.25">
      <c r="A85">
        <v>310</v>
      </c>
      <c r="B85" t="str">
        <f>Lembar2!L84</f>
        <v>EBTAQ25-03.111</v>
      </c>
      <c r="C85" t="str">
        <f>Lembar2!D84</f>
        <v>ELISSA WILDA FATMA</v>
      </c>
      <c r="D85" t="str">
        <f>Lembar2!I84</f>
        <v>Perempuan</v>
      </c>
      <c r="E85" t="str">
        <f>Lembar2!E84</f>
        <v>DEMAK</v>
      </c>
      <c r="F85" s="21">
        <f>Lembar2!F84</f>
        <v>41783</v>
      </c>
      <c r="G85" t="str">
        <f>Lembar2!G84</f>
        <v>MAULUDI</v>
      </c>
      <c r="H85" t="str">
        <f>Lembar2!H84</f>
        <v>ANIS</v>
      </c>
      <c r="I85" t="e">
        <f>VLOOKUP(B85,Lembar1!A$4:H$175,8,FALSE)</f>
        <v>#N/A</v>
      </c>
      <c r="J85" t="str">
        <f>Lembar2!C84</f>
        <v>Dewoka - Nurul Qur'an</v>
      </c>
    </row>
    <row r="86" spans="1:10" x14ac:dyDescent="0.25">
      <c r="A86">
        <v>311</v>
      </c>
      <c r="B86" t="str">
        <f>Lembar2!L85</f>
        <v>EBTAQ25-05.028</v>
      </c>
      <c r="C86" t="str">
        <f>Lembar2!D85</f>
        <v>MUHAMMAD ROBITH AZAMI</v>
      </c>
      <c r="D86" t="str">
        <f>Lembar2!I85</f>
        <v>Laki-laki</v>
      </c>
      <c r="E86" t="str">
        <f>Lembar2!E85</f>
        <v>Demak</v>
      </c>
      <c r="F86" s="21">
        <f>Lembar2!F85</f>
        <v>41750</v>
      </c>
      <c r="G86" t="str">
        <f>Lembar2!G85</f>
        <v>Ismail</v>
      </c>
      <c r="H86" t="str">
        <f>Lembar2!H85</f>
        <v>Siti Asrofatunnihayah</v>
      </c>
      <c r="I86" t="e">
        <f>VLOOKUP(B86,Lembar1!A$4:H$175,8,FALSE)</f>
        <v>#N/A</v>
      </c>
      <c r="J86" t="str">
        <f>Lembar2!C85</f>
        <v>Karbon - TPQ Darussalam</v>
      </c>
    </row>
    <row r="87" spans="1:10" x14ac:dyDescent="0.25">
      <c r="A87">
        <v>312</v>
      </c>
      <c r="B87" t="str">
        <f>Lembar2!L86</f>
        <v>EBTAQ25-03.011</v>
      </c>
      <c r="C87" t="str">
        <f>Lembar2!D86</f>
        <v>Indah fadhilah</v>
      </c>
      <c r="D87" t="str">
        <f>Lembar2!I86</f>
        <v>Perempuan</v>
      </c>
      <c r="E87" t="str">
        <f>Lembar2!E86</f>
        <v>Demak</v>
      </c>
      <c r="F87" s="21">
        <f>Lembar2!F86</f>
        <v>42542</v>
      </c>
      <c r="G87" t="str">
        <f>Lembar2!G86</f>
        <v>Nur Rohman</v>
      </c>
      <c r="H87" t="str">
        <f>Lembar2!H86</f>
        <v>Nazidatul ula</v>
      </c>
      <c r="I87" t="str">
        <f>VLOOKUP(B87,Lembar1!A$4:H$175,8,FALSE)</f>
        <v>BIO_Images/EBTAQ25-03.011.jpg</v>
      </c>
      <c r="J87" t="str">
        <f>Lembar2!C86</f>
        <v>BMW - Matholiul Falah</v>
      </c>
    </row>
    <row r="88" spans="1:10" x14ac:dyDescent="0.25">
      <c r="A88">
        <v>313</v>
      </c>
      <c r="B88" t="str">
        <f>Lembar2!L87</f>
        <v>EBTAQ25-03.012</v>
      </c>
      <c r="C88" t="str">
        <f>Lembar2!D87</f>
        <v>Indah fadhilah</v>
      </c>
      <c r="D88" t="str">
        <f>Lembar2!I87</f>
        <v>Perempuan</v>
      </c>
      <c r="E88" t="str">
        <f>Lembar2!E87</f>
        <v>Demak</v>
      </c>
      <c r="F88" s="21">
        <f>Lembar2!F87</f>
        <v>42542</v>
      </c>
      <c r="G88" t="str">
        <f>Lembar2!G87</f>
        <v>Nur rohman</v>
      </c>
      <c r="H88" t="str">
        <f>Lembar2!H87</f>
        <v>Nazidatul ula</v>
      </c>
      <c r="I88" t="str">
        <f>VLOOKUP(B88,Lembar1!A$4:H$175,8,FALSE)</f>
        <v>BIO_Images/EBTAQ25-03.012.jpg</v>
      </c>
      <c r="J88" t="str">
        <f>Lembar2!C87</f>
        <v>BMW - Matholiul Falah</v>
      </c>
    </row>
    <row r="89" spans="1:10" x14ac:dyDescent="0.25">
      <c r="A89">
        <v>314</v>
      </c>
      <c r="B89" t="str">
        <f>Lembar2!L88</f>
        <v>EBTAQ25-03.112</v>
      </c>
      <c r="C89" t="str">
        <f>Lembar2!D88</f>
        <v>Ahmad Ilham Nurul Fajar</v>
      </c>
      <c r="D89" t="str">
        <f>Lembar2!I88</f>
        <v>Laki-laki</v>
      </c>
      <c r="E89" t="str">
        <f>Lembar2!E88</f>
        <v>Demak</v>
      </c>
      <c r="F89" s="21">
        <f>Lembar2!F88</f>
        <v>42043</v>
      </c>
      <c r="G89" t="str">
        <f>Lembar2!G88</f>
        <v>Nurul Dholam</v>
      </c>
      <c r="H89" t="str">
        <f>Lembar2!H88</f>
        <v>Anisatuz Zahro</v>
      </c>
      <c r="I89" t="e">
        <f>VLOOKUP(B89,Lembar1!A$4:H$175,8,FALSE)</f>
        <v>#N/A</v>
      </c>
      <c r="J89" t="str">
        <f>Lembar2!C88</f>
        <v>Dewoka - Nurus Shibyan</v>
      </c>
    </row>
    <row r="90" spans="1:10" x14ac:dyDescent="0.25">
      <c r="A90">
        <v>315</v>
      </c>
      <c r="B90" t="str">
        <f>Lembar2!L89</f>
        <v>EBTAQ25-01.143</v>
      </c>
      <c r="C90" t="str">
        <f>Lembar2!D89</f>
        <v>MUHAMMAD TAUFIQ ALANSYAH</v>
      </c>
      <c r="D90" t="str">
        <f>Lembar2!I89</f>
        <v>Laki-laki</v>
      </c>
      <c r="E90" t="str">
        <f>Lembar2!E89</f>
        <v>JAKARTA</v>
      </c>
      <c r="F90" s="21">
        <f>Lembar2!F89</f>
        <v>40393</v>
      </c>
      <c r="G90" t="str">
        <f>Lembar2!G89</f>
        <v>NURHADI</v>
      </c>
      <c r="H90" t="str">
        <f>Lembar2!H89</f>
        <v>CICI MEININGSIH</v>
      </c>
      <c r="I90" t="str">
        <f>VLOOKUP(B90,Lembar1!A$4:H$175,8,FALSE)</f>
        <v>BIO_Images/EBTAQ25-01.143.png</v>
      </c>
      <c r="J90" t="str">
        <f>Lembar2!C89</f>
        <v>Karbon - Hidayatul Mubtadi'in</v>
      </c>
    </row>
    <row r="91" spans="1:10" x14ac:dyDescent="0.25">
      <c r="A91">
        <v>316</v>
      </c>
      <c r="B91" t="str">
        <f>Lembar2!L90</f>
        <v>EBTAQ25-01.144</v>
      </c>
      <c r="C91" t="str">
        <f>Lembar2!D90</f>
        <v>Wakhidatunnailissaadah</v>
      </c>
      <c r="D91" t="str">
        <f>Lembar2!I90</f>
        <v>Perempuan</v>
      </c>
      <c r="E91" t="str">
        <f>Lembar2!E90</f>
        <v>Krajan mangunjiwan 02 04</v>
      </c>
      <c r="F91" s="21">
        <f>Lembar2!F90</f>
        <v>42501</v>
      </c>
      <c r="G91" t="str">
        <f>Lembar2!G90</f>
        <v>Mad soleh</v>
      </c>
      <c r="H91" t="str">
        <f>Lembar2!H90</f>
        <v>Siti kholifah</v>
      </c>
      <c r="I91" t="str">
        <f>VLOOKUP(B91,Lembar1!A$4:H$175,8,FALSE)</f>
        <v>BIO_Images/EBTAQ25-01.144.jpg</v>
      </c>
      <c r="J91" t="str">
        <f>Lembar2!C90</f>
        <v>Demak - TPQ KH ALJAZERI</v>
      </c>
    </row>
    <row r="92" spans="1:10" x14ac:dyDescent="0.25">
      <c r="A92">
        <v>317</v>
      </c>
      <c r="B92" t="str">
        <f>Lembar2!L91</f>
        <v>EBTAQ25-06.008</v>
      </c>
      <c r="C92" t="str">
        <f>Lembar2!D91</f>
        <v>IBNU ASSYFA'</v>
      </c>
      <c r="D92" t="str">
        <f>Lembar2!I91</f>
        <v>Laki-laki</v>
      </c>
      <c r="E92" t="str">
        <f>Lembar2!E91</f>
        <v>Grobogan</v>
      </c>
      <c r="F92" s="21">
        <f>Lembar2!F91</f>
        <v>40488</v>
      </c>
      <c r="G92" t="str">
        <f>Lembar2!G91</f>
        <v>EDY SUSANTO</v>
      </c>
      <c r="H92" t="str">
        <f>Lembar2!H91</f>
        <v>NUR CHAMIDAH</v>
      </c>
      <c r="I92" t="str">
        <f>VLOOKUP(B92,Lembar1!A$4:H$175,8,FALSE)</f>
        <v>BIO_Images/EBTAQ25-06.008.jpg</v>
      </c>
      <c r="J92" t="str">
        <f>Lembar2!C91</f>
        <v>BMW - Hidayatul Mubtadiin</v>
      </c>
    </row>
    <row r="93" spans="1:10" x14ac:dyDescent="0.25">
      <c r="A93">
        <v>318</v>
      </c>
      <c r="B93" t="str">
        <f>Lembar2!L92</f>
        <v>EBTAQ25-05.029</v>
      </c>
      <c r="C93" t="str">
        <f>Lembar2!D92</f>
        <v>AELUL NAJLA</v>
      </c>
      <c r="D93" t="str">
        <f>Lembar2!I92</f>
        <v>Perempuan</v>
      </c>
      <c r="E93" t="str">
        <f>Lembar2!E92</f>
        <v>GROBOGAN</v>
      </c>
      <c r="F93" s="21">
        <f>Lembar2!F92</f>
        <v>40671</v>
      </c>
      <c r="G93" t="str">
        <f>Lembar2!G92</f>
        <v>MAT RIFA'I</v>
      </c>
      <c r="H93" t="str">
        <f>Lembar2!H92</f>
        <v>SITI AMINI</v>
      </c>
      <c r="I93" t="e">
        <f>VLOOKUP(B93,Lembar1!A$4:H$175,8,FALSE)</f>
        <v>#N/A</v>
      </c>
      <c r="J93" t="str">
        <f>Lembar2!C92</f>
        <v>Karbon - TPQ Asnawiyah</v>
      </c>
    </row>
    <row r="94" spans="1:10" x14ac:dyDescent="0.25">
      <c r="A94">
        <v>319</v>
      </c>
      <c r="B94" t="str">
        <f>Lembar2!L93</f>
        <v>EBTAQ25-03.113</v>
      </c>
      <c r="C94" t="str">
        <f>Lembar2!D93</f>
        <v>Muhammad Muwafiq</v>
      </c>
      <c r="D94" t="str">
        <f>Lembar2!I93</f>
        <v>Laki-laki</v>
      </c>
      <c r="E94" t="str">
        <f>Lembar2!E93</f>
        <v>Demak</v>
      </c>
      <c r="F94" s="21">
        <f>Lembar2!F93</f>
        <v>43233</v>
      </c>
      <c r="G94" t="str">
        <f>Lembar2!G93</f>
        <v>Rohmanto</v>
      </c>
      <c r="H94" t="str">
        <f>Lembar2!H93</f>
        <v>Zahrotul ummah</v>
      </c>
      <c r="I94" t="e">
        <f>VLOOKUP(B94,Lembar1!A$4:H$175,8,FALSE)</f>
        <v>#N/A</v>
      </c>
      <c r="J94" t="str">
        <f>Lembar2!C93</f>
        <v>Dewoka - Roudlotul Muta'allimin</v>
      </c>
    </row>
    <row r="95" spans="1:10" x14ac:dyDescent="0.25">
      <c r="A95">
        <v>320</v>
      </c>
      <c r="B95" t="str">
        <f>Lembar2!L94</f>
        <v>EBTAQ25-05.030</v>
      </c>
      <c r="C95" t="str">
        <f>Lembar2!D94</f>
        <v>ARINI KARTIKA PUTRI</v>
      </c>
      <c r="D95" t="str">
        <f>Lembar2!I94</f>
        <v>Laki-laki, Perempuan</v>
      </c>
      <c r="E95" t="str">
        <f>Lembar2!E94</f>
        <v>GROBOGAN</v>
      </c>
      <c r="F95" s="21">
        <f>Lembar2!F94</f>
        <v>40505</v>
      </c>
      <c r="G95" t="str">
        <f>Lembar2!G94</f>
        <v>SAWIDI</v>
      </c>
      <c r="H95" t="str">
        <f>Lembar2!H94</f>
        <v>SULISTYOWATI</v>
      </c>
      <c r="I95" t="e">
        <f>VLOOKUP(B95,Lembar1!A$4:H$175,8,FALSE)</f>
        <v>#N/A</v>
      </c>
      <c r="J95" t="str">
        <f>Lembar2!C94</f>
        <v>Karbon - TPQ Asnawiyah</v>
      </c>
    </row>
    <row r="96" spans="1:10" x14ac:dyDescent="0.25">
      <c r="A96">
        <v>321</v>
      </c>
      <c r="B96" t="str">
        <f>Lembar2!L95</f>
        <v>EBTAQ25-03.114</v>
      </c>
      <c r="C96" t="str">
        <f>Lembar2!D95</f>
        <v>Zafira Ayunda Rahmadani</v>
      </c>
      <c r="D96" t="str">
        <f>Lembar2!I95</f>
        <v>Perempuan</v>
      </c>
      <c r="E96" t="str">
        <f>Lembar2!E95</f>
        <v>Demak</v>
      </c>
      <c r="F96" s="21">
        <f>Lembar2!F95</f>
        <v>43587</v>
      </c>
      <c r="G96" t="str">
        <f>Lembar2!G95</f>
        <v>Dany Yuliantoko</v>
      </c>
      <c r="H96" t="str">
        <f>Lembar2!H95</f>
        <v>Ayu Dya Safitri</v>
      </c>
      <c r="I96" t="e">
        <f>VLOOKUP(B96,Lembar1!A$4:H$175,8,FALSE)</f>
        <v>#N/A</v>
      </c>
      <c r="J96" t="str">
        <f>Lembar2!C95</f>
        <v>Dewoka - Roudlotul Muta'allimin</v>
      </c>
    </row>
    <row r="97" spans="1:10" x14ac:dyDescent="0.25">
      <c r="A97">
        <v>322</v>
      </c>
      <c r="B97" t="str">
        <f>Lembar2!L96</f>
        <v>EBTAQ25-01.145</v>
      </c>
      <c r="C97" t="str">
        <f>Lembar2!D96</f>
        <v>Arsya pradipta kurniawan</v>
      </c>
      <c r="D97" t="str">
        <f>Lembar2!I96</f>
        <v>Laki-laki</v>
      </c>
      <c r="E97" t="str">
        <f>Lembar2!E96</f>
        <v>Demak</v>
      </c>
      <c r="F97" s="21">
        <f>Lembar2!F96</f>
        <v>42774</v>
      </c>
      <c r="G97" t="str">
        <f>Lembar2!G96</f>
        <v>Ganda kurniawan</v>
      </c>
      <c r="H97" t="str">
        <f>Lembar2!H96</f>
        <v>Nurul ulfa kartika bintarum</v>
      </c>
      <c r="I97" t="str">
        <f>VLOOKUP(B97,Lembar1!A$4:H$175,8,FALSE)</f>
        <v>BIO_Images/EBTAQ25-01.145.jpg</v>
      </c>
      <c r="J97" t="str">
        <f>Lembar2!C96</f>
        <v>Demak - TPQ KH ALJAZERI</v>
      </c>
    </row>
    <row r="98" spans="1:10" x14ac:dyDescent="0.25">
      <c r="A98">
        <v>323</v>
      </c>
      <c r="B98" t="str">
        <f>Lembar2!L97</f>
        <v>EBTAQ25-03.115</v>
      </c>
      <c r="C98" t="str">
        <f>Lembar2!D97</f>
        <v>Alma Putri Hanifa</v>
      </c>
      <c r="D98" t="str">
        <f>Lembar2!I97</f>
        <v>Perempuan</v>
      </c>
      <c r="E98" t="str">
        <f>Lembar2!E97</f>
        <v>Demak</v>
      </c>
      <c r="F98" s="21">
        <f>Lembar2!F97</f>
        <v>43543</v>
      </c>
      <c r="G98" t="str">
        <f>Lembar2!G97</f>
        <v>Achmad Sodiq</v>
      </c>
      <c r="H98" t="str">
        <f>Lembar2!H97</f>
        <v>Nurul Umah</v>
      </c>
      <c r="I98" t="e">
        <f>VLOOKUP(B98,Lembar1!A$4:H$175,8,FALSE)</f>
        <v>#N/A</v>
      </c>
      <c r="J98" t="str">
        <f>Lembar2!C97</f>
        <v>Dewoka - Roudlotul Muta'allimin</v>
      </c>
    </row>
    <row r="99" spans="1:10" x14ac:dyDescent="0.25">
      <c r="A99">
        <v>324</v>
      </c>
      <c r="B99" t="str">
        <f>Lembar2!L98</f>
        <v>EBTAQ25-03.116</v>
      </c>
      <c r="C99" t="str">
        <f>Lembar2!D98</f>
        <v>ADILA KEISHA FATHIYYATURAHMA</v>
      </c>
      <c r="D99" t="str">
        <f>Lembar2!I98</f>
        <v>Perempuan</v>
      </c>
      <c r="E99" t="str">
        <f>Lembar2!E98</f>
        <v>DEMAK</v>
      </c>
      <c r="F99" s="21">
        <f>Lembar2!F98</f>
        <v>43663</v>
      </c>
      <c r="G99" t="str">
        <f>Lembar2!G98</f>
        <v>AHMAD ROFIK</v>
      </c>
      <c r="H99" t="str">
        <f>Lembar2!H98</f>
        <v>MASRUROH</v>
      </c>
      <c r="I99" t="e">
        <f>VLOOKUP(B99,Lembar1!A$4:H$175,8,FALSE)</f>
        <v>#N/A</v>
      </c>
      <c r="J99" t="str">
        <f>Lembar2!C98</f>
        <v>Dewoka - Roudlotul Muta'allimin</v>
      </c>
    </row>
    <row r="100" spans="1:10" x14ac:dyDescent="0.25">
      <c r="A100">
        <v>325</v>
      </c>
      <c r="B100" t="str">
        <f>Lembar2!L99</f>
        <v>EBTAQ25-01.146</v>
      </c>
      <c r="C100" t="str">
        <f>Lembar2!D99</f>
        <v>MUHAMMAD FAHRIZ SETIAWAN</v>
      </c>
      <c r="D100" t="str">
        <f>Lembar2!I99</f>
        <v>Laki-laki</v>
      </c>
      <c r="E100" t="str">
        <f>Lembar2!E99</f>
        <v>DEMAK</v>
      </c>
      <c r="F100" s="21">
        <f>Lembar2!F99</f>
        <v>41405</v>
      </c>
      <c r="G100" t="str">
        <f>Lembar2!G99</f>
        <v>ZUHDI SETIAWAN ( ALMARHUM)</v>
      </c>
      <c r="H100" t="str">
        <f>Lembar2!H99</f>
        <v>NUR YANAH</v>
      </c>
      <c r="I100" t="str">
        <f>VLOOKUP(B100,Lembar1!A$4:H$175,8,FALSE)</f>
        <v>BIO_Images/EBTAQ25-01.146.jpg</v>
      </c>
      <c r="J100" t="str">
        <f>Lembar2!C99</f>
        <v>Demak - TPQ BUQ</v>
      </c>
    </row>
    <row r="101" spans="1:10" x14ac:dyDescent="0.25">
      <c r="A101">
        <v>326</v>
      </c>
      <c r="B101" t="str">
        <f>Lembar2!L100</f>
        <v>EBTAQ25-01.147</v>
      </c>
      <c r="C101" t="str">
        <f>Lembar2!D100</f>
        <v>Muhammad khoirul azam</v>
      </c>
      <c r="D101" t="str">
        <f>Lembar2!I100</f>
        <v>Laki-laki</v>
      </c>
      <c r="E101" t="str">
        <f>Lembar2!E100</f>
        <v>Demak</v>
      </c>
      <c r="F101" s="21">
        <f>Lembar2!F100</f>
        <v>43448</v>
      </c>
      <c r="G101" t="str">
        <f>Lembar2!G100</f>
        <v>Subakir</v>
      </c>
      <c r="H101" t="str">
        <f>Lembar2!H100</f>
        <v>Kusrini</v>
      </c>
      <c r="I101" t="str">
        <f>VLOOKUP(B101,Lembar1!A$4:H$175,8,FALSE)</f>
        <v>BIO_Images/EBTAQ25-01.147.jpg</v>
      </c>
      <c r="J101" t="str">
        <f>Lembar2!C100</f>
        <v>Tpq Raudlatul muta'allimin</v>
      </c>
    </row>
    <row r="102" spans="1:10" x14ac:dyDescent="0.25">
      <c r="A102">
        <v>327</v>
      </c>
      <c r="B102" t="str">
        <f>Lembar2!L101</f>
        <v>EBTAQ25-01.148</v>
      </c>
      <c r="C102" t="str">
        <f>Lembar2!D101</f>
        <v>MASAYU REGINA RAHMAH</v>
      </c>
      <c r="D102" t="str">
        <f>Lembar2!I101</f>
        <v>Perempuan</v>
      </c>
      <c r="E102" t="str">
        <f>Lembar2!E101</f>
        <v>Demak</v>
      </c>
      <c r="F102" s="21">
        <f>Lembar2!F101</f>
        <v>41951</v>
      </c>
      <c r="G102" t="str">
        <f>Lembar2!G101</f>
        <v>Achmat Munif</v>
      </c>
      <c r="H102" t="str">
        <f>Lembar2!H101</f>
        <v>Istiqomah</v>
      </c>
      <c r="I102" t="str">
        <f>VLOOKUP(B102,Lembar1!A$4:H$175,8,FALSE)</f>
        <v>BIO_Images/EBTAQ25-01.148.jpg</v>
      </c>
      <c r="J102" t="str">
        <f>Lembar2!C101</f>
        <v>DEMAK - SDIT AZZAHRA</v>
      </c>
    </row>
    <row r="103" spans="1:10" x14ac:dyDescent="0.25">
      <c r="A103">
        <v>328</v>
      </c>
      <c r="B103" t="str">
        <f>Lembar2!L102</f>
        <v>EBTAQ25-05.031</v>
      </c>
      <c r="C103" t="str">
        <f>Lembar2!D102</f>
        <v>FABIAN SATYA AJI NUGRAHA</v>
      </c>
      <c r="D103" t="str">
        <f>Lembar2!I102</f>
        <v>Laki-laki</v>
      </c>
      <c r="E103" t="str">
        <f>Lembar2!E102</f>
        <v>DEMAK</v>
      </c>
      <c r="F103" s="21">
        <f>Lembar2!F102</f>
        <v>40593</v>
      </c>
      <c r="G103" t="str">
        <f>Lembar2!G102</f>
        <v>BUDI UTOMO</v>
      </c>
      <c r="H103" t="str">
        <f>Lembar2!H102</f>
        <v>ETI YUNIA APITASARI</v>
      </c>
      <c r="I103" t="e">
        <f>VLOOKUP(B103,Lembar1!A$4:H$175,8,FALSE)</f>
        <v>#N/A</v>
      </c>
      <c r="J103" t="str">
        <f>Lembar2!C102</f>
        <v>Karbon - Hidayatul Mubtadi'in</v>
      </c>
    </row>
    <row r="104" spans="1:10" x14ac:dyDescent="0.25">
      <c r="A104">
        <v>329</v>
      </c>
      <c r="B104" t="str">
        <f>Lembar2!L103</f>
        <v>EBTAQ25-01.149</v>
      </c>
      <c r="C104" t="str">
        <f>Lembar2!D103</f>
        <v>Fadhil Yaqdan Nasrullah</v>
      </c>
      <c r="D104" t="str">
        <f>Lembar2!I103</f>
        <v>Laki-laki</v>
      </c>
      <c r="E104" t="str">
        <f>Lembar2!E103</f>
        <v>Demak</v>
      </c>
      <c r="F104" s="21">
        <f>Lembar2!F103</f>
        <v>41756</v>
      </c>
      <c r="G104" t="str">
        <f>Lembar2!G103</f>
        <v>Faizal Riza</v>
      </c>
      <c r="H104" t="str">
        <f>Lembar2!H103</f>
        <v>Nur Hasanah</v>
      </c>
      <c r="I104" t="str">
        <f>VLOOKUP(B104,Lembar1!A$4:H$175,8,FALSE)</f>
        <v>BIO_Images/EBTAQ25-01.149.jpg</v>
      </c>
      <c r="J104" t="str">
        <f>Lembar2!C103</f>
        <v>Demak - TPQ KH ALJAZERI</v>
      </c>
    </row>
    <row r="105" spans="1:10" x14ac:dyDescent="0.25">
      <c r="A105">
        <v>330</v>
      </c>
      <c r="B105" t="str">
        <f>Lembar2!L104</f>
        <v>EBTAQ25-01.150</v>
      </c>
      <c r="C105" t="str">
        <f>Lembar2!D104</f>
        <v>ALESYA FATIM GHINARA</v>
      </c>
      <c r="D105" t="str">
        <f>Lembar2!I104</f>
        <v>Perempuan</v>
      </c>
      <c r="E105" t="str">
        <f>Lembar2!E104</f>
        <v>DEMAK</v>
      </c>
      <c r="F105" s="21">
        <f>Lembar2!F104</f>
        <v>42489</v>
      </c>
      <c r="G105" t="str">
        <f>Lembar2!G104</f>
        <v>SURYO HADI WIBOWO</v>
      </c>
      <c r="H105" t="str">
        <f>Lembar2!H104</f>
        <v>DHUROHMAH</v>
      </c>
      <c r="I105" t="str">
        <f>VLOOKUP(B105,Lembar1!A$4:H$175,8,FALSE)</f>
        <v>BIO_Images/EBTAQ25-01.150.jpg</v>
      </c>
      <c r="J105" t="str">
        <f>Lembar2!C104</f>
        <v>DEMAK - SDIT AZZAHRA</v>
      </c>
    </row>
    <row r="106" spans="1:10" x14ac:dyDescent="0.25">
      <c r="A106">
        <v>331</v>
      </c>
      <c r="B106" t="str">
        <f>Lembar2!L105</f>
        <v>EBTAQ25-01.151</v>
      </c>
      <c r="C106" t="str">
        <f>Lembar2!D105</f>
        <v>ELVIRA ZAHWA ALESHA</v>
      </c>
      <c r="D106" t="str">
        <f>Lembar2!I105</f>
        <v>Perempuan</v>
      </c>
      <c r="E106" t="str">
        <f>Lembar2!E105</f>
        <v>KUDUS</v>
      </c>
      <c r="F106" s="21">
        <f>Lembar2!F105</f>
        <v>42382</v>
      </c>
      <c r="G106" t="str">
        <f>Lembar2!G105</f>
        <v>ROIS ALI SYAHBANA</v>
      </c>
      <c r="H106" t="str">
        <f>Lembar2!H105</f>
        <v>LILIK MUSTAKFIROH</v>
      </c>
      <c r="I106" t="str">
        <f>VLOOKUP(B106,Lembar1!A$4:H$175,8,FALSE)</f>
        <v>BIO_Images/EBTAQ25-01.151.jpg</v>
      </c>
      <c r="J106" t="str">
        <f>Lembar2!C105</f>
        <v>DEMAK - SDIT AZZAHRA</v>
      </c>
    </row>
    <row r="107" spans="1:10" x14ac:dyDescent="0.25">
      <c r="A107">
        <v>332</v>
      </c>
      <c r="B107" t="str">
        <f>Lembar2!L106</f>
        <v>EBTAQ25-01.152</v>
      </c>
      <c r="C107" t="str">
        <f>Lembar2!D106</f>
        <v>ALYA APRIANA</v>
      </c>
      <c r="D107" t="str">
        <f>Lembar2!I106</f>
        <v>Perempuan</v>
      </c>
      <c r="E107" t="str">
        <f>Lembar2!E106</f>
        <v>DEMAK</v>
      </c>
      <c r="F107" s="21">
        <f>Lembar2!F106</f>
        <v>41019</v>
      </c>
      <c r="G107" t="str">
        <f>Lembar2!G106</f>
        <v>DIDIK HARYANTO</v>
      </c>
      <c r="H107" t="str">
        <f>Lembar2!H106</f>
        <v>HARDbANTI SETIYO UTAMI</v>
      </c>
      <c r="I107" t="str">
        <f>VLOOKUP(B107,Lembar1!A$4:H$175,8,FALSE)</f>
        <v>BIO_Images/EBTAQ25-01.152.jpg</v>
      </c>
      <c r="J107" t="str">
        <f>Lembar2!C106</f>
        <v>DEMAK - SDIT AZZAHRA</v>
      </c>
    </row>
    <row r="108" spans="1:10" x14ac:dyDescent="0.25">
      <c r="A108">
        <v>333</v>
      </c>
      <c r="B108" t="str">
        <f>Lembar2!L107</f>
        <v>EBTAQ25-04.001</v>
      </c>
      <c r="C108" t="str">
        <f>Lembar2!D107</f>
        <v>Ahmad anshori lubiz</v>
      </c>
      <c r="D108" t="str">
        <f>Lembar2!I107</f>
        <v>Laki-laki</v>
      </c>
      <c r="E108" t="str">
        <f>Lembar2!E107</f>
        <v>Demak</v>
      </c>
      <c r="F108" s="21">
        <f>Lembar2!F107</f>
        <v>42281</v>
      </c>
      <c r="G108" t="str">
        <f>Lembar2!G107</f>
        <v>Abdul Latif</v>
      </c>
      <c r="H108" t="str">
        <f>Lembar2!H107</f>
        <v>Farisatul muna</v>
      </c>
      <c r="I108" t="e">
        <f>VLOOKUP(B108,Lembar1!A$4:H$175,8,FALSE)</f>
        <v>#N/A</v>
      </c>
      <c r="J108" t="str">
        <f>Lembar2!C107</f>
        <v>Karangga - Darul Hikam</v>
      </c>
    </row>
    <row r="109" spans="1:10" x14ac:dyDescent="0.25">
      <c r="A109">
        <v>334</v>
      </c>
      <c r="B109" t="str">
        <f>Lembar2!L108</f>
        <v>EBTAQ25-01.153</v>
      </c>
      <c r="C109" t="str">
        <f>Lembar2!D108</f>
        <v>DANESH RAFASYA</v>
      </c>
      <c r="D109" t="str">
        <f>Lembar2!I108</f>
        <v>Perempuan</v>
      </c>
      <c r="E109" t="str">
        <f>Lembar2!E108</f>
        <v>DEMAK</v>
      </c>
      <c r="F109" s="21">
        <f>Lembar2!F108</f>
        <v>42161</v>
      </c>
      <c r="G109" t="str">
        <f>Lembar2!G108</f>
        <v>CIPTO LEGOWO</v>
      </c>
      <c r="H109" t="str">
        <f>Lembar2!H108</f>
        <v>ERNA TRI PUJIASTUTI</v>
      </c>
      <c r="I109" t="str">
        <f>VLOOKUP(B109,Lembar1!A$4:H$175,8,FALSE)</f>
        <v>BIO_Images/EBTAQ25-01.153.jpg</v>
      </c>
      <c r="J109" t="str">
        <f>Lembar2!C108</f>
        <v>DEMAK - SDIT AZZAHRA</v>
      </c>
    </row>
    <row r="110" spans="1:10" x14ac:dyDescent="0.25">
      <c r="A110">
        <v>335</v>
      </c>
      <c r="B110" t="str">
        <f>Lembar2!L109</f>
        <v>EBTAQ25-01.154</v>
      </c>
      <c r="C110" t="str">
        <f>Lembar2!D109</f>
        <v>NABILA INDAH PERMATA</v>
      </c>
      <c r="D110" t="str">
        <f>Lembar2!I109</f>
        <v>Perempuan</v>
      </c>
      <c r="E110" t="str">
        <f>Lembar2!E109</f>
        <v>DEMAK</v>
      </c>
      <c r="F110" s="21">
        <f>Lembar2!F109</f>
        <v>41601</v>
      </c>
      <c r="G110" t="str">
        <f>Lembar2!G109</f>
        <v>SUBARI</v>
      </c>
      <c r="H110" t="str">
        <f>Lembar2!H109</f>
        <v>NUR KHASANAH</v>
      </c>
      <c r="I110" t="str">
        <f>VLOOKUP(B110,Lembar1!A$4:H$175,8,FALSE)</f>
        <v>BIO_Images/EBTAQ25-01.154.jpg</v>
      </c>
      <c r="J110" t="str">
        <f>Lembar2!C109</f>
        <v>DEMAK - SDIT AZZAHRA</v>
      </c>
    </row>
    <row r="111" spans="1:10" x14ac:dyDescent="0.25">
      <c r="A111">
        <v>336</v>
      </c>
      <c r="B111" t="str">
        <f>Lembar2!L110</f>
        <v>EBTAQ25-04.002</v>
      </c>
      <c r="C111" t="str">
        <f>Lembar2!D110</f>
        <v>Ahmad Syariful Hikam</v>
      </c>
      <c r="D111" t="str">
        <f>Lembar2!I110</f>
        <v>Laki-laki</v>
      </c>
      <c r="E111" t="str">
        <f>Lembar2!E110</f>
        <v>Wonorejo karang anyar Demak</v>
      </c>
      <c r="F111" s="21">
        <f>Lembar2!F110</f>
        <v>42837</v>
      </c>
      <c r="G111" t="str">
        <f>Lembar2!G110</f>
        <v>Kusmi'an</v>
      </c>
      <c r="H111" t="str">
        <f>Lembar2!H110</f>
        <v>Isa murniasih</v>
      </c>
      <c r="I111" t="e">
        <f>VLOOKUP(B111,Lembar1!A$4:H$175,8,FALSE)</f>
        <v>#N/A</v>
      </c>
      <c r="J111" t="str">
        <f>Lembar2!C110</f>
        <v>Karangga - Darul Hikam</v>
      </c>
    </row>
    <row r="112" spans="1:10" x14ac:dyDescent="0.25">
      <c r="A112">
        <v>337</v>
      </c>
      <c r="B112" t="str">
        <f>Lembar2!L111</f>
        <v>EBTAQ25-01.155</v>
      </c>
      <c r="C112" t="str">
        <f>Lembar2!D111</f>
        <v>HAMDA SAKHIA ABDILLAH</v>
      </c>
      <c r="D112" t="str">
        <f>Lembar2!I111</f>
        <v>Perempuan</v>
      </c>
      <c r="E112" t="str">
        <f>Lembar2!E111</f>
        <v>DEMAK</v>
      </c>
      <c r="F112" s="21">
        <f>Lembar2!F111</f>
        <v>41616</v>
      </c>
      <c r="G112" t="str">
        <f>Lembar2!G111</f>
        <v>RIF'AAN ABDILLAH</v>
      </c>
      <c r="H112" t="str">
        <f>Lembar2!H111</f>
        <v>NUR HASANAH</v>
      </c>
      <c r="I112" t="str">
        <f>VLOOKUP(B112,Lembar1!A$4:H$175,8,FALSE)</f>
        <v>BIO_Images/EBTAQ25-01.155.jpg</v>
      </c>
      <c r="J112" t="str">
        <f>Lembar2!C111</f>
        <v>DEMAK - SDIT AZZAHRA</v>
      </c>
    </row>
    <row r="113" spans="1:10" x14ac:dyDescent="0.25">
      <c r="A113">
        <v>338</v>
      </c>
      <c r="B113" t="str">
        <f>Lembar2!L112</f>
        <v>EBTAQ25-01.156</v>
      </c>
      <c r="C113" t="str">
        <f>Lembar2!D112</f>
        <v>ARDILA SEPTIANI</v>
      </c>
      <c r="D113" t="str">
        <f>Lembar2!I112</f>
        <v>Perempuan</v>
      </c>
      <c r="E113" t="str">
        <f>Lembar2!E112</f>
        <v>Demak</v>
      </c>
      <c r="F113" s="21">
        <f>Lembar2!F112</f>
        <v>41889</v>
      </c>
      <c r="G113" t="str">
        <f>Lembar2!G112</f>
        <v>Drajad sigit marsinggih</v>
      </c>
      <c r="H113" t="str">
        <f>Lembar2!H112</f>
        <v>Nur faida</v>
      </c>
      <c r="I113" t="str">
        <f>VLOOKUP(B113,Lembar1!A$4:H$175,8,FALSE)</f>
        <v>BIO_Images/EBTAQ25-01.156.jpg</v>
      </c>
      <c r="J113" t="str">
        <f>Lembar2!C112</f>
        <v>Demak - TPQ KH ALJAZERI</v>
      </c>
    </row>
    <row r="114" spans="1:10" x14ac:dyDescent="0.25">
      <c r="A114">
        <v>339</v>
      </c>
      <c r="B114" t="str">
        <f>Lembar2!L113</f>
        <v>EBTAQ25-03.117</v>
      </c>
      <c r="C114" t="str">
        <f>Lembar2!D113</f>
        <v>IKLIL HADAYA ASYROFI</v>
      </c>
      <c r="D114" t="str">
        <f>Lembar2!I113</f>
        <v>Laki-laki</v>
      </c>
      <c r="E114" t="str">
        <f>Lembar2!E113</f>
        <v>Tanjungpinang</v>
      </c>
      <c r="F114" s="21">
        <f>Lembar2!F113</f>
        <v>40962</v>
      </c>
      <c r="G114" t="str">
        <f>Lembar2!G113</f>
        <v>PURWANTO</v>
      </c>
      <c r="H114" t="str">
        <f>Lembar2!H113</f>
        <v>DEVI VITA YULIAWATI</v>
      </c>
      <c r="I114" t="e">
        <f>VLOOKUP(B114,Lembar1!A$4:H$175,8,FALSE)</f>
        <v>#N/A</v>
      </c>
      <c r="J114" t="str">
        <f>Lembar2!C113</f>
        <v>Dewoka - Nuzulur Rohmah</v>
      </c>
    </row>
    <row r="115" spans="1:10" x14ac:dyDescent="0.25">
      <c r="A115">
        <v>340</v>
      </c>
      <c r="B115" t="str">
        <f>Lembar2!L114</f>
        <v>EBTAQ25-03.118</v>
      </c>
      <c r="C115" t="str">
        <f>Lembar2!D114</f>
        <v>Aufa Khuliyyatun Nisak</v>
      </c>
      <c r="D115" t="str">
        <f>Lembar2!I114</f>
        <v>Perempuan</v>
      </c>
      <c r="E115" t="str">
        <f>Lembar2!E114</f>
        <v>Demak</v>
      </c>
      <c r="F115" s="21">
        <f>Lembar2!F114</f>
        <v>42540</v>
      </c>
      <c r="G115" t="str">
        <f>Lembar2!G114</f>
        <v>Ahmad Mualip</v>
      </c>
      <c r="H115" t="str">
        <f>Lembar2!H114</f>
        <v>Ainur Rohmah</v>
      </c>
      <c r="I115" t="e">
        <f>VLOOKUP(B115,Lembar1!A$4:H$175,8,FALSE)</f>
        <v>#N/A</v>
      </c>
      <c r="J115" t="str">
        <f>Lembar2!C114</f>
        <v>Dewoka - Nurul Iman</v>
      </c>
    </row>
    <row r="116" spans="1:10" x14ac:dyDescent="0.25">
      <c r="A116">
        <v>341</v>
      </c>
      <c r="B116" t="str">
        <f>Lembar2!L115</f>
        <v>EBTAQ25-03.119</v>
      </c>
      <c r="C116" t="str">
        <f>Lembar2!D115</f>
        <v>Dina putri auliya</v>
      </c>
      <c r="D116" t="str">
        <f>Lembar2!I115</f>
        <v>Perempuan</v>
      </c>
      <c r="E116" t="str">
        <f>Lembar2!E115</f>
        <v>Demak, Sidomulyo</v>
      </c>
      <c r="F116" s="21">
        <f>Lembar2!F115</f>
        <v>41984</v>
      </c>
      <c r="G116" t="str">
        <f>Lembar2!G115</f>
        <v>Sujari</v>
      </c>
      <c r="H116" t="str">
        <f>Lembar2!H115</f>
        <v>Ngatminah</v>
      </c>
      <c r="I116" t="e">
        <f>VLOOKUP(B116,Lembar1!A$4:H$175,8,FALSE)</f>
        <v>#N/A</v>
      </c>
      <c r="J116" t="str">
        <f>Lembar2!C115</f>
        <v>Dewoka - Nuzulur Rohmah</v>
      </c>
    </row>
    <row r="117" spans="1:10" x14ac:dyDescent="0.25">
      <c r="A117">
        <v>342</v>
      </c>
      <c r="B117" t="str">
        <f>Lembar2!L116</f>
        <v>EBTAQ25-01.157</v>
      </c>
      <c r="C117" t="str">
        <f>Lembar2!D116</f>
        <v>Shofia naila saadah</v>
      </c>
      <c r="D117" t="str">
        <f>Lembar2!I116</f>
        <v>Perempuan</v>
      </c>
      <c r="E117" t="str">
        <f>Lembar2!E116</f>
        <v>Demak</v>
      </c>
      <c r="F117" s="21">
        <f>Lembar2!F116</f>
        <v>42591</v>
      </c>
      <c r="G117" t="str">
        <f>Lembar2!G116</f>
        <v>Chairul Anam</v>
      </c>
      <c r="H117" t="str">
        <f>Lembar2!H116</f>
        <v>Khoirotun Nisa</v>
      </c>
      <c r="I117" t="str">
        <f>VLOOKUP(B117,Lembar1!A$4:H$175,8,FALSE)</f>
        <v>BIO_Images/EBTAQ25-01.157.jpg</v>
      </c>
      <c r="J117" t="str">
        <f>Lembar2!C116</f>
        <v>Demak - TPQ KH ALJAZERI</v>
      </c>
    </row>
    <row r="118" spans="1:10" x14ac:dyDescent="0.25">
      <c r="A118">
        <v>343</v>
      </c>
      <c r="B118" t="str">
        <f>Lembar2!L117</f>
        <v>EBTAQ25-01.158</v>
      </c>
      <c r="C118" t="str">
        <f>Lembar2!D117</f>
        <v>Atika Zahra Latifa</v>
      </c>
      <c r="D118" t="str">
        <f>Lembar2!I117</f>
        <v>Perempuan</v>
      </c>
      <c r="E118" t="str">
        <f>Lembar2!E117</f>
        <v>demak</v>
      </c>
      <c r="F118" s="21">
        <f>Lembar2!F117</f>
        <v>41776</v>
      </c>
      <c r="G118" t="str">
        <f>Lembar2!G117</f>
        <v>ABDUL HADI</v>
      </c>
      <c r="H118" t="str">
        <f>Lembar2!H117</f>
        <v>TIKA IKHWAL MARYANA</v>
      </c>
      <c r="I118" t="str">
        <f>VLOOKUP(B118,Lembar1!A$4:H$175,8,FALSE)</f>
        <v>BIO_Images/EBTAQ25-01.158.jpg</v>
      </c>
      <c r="J118" t="str">
        <f>Lembar2!C117</f>
        <v>Demak - TPQ KH ALJAZERI</v>
      </c>
    </row>
    <row r="119" spans="1:10" x14ac:dyDescent="0.25">
      <c r="A119">
        <v>344</v>
      </c>
      <c r="B119" t="str">
        <f>Lembar2!L118</f>
        <v>EBTAQ25-01.159</v>
      </c>
      <c r="C119" t="str">
        <f>Lembar2!D118</f>
        <v>Atika zahra latifa</v>
      </c>
      <c r="D119" t="str">
        <f>Lembar2!I118</f>
        <v>Perempuan</v>
      </c>
      <c r="E119" t="str">
        <f>Lembar2!E118</f>
        <v>Demak</v>
      </c>
      <c r="F119" s="21">
        <f>Lembar2!F118</f>
        <v>41776</v>
      </c>
      <c r="G119" t="str">
        <f>Lembar2!G118</f>
        <v>Abdul hadi</v>
      </c>
      <c r="H119" t="str">
        <f>Lembar2!H118</f>
        <v>Tika ikhwal maryana</v>
      </c>
      <c r="I119" t="str">
        <f>VLOOKUP(B119,Lembar1!A$4:H$175,8,FALSE)</f>
        <v>BIO_Images/EBTAQ25-01.159.jpg</v>
      </c>
      <c r="J119" t="str">
        <f>Lembar2!C118</f>
        <v>Demak - TPQ KH ALJAZERI</v>
      </c>
    </row>
    <row r="120" spans="1:10" x14ac:dyDescent="0.25">
      <c r="A120">
        <v>345</v>
      </c>
      <c r="B120" t="str">
        <f>Lembar2!L119</f>
        <v>EBTAQ25-01.160</v>
      </c>
      <c r="C120" t="str">
        <f>Lembar2!D119</f>
        <v>Naella Putri Olivia</v>
      </c>
      <c r="D120" t="str">
        <f>Lembar2!I119</f>
        <v>Perempuan</v>
      </c>
      <c r="E120" t="str">
        <f>Lembar2!E119</f>
        <v>Semarang</v>
      </c>
      <c r="F120" s="21">
        <f>Lembar2!F119</f>
        <v>41903</v>
      </c>
      <c r="G120" t="str">
        <f>Lembar2!G119</f>
        <v>Muhammad muntoha</v>
      </c>
      <c r="H120" t="str">
        <f>Lembar2!H119</f>
        <v>Upik Nilawati</v>
      </c>
      <c r="I120" t="str">
        <f>VLOOKUP(B120,Lembar1!A$4:H$175,8,FALSE)</f>
        <v>BIO_Images/EBTAQ25-01.160.jpg</v>
      </c>
      <c r="J120" t="str">
        <f>Lembar2!C119</f>
        <v>Demak - TPQ KH ALJAZERI</v>
      </c>
    </row>
    <row r="121" spans="1:10" x14ac:dyDescent="0.25">
      <c r="A121">
        <v>346</v>
      </c>
      <c r="B121" t="str">
        <f>Lembar2!L120</f>
        <v>EBTAQ25-01.161</v>
      </c>
      <c r="C121" t="str">
        <f>Lembar2!D120</f>
        <v>JIHAN AZZAHRA</v>
      </c>
      <c r="D121" t="str">
        <f>Lembar2!I120</f>
        <v>Perempuan</v>
      </c>
      <c r="E121" t="str">
        <f>Lembar2!E120</f>
        <v>DEMAK</v>
      </c>
      <c r="F121" s="21">
        <f>Lembar2!F120</f>
        <v>41702</v>
      </c>
      <c r="G121" t="str">
        <f>Lembar2!G120</f>
        <v>IPUNG TRI YUWANTORO</v>
      </c>
      <c r="H121" t="str">
        <f>Lembar2!H120</f>
        <v>RAMAYANTI</v>
      </c>
      <c r="I121" t="str">
        <f>VLOOKUP(B121,Lembar1!A$4:H$175,8,FALSE)</f>
        <v>BIO_Images/EBTAQ25-01.161.jpg</v>
      </c>
      <c r="J121" t="str">
        <f>Lembar2!C120</f>
        <v>Demak - TPQ KH ALJAZERI</v>
      </c>
    </row>
    <row r="122" spans="1:10" x14ac:dyDescent="0.25">
      <c r="A122">
        <v>347</v>
      </c>
      <c r="B122" t="str">
        <f>Lembar2!L121</f>
        <v>EBTAQ25-01.162</v>
      </c>
      <c r="C122" t="str">
        <f>Lembar2!D121</f>
        <v>Murni Asih Ardianti</v>
      </c>
      <c r="D122" t="str">
        <f>Lembar2!I121</f>
        <v>Perempuan</v>
      </c>
      <c r="E122" t="str">
        <f>Lembar2!E121</f>
        <v>Demak, Jawa tengah</v>
      </c>
      <c r="F122" s="21">
        <f>Lembar2!F121</f>
        <v>41644</v>
      </c>
      <c r="G122" t="str">
        <f>Lembar2!G121</f>
        <v>Zaenal Sodikin</v>
      </c>
      <c r="H122" t="str">
        <f>Lembar2!H121</f>
        <v>Dewi Ratnawati</v>
      </c>
      <c r="I122" t="str">
        <f>VLOOKUP(B122,Lembar1!A$4:H$175,8,FALSE)</f>
        <v>BIO_Images/EBTAQ25-01.162.jpg</v>
      </c>
      <c r="J122" t="str">
        <f>Lembar2!C121</f>
        <v>Demak - TPQ KH ALJAZERI</v>
      </c>
    </row>
    <row r="123" spans="1:10" x14ac:dyDescent="0.25">
      <c r="A123">
        <v>348</v>
      </c>
      <c r="B123" t="str">
        <f>Lembar2!L122</f>
        <v>EBTAQ25-01.163</v>
      </c>
      <c r="C123" t="str">
        <f>Lembar2!D122</f>
        <v>RAFA DANI PEDROSA</v>
      </c>
      <c r="D123" t="str">
        <f>Lembar2!I122</f>
        <v>Laki-laki</v>
      </c>
      <c r="E123" t="str">
        <f>Lembar2!E122</f>
        <v>DEMAK</v>
      </c>
      <c r="F123" s="21">
        <f>Lembar2!F122</f>
        <v>41634</v>
      </c>
      <c r="G123" t="str">
        <f>Lembar2!G122</f>
        <v>MUSTAKIM</v>
      </c>
      <c r="H123" t="str">
        <f>Lembar2!H122</f>
        <v>UMI MAGHFIROH</v>
      </c>
      <c r="I123" t="str">
        <f>VLOOKUP(B123,Lembar1!A$4:H$175,8,FALSE)</f>
        <v>BIO_Images/EBTAQ25-01.163.jpg</v>
      </c>
      <c r="J123" t="str">
        <f>Lembar2!C122</f>
        <v>DEMAK - SDIT AZZAHRA</v>
      </c>
    </row>
    <row r="124" spans="1:10" x14ac:dyDescent="0.25">
      <c r="A124">
        <v>349</v>
      </c>
      <c r="B124" t="str">
        <f>Lembar2!L123</f>
        <v>EBTAQ25-01.164</v>
      </c>
      <c r="C124" t="str">
        <f>Lembar2!D123</f>
        <v>Abdi Khusen Teguh Pratama</v>
      </c>
      <c r="D124" t="str">
        <f>Lembar2!I123</f>
        <v>Laki-laki</v>
      </c>
      <c r="E124" t="str">
        <f>Lembar2!E123</f>
        <v>Demak</v>
      </c>
      <c r="F124" s="21">
        <f>Lembar2!F123</f>
        <v>41619</v>
      </c>
      <c r="G124" t="str">
        <f>Lembar2!G123</f>
        <v>Yuliyono</v>
      </c>
      <c r="H124" t="str">
        <f>Lembar2!H123</f>
        <v>Nur Magfiroh</v>
      </c>
      <c r="I124" t="str">
        <f>VLOOKUP(B124,Lembar1!A$4:H$175,8,FALSE)</f>
        <v>BIO_Images/EBTAQ25-01.164.jpeg</v>
      </c>
      <c r="J124" t="str">
        <f>Lembar2!C123</f>
        <v>Demak - TPQ NURUL IMAN</v>
      </c>
    </row>
    <row r="125" spans="1:10" x14ac:dyDescent="0.25">
      <c r="A125">
        <v>350</v>
      </c>
      <c r="B125" t="str">
        <f>Lembar2!L124</f>
        <v>EBTAQ25-01.165</v>
      </c>
      <c r="C125" t="str">
        <f>Lembar2!D124</f>
        <v>ABDULLAH ARFA</v>
      </c>
      <c r="D125" t="str">
        <f>Lembar2!I124</f>
        <v>Laki-laki</v>
      </c>
      <c r="E125" t="str">
        <f>Lembar2!E124</f>
        <v>DEMAK</v>
      </c>
      <c r="F125" s="21">
        <f>Lembar2!F124</f>
        <v>41900</v>
      </c>
      <c r="G125" t="str">
        <f>Lembar2!G124</f>
        <v>M. Arif Effendi</v>
      </c>
      <c r="H125" t="str">
        <f>Lembar2!H124</f>
        <v>SRI UTAMI</v>
      </c>
      <c r="I125" t="str">
        <f>VLOOKUP(B125,Lembar1!A$4:H$175,8,FALSE)</f>
        <v>BIO_Images/EBTAQ25-01.165.jpeg</v>
      </c>
      <c r="J125" t="str">
        <f>Lembar2!C124</f>
        <v>Demak - SD NURUL HUDA</v>
      </c>
    </row>
    <row r="126" spans="1:10" x14ac:dyDescent="0.25">
      <c r="A126">
        <v>351</v>
      </c>
      <c r="B126" t="str">
        <f>Lembar2!L125</f>
        <v>EBTAQ25-03.120</v>
      </c>
      <c r="C126" t="str">
        <f>Lembar2!D125</f>
        <v>Muhammad fawwaz Abdul qodir</v>
      </c>
      <c r="D126" t="str">
        <f>Lembar2!I125</f>
        <v>Laki-laki</v>
      </c>
      <c r="E126" t="str">
        <f>Lembar2!E125</f>
        <v>Demak</v>
      </c>
      <c r="F126" s="21">
        <f>Lembar2!F125</f>
        <v>43194</v>
      </c>
      <c r="G126" t="str">
        <f>Lembar2!G125</f>
        <v>Muhammad haries suddin abdol rozaq</v>
      </c>
      <c r="H126" t="str">
        <f>Lembar2!H125</f>
        <v>Zulaikha nasuha</v>
      </c>
      <c r="I126" t="e">
        <f>VLOOKUP(B126,Lembar1!A$4:H$175,8,FALSE)</f>
        <v>#N/A</v>
      </c>
      <c r="J126" t="str">
        <f>Lembar2!C125</f>
        <v>Dewoka - Nuzulur Rohmah</v>
      </c>
    </row>
    <row r="127" spans="1:10" x14ac:dyDescent="0.25">
      <c r="A127">
        <v>352</v>
      </c>
      <c r="B127" t="str">
        <f>Lembar2!L126</f>
        <v>EBTAQ25-03.121</v>
      </c>
      <c r="C127" t="str">
        <f>Lembar2!D126</f>
        <v>Ali Ar Ridho</v>
      </c>
      <c r="D127" t="str">
        <f>Lembar2!I126</f>
        <v>Laki-laki</v>
      </c>
      <c r="E127" t="str">
        <f>Lembar2!E126</f>
        <v>Demak</v>
      </c>
      <c r="F127" s="21">
        <f>Lembar2!F126</f>
        <v>41884</v>
      </c>
      <c r="G127" t="str">
        <f>Lembar2!G126</f>
        <v>Slamet Bidin</v>
      </c>
      <c r="H127" t="str">
        <f>Lembar2!H126</f>
        <v>Hamidah</v>
      </c>
      <c r="I127" t="e">
        <f>VLOOKUP(B127,Lembar1!A$4:H$175,8,FALSE)</f>
        <v>#N/A</v>
      </c>
      <c r="J127" t="str">
        <f>Lembar2!C126</f>
        <v>Dewoka - Nuzulur Rohmah</v>
      </c>
    </row>
    <row r="128" spans="1:10" x14ac:dyDescent="0.25">
      <c r="A128">
        <v>353</v>
      </c>
      <c r="B128" t="str">
        <f>Lembar2!L127</f>
        <v>EBTAQ25-03.122</v>
      </c>
      <c r="C128" t="str">
        <f>Lembar2!D127</f>
        <v>Indri Nur Aini</v>
      </c>
      <c r="D128" t="str">
        <f>Lembar2!I127</f>
        <v>Perempuan</v>
      </c>
      <c r="E128" t="str">
        <f>Lembar2!E127</f>
        <v>Demak</v>
      </c>
      <c r="F128" s="21">
        <f>Lembar2!F127</f>
        <v>41789</v>
      </c>
      <c r="G128" t="str">
        <f>Lembar2!G127</f>
        <v>Sukemi</v>
      </c>
      <c r="H128" t="str">
        <f>Lembar2!H127</f>
        <v>Sri Astutik</v>
      </c>
      <c r="I128" t="e">
        <f>VLOOKUP(B128,Lembar1!A$4:H$175,8,FALSE)</f>
        <v>#N/A</v>
      </c>
      <c r="J128" t="str">
        <f>Lembar2!C127</f>
        <v>Dewoka - Nuzulur Rohmah</v>
      </c>
    </row>
    <row r="129" spans="1:10" x14ac:dyDescent="0.25">
      <c r="A129">
        <v>354</v>
      </c>
      <c r="B129" t="str">
        <f>Lembar2!L128</f>
        <v>EBTAQ25-01.166</v>
      </c>
      <c r="C129" t="str">
        <f>Lembar2!D128</f>
        <v>KEISHA ANGELIA BUNGA</v>
      </c>
      <c r="D129" t="str">
        <f>Lembar2!I128</f>
        <v>Perempuan</v>
      </c>
      <c r="E129" t="str">
        <f>Lembar2!E128</f>
        <v>JAKARTA</v>
      </c>
      <c r="F129" s="21">
        <f>Lembar2!F128</f>
        <v>42181</v>
      </c>
      <c r="G129" t="str">
        <f>Lembar2!G128</f>
        <v>BUNGA</v>
      </c>
      <c r="H129" t="str">
        <f>Lembar2!H128</f>
        <v>NUR HAYATI</v>
      </c>
      <c r="I129" t="str">
        <f>VLOOKUP(B129,Lembar1!A$4:H$175,8,FALSE)</f>
        <v>BIO_Images/EBTAQ25-01.166.jpg</v>
      </c>
      <c r="J129" t="str">
        <f>Lembar2!C128</f>
        <v>Demak - TPQ KH ALJAZERI</v>
      </c>
    </row>
    <row r="130" spans="1:10" x14ac:dyDescent="0.25">
      <c r="A130">
        <v>355</v>
      </c>
      <c r="B130" t="str">
        <f>Lembar2!L129</f>
        <v>EBTAQ25-03.013</v>
      </c>
      <c r="C130" t="str">
        <f>Lembar2!D129</f>
        <v>Siti khoiriyah safinatul aulia</v>
      </c>
      <c r="D130" t="str">
        <f>Lembar2!I129</f>
        <v>Perempuan</v>
      </c>
      <c r="E130" t="str">
        <f>Lembar2!E129</f>
        <v>Demak</v>
      </c>
      <c r="F130" s="21">
        <f>Lembar2!F129</f>
        <v>42404</v>
      </c>
      <c r="G130" t="str">
        <f>Lembar2!G129</f>
        <v>Syaichul Hadi</v>
      </c>
      <c r="H130" t="str">
        <f>Lembar2!H129</f>
        <v>Maftukhah</v>
      </c>
      <c r="I130" t="str">
        <f>VLOOKUP(B130,Lembar1!A$4:H$175,8,FALSE)</f>
        <v>BIO_Images/EBTAQ25-03.013.jpg</v>
      </c>
      <c r="J130" t="str">
        <f>Lembar2!C129</f>
        <v>BMW - Matholiul Falah</v>
      </c>
    </row>
    <row r="131" spans="1:10" x14ac:dyDescent="0.25">
      <c r="A131">
        <v>356</v>
      </c>
      <c r="B131" t="str">
        <f>Lembar2!L130</f>
        <v>EBTAQ25-01.167</v>
      </c>
      <c r="C131" t="str">
        <f>Lembar2!D130</f>
        <v>ISHMAH FARADISA</v>
      </c>
      <c r="D131" t="str">
        <f>Lembar2!I130</f>
        <v>Perempuan</v>
      </c>
      <c r="E131" t="str">
        <f>Lembar2!E130</f>
        <v>ROKAN HULU</v>
      </c>
      <c r="F131" s="21">
        <f>Lembar2!F130</f>
        <v>42703</v>
      </c>
      <c r="G131" t="str">
        <f>Lembar2!G130</f>
        <v>M. ULIL ABSHOR</v>
      </c>
      <c r="H131" t="str">
        <f>Lembar2!H130</f>
        <v>MUNAWAROH</v>
      </c>
      <c r="I131" t="str">
        <f>VLOOKUP(B131,Lembar1!A$4:H$175,8,FALSE)</f>
        <v>BIO_Images/EBTAQ25-01.167.jpg</v>
      </c>
      <c r="J131" t="str">
        <f>Lembar2!C130</f>
        <v>Demak - TPQ Nuzulur Rohmah</v>
      </c>
    </row>
    <row r="132" spans="1:10" x14ac:dyDescent="0.25">
      <c r="A132">
        <v>357</v>
      </c>
      <c r="B132" t="str">
        <f>Lembar2!L131</f>
        <v>EBTAQ25-01.168</v>
      </c>
      <c r="C132" t="str">
        <f>Lembar2!D131</f>
        <v>ALMA SURYANINGTYAS</v>
      </c>
      <c r="D132" t="str">
        <f>Lembar2!I131</f>
        <v>Perempuan</v>
      </c>
      <c r="E132" t="str">
        <f>Lembar2!E131</f>
        <v>DEMAK</v>
      </c>
      <c r="F132" s="21">
        <f>Lembar2!F131</f>
        <v>41599</v>
      </c>
      <c r="G132" t="str">
        <f>Lembar2!G131</f>
        <v>MUH NATSIR APRIYANTO</v>
      </c>
      <c r="H132" t="str">
        <f>Lembar2!H131</f>
        <v>ARIYAH</v>
      </c>
      <c r="I132" t="str">
        <f>VLOOKUP(B132,Lembar1!A$4:H$175,8,FALSE)</f>
        <v>BIO_Images/EBTAQ25-01.168.png</v>
      </c>
      <c r="J132" t="str">
        <f>Lembar2!C131</f>
        <v>Demak - TPQ KH ALJAZERI</v>
      </c>
    </row>
    <row r="133" spans="1:10" x14ac:dyDescent="0.25">
      <c r="A133">
        <v>358</v>
      </c>
      <c r="B133" t="str">
        <f>Lembar2!L132</f>
        <v>EBTAQ25-01.169</v>
      </c>
      <c r="C133" t="str">
        <f>Lembar2!D132</f>
        <v>KHOFIFATUS SYIFA</v>
      </c>
      <c r="D133" t="str">
        <f>Lembar2!I132</f>
        <v>Perempuan</v>
      </c>
      <c r="E133" t="str">
        <f>Lembar2!E132</f>
        <v>DEMAK</v>
      </c>
      <c r="F133" s="21">
        <f>Lembar2!F132</f>
        <v>42256</v>
      </c>
      <c r="G133" t="str">
        <f>Lembar2!G132</f>
        <v>MUHAMMAD CHOIRI</v>
      </c>
      <c r="H133" t="str">
        <f>Lembar2!H132</f>
        <v>SITI MUSYAIROH</v>
      </c>
      <c r="I133" t="str">
        <f>VLOOKUP(B133,Lembar1!A$4:H$175,8,FALSE)</f>
        <v>BIO_Images/EBTAQ25-01.169.png</v>
      </c>
      <c r="J133" t="str">
        <f>Lembar2!C132</f>
        <v>Demak - TPQ KH ALJAZERI</v>
      </c>
    </row>
    <row r="134" spans="1:10" x14ac:dyDescent="0.25">
      <c r="A134">
        <v>359</v>
      </c>
      <c r="B134" t="str">
        <f>Lembar2!L133</f>
        <v>EBTAQ25-01.170</v>
      </c>
      <c r="C134" t="str">
        <f>Lembar2!D133</f>
        <v>FAJRA NADA NADIFA</v>
      </c>
      <c r="D134" t="str">
        <f>Lembar2!I133</f>
        <v>Perempuan</v>
      </c>
      <c r="E134" t="str">
        <f>Lembar2!E133</f>
        <v>DEMAK</v>
      </c>
      <c r="F134" s="21">
        <f>Lembar2!F133</f>
        <v>41513</v>
      </c>
      <c r="G134" t="str">
        <f>Lembar2!G133</f>
        <v>ALI MAHFUD</v>
      </c>
      <c r="H134" t="str">
        <f>Lembar2!H133</f>
        <v>ZULFAH</v>
      </c>
      <c r="I134" t="str">
        <f>VLOOKUP(B134,Lembar1!A$4:H$175,8,FALSE)</f>
        <v>BIO_Images/EBTAQ25-01.170.jpg</v>
      </c>
      <c r="J134" t="str">
        <f>Lembar2!C133</f>
        <v>Karangga - Mubarokah</v>
      </c>
    </row>
    <row r="135" spans="1:10" x14ac:dyDescent="0.25">
      <c r="A135">
        <v>360</v>
      </c>
      <c r="B135" t="str">
        <f>Lembar2!L134</f>
        <v>EBTAQ25-03.123</v>
      </c>
      <c r="C135" t="str">
        <f>Lembar2!D134</f>
        <v>Na'ilatul izzah</v>
      </c>
      <c r="D135" t="str">
        <f>Lembar2!I134</f>
        <v>Perempuan</v>
      </c>
      <c r="E135" t="str">
        <f>Lembar2!E134</f>
        <v>Grobogan</v>
      </c>
      <c r="F135" s="21">
        <f>Lembar2!F134</f>
        <v>43922</v>
      </c>
      <c r="G135" t="str">
        <f>Lembar2!G134</f>
        <v>Muh Arwani</v>
      </c>
      <c r="H135" t="str">
        <f>Lembar2!H134</f>
        <v>Siti Mundakiroh</v>
      </c>
      <c r="I135" t="e">
        <f>VLOOKUP(B135,Lembar1!A$4:H$175,8,FALSE)</f>
        <v>#N/A</v>
      </c>
      <c r="J135" t="str">
        <f>Lembar2!C134</f>
        <v>Dewoka - Roudlotul Muta'allimin</v>
      </c>
    </row>
    <row r="136" spans="1:10" x14ac:dyDescent="0.25">
      <c r="A136">
        <v>361</v>
      </c>
      <c r="B136" t="str">
        <f>Lembar2!L135</f>
        <v>EBTAQ25-04.003</v>
      </c>
      <c r="C136" t="str">
        <f>Lembar2!D135</f>
        <v>AHMAD ALIN ATTAMAMI</v>
      </c>
      <c r="D136" t="str">
        <f>Lembar2!I135</f>
        <v>Laki-laki</v>
      </c>
      <c r="E136" t="str">
        <f>Lembar2!E135</f>
        <v>DEMAK</v>
      </c>
      <c r="F136" s="21">
        <f>Lembar2!F135</f>
        <v>41621</v>
      </c>
      <c r="G136" t="str">
        <f>Lembar2!G135</f>
        <v>MAHMUD</v>
      </c>
      <c r="H136" t="str">
        <f>Lembar2!H135</f>
        <v>EKO PRIYANTI</v>
      </c>
      <c r="I136" t="e">
        <f>VLOOKUP(B136,Lembar1!A$4:H$175,8,FALSE)</f>
        <v>#N/A</v>
      </c>
      <c r="J136" t="str">
        <f>Lembar2!C135</f>
        <v>Karangga - Al Hikmah</v>
      </c>
    </row>
    <row r="137" spans="1:10" x14ac:dyDescent="0.25">
      <c r="A137">
        <v>362</v>
      </c>
      <c r="B137" t="str">
        <f>Lembar2!L136</f>
        <v>EBTAQ25-05.032</v>
      </c>
      <c r="C137" t="str">
        <f>Lembar2!D136</f>
        <v>Nazira leviasari</v>
      </c>
      <c r="D137" t="str">
        <f>Lembar2!I136</f>
        <v>Perempuan</v>
      </c>
      <c r="E137" t="str">
        <f>Lembar2!E136</f>
        <v>Semarang</v>
      </c>
      <c r="F137" s="21">
        <f>Lembar2!F136</f>
        <v>42531</v>
      </c>
      <c r="G137" t="str">
        <f>Lembar2!G136</f>
        <v>Ruslani</v>
      </c>
      <c r="H137" t="str">
        <f>Lembar2!H136</f>
        <v>Nasiroh</v>
      </c>
      <c r="I137" t="e">
        <f>VLOOKUP(B137,Lembar1!A$4:H$175,8,FALSE)</f>
        <v>#N/A</v>
      </c>
      <c r="J137" t="str">
        <f>Lembar2!C136</f>
        <v>Karbon - TPQ Qurrotul 'Ain</v>
      </c>
    </row>
    <row r="138" spans="1:10" x14ac:dyDescent="0.25">
      <c r="A138">
        <v>363</v>
      </c>
      <c r="B138" t="str">
        <f>Lembar2!L137</f>
        <v>EBTAQ25-03.124</v>
      </c>
      <c r="C138" t="str">
        <f>Lembar2!D137</f>
        <v>Roisatut Dzawin Najah</v>
      </c>
      <c r="D138" t="str">
        <f>Lembar2!I137</f>
        <v>Perempuan</v>
      </c>
      <c r="E138" t="str">
        <f>Lembar2!E137</f>
        <v>Pati</v>
      </c>
      <c r="F138" s="21">
        <f>Lembar2!F137</f>
        <v>42269</v>
      </c>
      <c r="G138" t="str">
        <f>Lembar2!G137</f>
        <v>Mohammad Shodiqin</v>
      </c>
      <c r="H138" t="str">
        <f>Lembar2!H137</f>
        <v>Siti Aminah</v>
      </c>
      <c r="I138" t="e">
        <f>VLOOKUP(B138,Lembar1!A$4:H$175,8,FALSE)</f>
        <v>#N/A</v>
      </c>
      <c r="J138" t="str">
        <f>Lembar2!C137</f>
        <v>Dewoka - Nuzulur Rohmah</v>
      </c>
    </row>
    <row r="139" spans="1:10" x14ac:dyDescent="0.25">
      <c r="A139">
        <v>364</v>
      </c>
      <c r="B139" t="str">
        <f>Lembar2!L138</f>
        <v>EBTAQ25-03.014</v>
      </c>
      <c r="C139" t="str">
        <f>Lembar2!D138</f>
        <v>SANIA INDANA ZULFA</v>
      </c>
      <c r="D139" t="str">
        <f>Lembar2!I138</f>
        <v>Perempuan</v>
      </c>
      <c r="E139" t="str">
        <f>Lembar2!E138</f>
        <v>DEMAK</v>
      </c>
      <c r="F139" s="21">
        <f>Lembar2!F138</f>
        <v>41600</v>
      </c>
      <c r="G139" t="str">
        <f>Lembar2!G138</f>
        <v>MUHSON</v>
      </c>
      <c r="H139" t="str">
        <f>Lembar2!H138</f>
        <v>ISTIKOMAH</v>
      </c>
      <c r="I139" t="str">
        <f>VLOOKUP(B139,Lembar1!A$4:H$175,8,FALSE)</f>
        <v>BIO_Images/EBTAQ25-03.014.jpg</v>
      </c>
      <c r="J139" t="str">
        <f>Lembar2!C138</f>
        <v>BMW - Matholiul Falah</v>
      </c>
    </row>
    <row r="140" spans="1:10" x14ac:dyDescent="0.25">
      <c r="A140">
        <v>365</v>
      </c>
      <c r="B140" t="str">
        <f>Lembar2!L139</f>
        <v>EBTAQ25-01.171</v>
      </c>
      <c r="C140" t="str">
        <f>Lembar2!D139</f>
        <v>Muhammad Sultan Al Fatih</v>
      </c>
      <c r="D140" t="str">
        <f>Lembar2!I139</f>
        <v>Laki-laki</v>
      </c>
      <c r="E140" t="str">
        <f>Lembar2!E139</f>
        <v>Demak</v>
      </c>
      <c r="F140" s="21">
        <f>Lembar2!F139</f>
        <v>41779</v>
      </c>
      <c r="G140" t="str">
        <f>Lembar2!G139</f>
        <v>Sofi Luthfi</v>
      </c>
      <c r="H140" t="str">
        <f>Lembar2!H139</f>
        <v>Evi Khosiatul Kholisoh</v>
      </c>
      <c r="I140" t="str">
        <f>VLOOKUP(B140,Lembar1!A$4:H$175,8,FALSE)</f>
        <v>BIO_Images/EBTAQ25-01.171.jpg</v>
      </c>
      <c r="J140" t="str">
        <f>Lembar2!C139</f>
        <v>Karangga - Al Hikmah</v>
      </c>
    </row>
    <row r="141" spans="1:10" x14ac:dyDescent="0.25">
      <c r="A141">
        <v>366</v>
      </c>
      <c r="B141" t="str">
        <f>Lembar2!L140</f>
        <v>EBTAQ25-01.172</v>
      </c>
      <c r="C141" t="str">
        <f>Lembar2!D140</f>
        <v>Myiesha Aquina</v>
      </c>
      <c r="D141" t="str">
        <f>Lembar2!I140</f>
        <v>Perempuan</v>
      </c>
      <c r="E141" t="str">
        <f>Lembar2!E140</f>
        <v>Demak</v>
      </c>
      <c r="F141" s="21">
        <f>Lembar2!F140</f>
        <v>42134</v>
      </c>
      <c r="G141" t="str">
        <f>Lembar2!G140</f>
        <v>Cholil</v>
      </c>
      <c r="H141" t="str">
        <f>Lembar2!H140</f>
        <v>Muryani</v>
      </c>
      <c r="I141" t="str">
        <f>VLOOKUP(B141,Lembar1!A$4:H$175,8,FALSE)</f>
        <v>BIO_Images/EBTAQ25-01.172.jpeg</v>
      </c>
      <c r="J141" t="str">
        <f>Lembar2!C140</f>
        <v>Demak - TPQ ITSBATU TAQWA</v>
      </c>
    </row>
    <row r="142" spans="1:10" x14ac:dyDescent="0.25">
      <c r="A142">
        <v>367</v>
      </c>
      <c r="B142" t="str">
        <f>Lembar2!L141</f>
        <v>EBTAQ25-01.173</v>
      </c>
      <c r="C142" t="str">
        <f>Lembar2!D141</f>
        <v>Faza Husni Mubarok</v>
      </c>
      <c r="D142" t="str">
        <f>Lembar2!I141</f>
        <v>Laki-laki</v>
      </c>
      <c r="E142" t="str">
        <f>Lembar2!E141</f>
        <v>Demak</v>
      </c>
      <c r="F142" s="21">
        <f>Lembar2!F141</f>
        <v>41917</v>
      </c>
      <c r="G142" t="str">
        <f>Lembar2!G141</f>
        <v>Kusmanto</v>
      </c>
      <c r="H142" t="str">
        <f>Lembar2!H141</f>
        <v>Suasmiati</v>
      </c>
      <c r="I142" t="str">
        <f>VLOOKUP(B142,Lembar1!A$4:H$175,8,FALSE)</f>
        <v>BIO_Images/EBTAQ25-01.173.jpeg</v>
      </c>
      <c r="J142" t="str">
        <f>Lembar2!C141</f>
        <v>Demak - TPQ ITSBATU TAQWA</v>
      </c>
    </row>
    <row r="143" spans="1:10" x14ac:dyDescent="0.25">
      <c r="A143">
        <v>368</v>
      </c>
      <c r="B143" t="str">
        <f>Lembar2!L142</f>
        <v>EBTAQ25-04.004</v>
      </c>
      <c r="C143" t="str">
        <f>Lembar2!D142</f>
        <v>Marsya Adelia Qisya</v>
      </c>
      <c r="D143" t="str">
        <f>Lembar2!I142</f>
        <v>Perempuan</v>
      </c>
      <c r="E143" t="str">
        <f>Lembar2!E142</f>
        <v>Demak</v>
      </c>
      <c r="F143" s="21">
        <f>Lembar2!F142</f>
        <v>41653</v>
      </c>
      <c r="G143" t="str">
        <f>Lembar2!G142</f>
        <v>Busono</v>
      </c>
      <c r="H143" t="str">
        <f>Lembar2!H142</f>
        <v>Siti Sofiatun</v>
      </c>
      <c r="I143" t="e">
        <f>VLOOKUP(B143,Lembar1!A$4:H$175,8,FALSE)</f>
        <v>#N/A</v>
      </c>
      <c r="J143" t="str">
        <f>Lembar2!C142</f>
        <v>Karangga - Miftahul Ulum</v>
      </c>
    </row>
    <row r="144" spans="1:10" x14ac:dyDescent="0.25">
      <c r="A144">
        <v>369</v>
      </c>
      <c r="B144" t="str">
        <f>Lembar2!L143</f>
        <v>EBTAQ25-01.174</v>
      </c>
      <c r="C144" t="str">
        <f>Lembar2!D143</f>
        <v>MUHAMMAD IRHAM DAIMUL HUSNA</v>
      </c>
      <c r="D144" t="str">
        <f>Lembar2!I143</f>
        <v>Laki-laki</v>
      </c>
      <c r="E144" t="str">
        <f>Lembar2!E143</f>
        <v>KUDUS</v>
      </c>
      <c r="F144" s="21">
        <f>Lembar2!F143</f>
        <v>41407</v>
      </c>
      <c r="G144" t="str">
        <f>Lembar2!G143</f>
        <v>TRI JARWANTO</v>
      </c>
      <c r="H144" t="str">
        <f>Lembar2!H143</f>
        <v>ERMA DAMAYANTI</v>
      </c>
      <c r="I144" t="str">
        <f>VLOOKUP(B144,Lembar1!A$4:H$175,8,FALSE)</f>
        <v>BIO_Images/EBTAQ25-01.174.jpg</v>
      </c>
      <c r="J144" t="str">
        <f>Lembar2!C143</f>
        <v>DEMAK - SDIT AZZAHRA</v>
      </c>
    </row>
    <row r="145" spans="1:10" x14ac:dyDescent="0.25">
      <c r="A145">
        <v>370</v>
      </c>
      <c r="B145" t="str">
        <f>Lembar2!L144</f>
        <v>EBTAQ25-01.175</v>
      </c>
      <c r="C145" t="str">
        <f>Lembar2!D144</f>
        <v>MUHAMMAD ABYAN PRATAMA</v>
      </c>
      <c r="D145" t="str">
        <f>Lembar2!I144</f>
        <v>Laki-laki</v>
      </c>
      <c r="E145" t="str">
        <f>Lembar2!E144</f>
        <v>Demak</v>
      </c>
      <c r="F145" s="21">
        <f>Lembar2!F144</f>
        <v>41708</v>
      </c>
      <c r="G145" t="str">
        <f>Lembar2!G144</f>
        <v>Edhi Handayanto</v>
      </c>
      <c r="H145" t="str">
        <f>Lembar2!H144</f>
        <v>Indah Wahyuningsih</v>
      </c>
      <c r="I145" t="str">
        <f>VLOOKUP(B145,Lembar1!A$4:H$175,8,FALSE)</f>
        <v>BIO_Images/EBTAQ25-01.175.jpg</v>
      </c>
      <c r="J145" t="str">
        <f>Lembar2!C144</f>
        <v>Demak - TPQ ITSBATU TAQWA</v>
      </c>
    </row>
    <row r="146" spans="1:10" x14ac:dyDescent="0.25">
      <c r="A146">
        <v>371</v>
      </c>
      <c r="B146" t="str">
        <f>Lembar2!L145</f>
        <v>EBTAQ25-01.176</v>
      </c>
      <c r="C146" t="str">
        <f>Lembar2!D145</f>
        <v>Rihma maharani</v>
      </c>
      <c r="D146" t="str">
        <f>Lembar2!I145</f>
        <v>Perempuan</v>
      </c>
      <c r="E146" t="str">
        <f>Lembar2!E145</f>
        <v>Kudus</v>
      </c>
      <c r="F146" s="21">
        <f>Lembar2!F145</f>
        <v>42541</v>
      </c>
      <c r="G146" t="str">
        <f>Lembar2!G145</f>
        <v>Ahmad kholis</v>
      </c>
      <c r="H146" t="str">
        <f>Lembar2!H145</f>
        <v>Prahyuningrum</v>
      </c>
      <c r="I146" t="str">
        <f>VLOOKUP(B146,Lembar1!A$4:H$175,8,FALSE)</f>
        <v>BIO_Images/EBTAQ25-01.176.jpg</v>
      </c>
      <c r="J146" t="str">
        <f>Lembar2!C145</f>
        <v>Karangga - Miftahul Ulum</v>
      </c>
    </row>
    <row r="147" spans="1:10" x14ac:dyDescent="0.25">
      <c r="A147">
        <v>372</v>
      </c>
      <c r="B147" t="str">
        <f>Lembar2!L146</f>
        <v>EBTAQ25-01.177</v>
      </c>
      <c r="C147" t="str">
        <f>Lembar2!D146</f>
        <v>MIRZA SYARIF ASSAJID</v>
      </c>
      <c r="D147" t="str">
        <f>Lembar2!I146</f>
        <v>Laki-laki</v>
      </c>
      <c r="E147" t="str">
        <f>Lembar2!E146</f>
        <v>SEMARANG</v>
      </c>
      <c r="F147" s="21">
        <f>Lembar2!F146</f>
        <v>41841</v>
      </c>
      <c r="G147" t="str">
        <f>Lembar2!G146</f>
        <v>PARMONO</v>
      </c>
      <c r="H147" t="str">
        <f>Lembar2!H146</f>
        <v>RIF'AH</v>
      </c>
      <c r="I147" t="str">
        <f>VLOOKUP(B147,Lembar1!A$4:H$175,8,FALSE)</f>
        <v>BIO_Images/EBTAQ25-01.177.jpg</v>
      </c>
      <c r="J147" t="str">
        <f>Lembar2!C146</f>
        <v>DEMAK - SDIT AZZAHRA</v>
      </c>
    </row>
    <row r="148" spans="1:10" x14ac:dyDescent="0.25">
      <c r="A148">
        <v>373</v>
      </c>
      <c r="B148" t="str">
        <f>Lembar2!L147</f>
        <v>EBTAQ25-01.178</v>
      </c>
      <c r="C148" t="str">
        <f>Lembar2!D147</f>
        <v>MUHAMMAD FARZANA ECNA ALFATTAH</v>
      </c>
      <c r="D148" t="str">
        <f>Lembar2!I147</f>
        <v>Laki-laki</v>
      </c>
      <c r="E148" t="str">
        <f>Lembar2!E147</f>
        <v>Demak</v>
      </c>
      <c r="F148" s="21">
        <f>Lembar2!F147</f>
        <v>41762</v>
      </c>
      <c r="G148" t="str">
        <f>Lembar2!G147</f>
        <v>Eko budi cahyono</v>
      </c>
      <c r="H148" t="str">
        <f>Lembar2!H147</f>
        <v>Lucyana dwi puspitaningrum</v>
      </c>
      <c r="I148" t="str">
        <f>VLOOKUP(B148,Lembar1!A$4:H$175,8,FALSE)</f>
        <v>BIO_Images/EBTAQ25-01.178.jpg</v>
      </c>
      <c r="J148" t="str">
        <f>Lembar2!C147</f>
        <v>DEMAK - SDIT AZZAHRA</v>
      </c>
    </row>
    <row r="149" spans="1:10" x14ac:dyDescent="0.25">
      <c r="A149">
        <v>374</v>
      </c>
      <c r="B149" t="str">
        <f>Lembar2!L148</f>
        <v>EBTAQ25-03.015</v>
      </c>
      <c r="C149" t="str">
        <f>Lembar2!D148</f>
        <v>afifa fitiya</v>
      </c>
      <c r="D149" t="str">
        <f>Lembar2!I148</f>
        <v>Perempuan</v>
      </c>
      <c r="E149" t="str">
        <f>Lembar2!E148</f>
        <v>demak</v>
      </c>
      <c r="F149" s="21">
        <f>Lembar2!F148</f>
        <v>41460</v>
      </c>
      <c r="G149" t="str">
        <f>Lembar2!G148</f>
        <v>Arif Wibowo</v>
      </c>
      <c r="H149" t="str">
        <f>Lembar2!H148</f>
        <v>siti zulaekhah</v>
      </c>
      <c r="I149" t="str">
        <f>VLOOKUP(B149,Lembar1!A$4:H$175,8,FALSE)</f>
        <v>BIO_Images/EBTAQ25-03.015.jpg</v>
      </c>
      <c r="J149" t="str">
        <f>Lembar2!C148</f>
        <v>BMW - Matholiul Falah</v>
      </c>
    </row>
    <row r="150" spans="1:10" x14ac:dyDescent="0.25">
      <c r="A150">
        <v>375</v>
      </c>
      <c r="B150" t="str">
        <f>Lembar2!L149</f>
        <v>EBTAQ25-01.179</v>
      </c>
      <c r="C150" t="str">
        <f>Lembar2!D149</f>
        <v>HAMZI PRADIPTA</v>
      </c>
      <c r="D150" t="str">
        <f>Lembar2!I149</f>
        <v>Laki-laki</v>
      </c>
      <c r="E150" t="str">
        <f>Lembar2!E149</f>
        <v>DEMAK</v>
      </c>
      <c r="F150" s="21">
        <f>Lembar2!F149</f>
        <v>42087</v>
      </c>
      <c r="G150" t="str">
        <f>Lembar2!G149</f>
        <v>BAYU NUR PAMBUDI</v>
      </c>
      <c r="H150" t="str">
        <f>Lembar2!H149</f>
        <v>TRI WULAN PRASTIWI</v>
      </c>
      <c r="I150" t="str">
        <f>VLOOKUP(B150,Lembar1!A$4:H$175,8,FALSE)</f>
        <v>BIO_Images/EBTAQ25-01.179.jpg</v>
      </c>
      <c r="J150" t="str">
        <f>Lembar2!C149</f>
        <v>DEMAK - SDIT AZZAHRA</v>
      </c>
    </row>
    <row r="151" spans="1:10" x14ac:dyDescent="0.25">
      <c r="A151">
        <v>376</v>
      </c>
      <c r="B151" t="str">
        <f>Lembar2!L150</f>
        <v>EBTAQ25-01.180</v>
      </c>
      <c r="C151" t="str">
        <f>Lembar2!D150</f>
        <v>ANINDITA FARADILLA ZALFA</v>
      </c>
      <c r="D151" t="str">
        <f>Lembar2!I150</f>
        <v>Perempuan</v>
      </c>
      <c r="E151" t="str">
        <f>Lembar2!E150</f>
        <v>SEMARANG</v>
      </c>
      <c r="F151" s="21">
        <f>Lembar2!F150</f>
        <v>41871</v>
      </c>
      <c r="G151" t="str">
        <f>Lembar2!G150</f>
        <v>RIZA ZAENUDDIN</v>
      </c>
      <c r="H151" t="str">
        <f>Lembar2!H150</f>
        <v>TITIK MUSTAQFIROH</v>
      </c>
      <c r="I151" t="str">
        <f>VLOOKUP(B151,Lembar1!A$4:H$175,8,FALSE)</f>
        <v>BIO_Images/EBTAQ25-01.180.jpg</v>
      </c>
      <c r="J151" t="str">
        <f>Lembar2!C150</f>
        <v>DEMAK - SDIT AZZAHRA</v>
      </c>
    </row>
    <row r="152" spans="1:10" x14ac:dyDescent="0.25">
      <c r="A152">
        <v>377</v>
      </c>
      <c r="B152" t="str">
        <f>Lembar2!L151</f>
        <v>EBTAQ25-01.181</v>
      </c>
      <c r="C152" t="str">
        <f>Lembar2!D151</f>
        <v>ARJUNA KHAIRY WICAKSONO</v>
      </c>
      <c r="D152" t="str">
        <f>Lembar2!I151</f>
        <v>Laki-laki</v>
      </c>
      <c r="E152" t="str">
        <f>Lembar2!E151</f>
        <v>DEMAK</v>
      </c>
      <c r="F152" s="21">
        <f>Lembar2!F151</f>
        <v>41895</v>
      </c>
      <c r="G152" t="str">
        <f>Lembar2!G151</f>
        <v>GANJAR AGUNG WICAKSONO</v>
      </c>
      <c r="H152" t="str">
        <f>Lembar2!H151</f>
        <v>VERA TRI YUIANTI</v>
      </c>
      <c r="I152" t="str">
        <f>VLOOKUP(B152,Lembar1!A$4:H$175,8,FALSE)</f>
        <v>BIO_Images/EBTAQ25-01.181.jpg</v>
      </c>
      <c r="J152" t="str">
        <f>Lembar2!C151</f>
        <v>DEMAK - SDIT AZZAHRA</v>
      </c>
    </row>
    <row r="153" spans="1:10" x14ac:dyDescent="0.25">
      <c r="A153">
        <v>378</v>
      </c>
      <c r="B153" t="str">
        <f>Lembar2!L152</f>
        <v>EBTAQ25-03.016</v>
      </c>
      <c r="C153" t="str">
        <f>Lembar2!D152</f>
        <v>SANIA INDANA ZULFA</v>
      </c>
      <c r="D153" t="str">
        <f>Lembar2!I152</f>
        <v>Perempuan</v>
      </c>
      <c r="E153" t="str">
        <f>Lembar2!E152</f>
        <v>Demak</v>
      </c>
      <c r="F153" s="21">
        <f>Lembar2!F152</f>
        <v>41600</v>
      </c>
      <c r="G153" t="str">
        <f>Lembar2!G152</f>
        <v>MUHSON</v>
      </c>
      <c r="H153" t="str">
        <f>Lembar2!H152</f>
        <v>ISTIQOMAH</v>
      </c>
      <c r="I153" t="str">
        <f>VLOOKUP(B153,Lembar1!A$4:H$175,8,FALSE)</f>
        <v>BIO_Images/EBTAQ25-03.016.jpg</v>
      </c>
      <c r="J153" t="str">
        <f>Lembar2!C152</f>
        <v>BMW - Matholiul Falah</v>
      </c>
    </row>
    <row r="154" spans="1:10" x14ac:dyDescent="0.25">
      <c r="A154">
        <v>379</v>
      </c>
      <c r="B154" t="str">
        <f>Lembar2!L153</f>
        <v>EBTAQ25-01.182</v>
      </c>
      <c r="C154" t="str">
        <f>Lembar2!D153</f>
        <v>HASNA ARSYILA FATIMA</v>
      </c>
      <c r="D154" t="str">
        <f>Lembar2!I153</f>
        <v>Perempuan</v>
      </c>
      <c r="E154" t="str">
        <f>Lembar2!E153</f>
        <v>DEMAK</v>
      </c>
      <c r="F154" s="21">
        <f>Lembar2!F153</f>
        <v>43177</v>
      </c>
      <c r="G154" t="str">
        <f>Lembar2!G153</f>
        <v>RACHMAD FAYSHAL</v>
      </c>
      <c r="H154" t="str">
        <f>Lembar2!H153</f>
        <v>NUR LAILATUL JANNAH</v>
      </c>
      <c r="I154" t="str">
        <f>VLOOKUP(B154,Lembar1!A$4:H$175,8,FALSE)</f>
        <v>BIO_Images/EBTAQ25-01.182.jpg</v>
      </c>
      <c r="J154" t="str">
        <f>Lembar2!C153</f>
        <v>Demak - SD BUQ BET.DEMAK</v>
      </c>
    </row>
    <row r="155" spans="1:10" x14ac:dyDescent="0.25">
      <c r="A155">
        <v>380</v>
      </c>
      <c r="B155" t="str">
        <f>Lembar2!L154</f>
        <v>EBTAQ25-01.183</v>
      </c>
      <c r="C155" t="str">
        <f>Lembar2!D154</f>
        <v>ABIYAN ALKHALIFI ZUHDI</v>
      </c>
      <c r="D155" t="str">
        <f>Lembar2!I154</f>
        <v>Laki-laki</v>
      </c>
      <c r="E155" t="str">
        <f>Lembar2!E154</f>
        <v>Bogor</v>
      </c>
      <c r="F155" s="21">
        <f>Lembar2!F154</f>
        <v>41574</v>
      </c>
      <c r="G155" t="str">
        <f>Lembar2!G154</f>
        <v>ANTON KUSWARA</v>
      </c>
      <c r="H155" t="str">
        <f>Lembar2!H154</f>
        <v>TITI ISMU</v>
      </c>
      <c r="I155" t="str">
        <f>VLOOKUP(B155,Lembar1!A$4:H$175,8,FALSE)</f>
        <v>BIO_Images/EBTAQ25-01.183.jpg</v>
      </c>
      <c r="J155" t="str">
        <f>Lembar2!C154</f>
        <v>DEMAK - SDIT AZZAHRA</v>
      </c>
    </row>
    <row r="156" spans="1:10" x14ac:dyDescent="0.25">
      <c r="A156">
        <v>381</v>
      </c>
      <c r="B156" t="str">
        <f>Lembar2!L155</f>
        <v>EBTAQ25-01.184</v>
      </c>
      <c r="C156" t="str">
        <f>Lembar2!D155</f>
        <v>SEKAR AYU NAYLA</v>
      </c>
      <c r="D156" t="str">
        <f>Lembar2!I155</f>
        <v>Perempuan</v>
      </c>
      <c r="E156" t="str">
        <f>Lembar2!E155</f>
        <v>Demak</v>
      </c>
      <c r="F156" s="21">
        <f>Lembar2!F155</f>
        <v>42141</v>
      </c>
      <c r="G156" t="str">
        <f>Lembar2!G155</f>
        <v>JOKO SUBIYANTO</v>
      </c>
      <c r="H156" t="str">
        <f>Lembar2!H155</f>
        <v>NI'MATUS SA'ADAH</v>
      </c>
      <c r="I156" t="str">
        <f>VLOOKUP(B156,Lembar1!A$4:H$175,8,FALSE)</f>
        <v>BIO_Images/EBTAQ25-01.184.jpg</v>
      </c>
      <c r="J156" t="str">
        <f>Lembar2!C155</f>
        <v>DEMAK - SDIT AZZAHRA</v>
      </c>
    </row>
    <row r="157" spans="1:10" x14ac:dyDescent="0.25">
      <c r="A157">
        <v>382</v>
      </c>
      <c r="B157" t="str">
        <f>Lembar2!L156</f>
        <v>EBTAQ25-04.006</v>
      </c>
      <c r="C157" t="str">
        <f>Lembar2!D156</f>
        <v>AHMAD SHIDIQ AL KARIM</v>
      </c>
      <c r="D157" t="str">
        <f>Lembar2!I156</f>
        <v>Laki-laki</v>
      </c>
      <c r="E157" t="str">
        <f>Lembar2!E156</f>
        <v>SURODADI GAJAH DEMAK</v>
      </c>
      <c r="F157" s="21">
        <f>Lembar2!F156</f>
        <v>45722</v>
      </c>
      <c r="G157" t="str">
        <f>Lembar2!G156</f>
        <v>ABDUL KARIM</v>
      </c>
      <c r="H157" t="str">
        <f>Lembar2!H156</f>
        <v>SITI SYARIAH</v>
      </c>
      <c r="I157" t="e">
        <f>VLOOKUP(B157,Lembar1!A$4:H$175,8,FALSE)</f>
        <v>#N/A</v>
      </c>
      <c r="J157" t="str">
        <f>Lembar2!C156</f>
        <v>Karangga - Al Hikmah</v>
      </c>
    </row>
    <row r="158" spans="1:10" x14ac:dyDescent="0.25">
      <c r="A158">
        <v>383</v>
      </c>
      <c r="B158" t="str">
        <f>Lembar2!L157</f>
        <v>EBTAQ25-01.185</v>
      </c>
      <c r="C158" t="str">
        <f>Lembar2!D157</f>
        <v>Aqila Misha Shafana</v>
      </c>
      <c r="D158" t="str">
        <f>Lembar2!I157</f>
        <v>Perempuan</v>
      </c>
      <c r="E158" t="str">
        <f>Lembar2!E157</f>
        <v>Demak</v>
      </c>
      <c r="F158" s="21">
        <f>Lembar2!F157</f>
        <v>42621</v>
      </c>
      <c r="G158" t="str">
        <f>Lembar2!G157</f>
        <v>Slamet Rochim</v>
      </c>
      <c r="H158" t="str">
        <f>Lembar2!H157</f>
        <v>Siti Rodhiyah</v>
      </c>
      <c r="I158" t="str">
        <f>VLOOKUP(B158,Lembar1!A$4:H$175,8,FALSE)</f>
        <v>BIO_Images/EBTAQ25-01.185.png</v>
      </c>
      <c r="J158" t="str">
        <f>Lembar2!C157</f>
        <v>Demak - TPQ AL IMAN (KALIKONDANG)</v>
      </c>
    </row>
    <row r="159" spans="1:10" x14ac:dyDescent="0.25">
      <c r="A159">
        <v>384</v>
      </c>
      <c r="B159" t="str">
        <f>Lembar2!L158</f>
        <v>EBTAQ25-01.186</v>
      </c>
      <c r="C159" t="str">
        <f>Lembar2!D158</f>
        <v>Talitha Meisya Ardiningrum</v>
      </c>
      <c r="D159" t="str">
        <f>Lembar2!I158</f>
        <v>Perempuan</v>
      </c>
      <c r="E159" t="str">
        <f>Lembar2!E158</f>
        <v>Demak</v>
      </c>
      <c r="F159" s="21">
        <f>Lembar2!F158</f>
        <v>42412</v>
      </c>
      <c r="G159" t="str">
        <f>Lembar2!G158</f>
        <v>Eko Nugroho Apriyanto</v>
      </c>
      <c r="H159" t="str">
        <f>Lembar2!H158</f>
        <v>Dewi Puspito Sari</v>
      </c>
      <c r="I159" t="str">
        <f>VLOOKUP(B159,Lembar1!A$4:H$175,8,FALSE)</f>
        <v>BIO_Images/EBTAQ25-01.186.jpg</v>
      </c>
      <c r="J159" t="str">
        <f>Lembar2!C158</f>
        <v>Demak - TPQ AL IMAN (KALIKONDANG)</v>
      </c>
    </row>
    <row r="160" spans="1:10" x14ac:dyDescent="0.25">
      <c r="A160">
        <v>385</v>
      </c>
      <c r="B160" t="str">
        <f>Lembar2!L159</f>
        <v>EBTAQ25-01.188</v>
      </c>
      <c r="C160" t="str">
        <f>Lembar2!D159</f>
        <v>Ayunindya Rahmatin Azzahra</v>
      </c>
      <c r="D160" t="str">
        <f>Lembar2!I159</f>
        <v>Perempuan</v>
      </c>
      <c r="E160" t="str">
        <f>Lembar2!E159</f>
        <v>Demak</v>
      </c>
      <c r="F160" s="21">
        <f>Lembar2!F159</f>
        <v>42543</v>
      </c>
      <c r="G160" t="str">
        <f>Lembar2!G159</f>
        <v>Khoirul Miftah</v>
      </c>
      <c r="H160" t="str">
        <f>Lembar2!H159</f>
        <v>Rikha Desy Ristiyani</v>
      </c>
      <c r="I160" t="str">
        <f>VLOOKUP(B160,Lembar1!A$4:H$175,8,FALSE)</f>
        <v>BIO_Images/EBTAQ25-01.188.jpg</v>
      </c>
      <c r="J160" t="str">
        <f>Lembar2!C159</f>
        <v>Demak - TPQ AL IMAN (KALIKONDANG)</v>
      </c>
    </row>
    <row r="161" spans="1:10" x14ac:dyDescent="0.25">
      <c r="A161">
        <v>386</v>
      </c>
      <c r="B161" t="str">
        <f>Lembar2!L160</f>
        <v>EBTAQ25-01.331</v>
      </c>
      <c r="C161" t="str">
        <f>Lembar2!D160</f>
        <v>RASENDRIYA RAKHA WIRAWAN</v>
      </c>
      <c r="D161" t="str">
        <f>Lembar2!I160</f>
        <v>Laki-laki</v>
      </c>
      <c r="E161" t="str">
        <f>Lembar2!E160</f>
        <v>DEMAk</v>
      </c>
      <c r="F161" s="21">
        <f>Lembar2!F160</f>
        <v>40834</v>
      </c>
      <c r="G161" t="str">
        <f>Lembar2!G160</f>
        <v>FHITHA DHORIEZ</v>
      </c>
      <c r="H161" t="str">
        <f>Lembar2!H160</f>
        <v>SRI JATMIKO SARI</v>
      </c>
      <c r="I161" t="e">
        <f>VLOOKUP(B161,Lembar1!A$4:H$175,8,FALSE)</f>
        <v>#N/A</v>
      </c>
      <c r="J161" t="str">
        <f>Lembar2!C160</f>
        <v>Demak - TPQ AL IMAN (KALIKONDANG)</v>
      </c>
    </row>
    <row r="162" spans="1:10" x14ac:dyDescent="0.25">
      <c r="A162">
        <v>387</v>
      </c>
      <c r="B162" t="str">
        <f>Lembar2!L161</f>
        <v>EBTAQ25-03.125</v>
      </c>
      <c r="C162" t="str">
        <f>Lembar2!D161</f>
        <v>Nafisa Putri Aruna</v>
      </c>
      <c r="D162" t="str">
        <f>Lembar2!I161</f>
        <v>Perempuan</v>
      </c>
      <c r="E162" t="str">
        <f>Lembar2!E161</f>
        <v>Demak</v>
      </c>
      <c r="F162" s="21">
        <f>Lembar2!F161</f>
        <v>42323</v>
      </c>
      <c r="G162" t="str">
        <f>Lembar2!G161</f>
        <v>Slamet Riyadi</v>
      </c>
      <c r="H162" t="str">
        <f>Lembar2!H161</f>
        <v>Erni Sulistyawati</v>
      </c>
      <c r="I162" t="e">
        <f>VLOOKUP(B162,Lembar1!A$4:H$175,8,FALSE)</f>
        <v>#N/A</v>
      </c>
      <c r="J162" t="str">
        <f>Lembar2!C161</f>
        <v>Dewoka - Nuzulur Rohmah</v>
      </c>
    </row>
    <row r="163" spans="1:10" x14ac:dyDescent="0.25">
      <c r="A163">
        <v>388</v>
      </c>
      <c r="B163" t="str">
        <f>Lembar2!L162</f>
        <v>EBTAQ25-04.007</v>
      </c>
      <c r="C163" t="str">
        <f>Lembar2!D162</f>
        <v>Karina maulidatun nisa</v>
      </c>
      <c r="D163" t="str">
        <f>Lembar2!I162</f>
        <v>Perempuan</v>
      </c>
      <c r="E163" t="str">
        <f>Lembar2!E162</f>
        <v>Demak</v>
      </c>
      <c r="F163" s="21">
        <f>Lembar2!F162</f>
        <v>42364</v>
      </c>
      <c r="G163" t="str">
        <f>Lembar2!G162</f>
        <v>Kastono (alm)</v>
      </c>
      <c r="H163" t="str">
        <f>Lembar2!H162</f>
        <v>Siti sundari</v>
      </c>
      <c r="I163" t="e">
        <f>VLOOKUP(B163,Lembar1!A$4:H$175,8,FALSE)</f>
        <v>#N/A</v>
      </c>
      <c r="J163" t="str">
        <f>Lembar2!C162</f>
        <v>Karangga - Mubarokah</v>
      </c>
    </row>
    <row r="164" spans="1:10" x14ac:dyDescent="0.25">
      <c r="A164">
        <v>389</v>
      </c>
      <c r="B164" t="str">
        <f>Lembar2!L163</f>
        <v>EBTAQ25-01.189</v>
      </c>
      <c r="C164" t="str">
        <f>Lembar2!D163</f>
        <v>FAKHRI RIZKI DESTANIAWAN</v>
      </c>
      <c r="D164" t="str">
        <f>Lembar2!I163</f>
        <v>Laki-laki</v>
      </c>
      <c r="E164" t="str">
        <f>Lembar2!E163</f>
        <v>DEMAK</v>
      </c>
      <c r="F164" s="21">
        <f>Lembar2!F163</f>
        <v>41261</v>
      </c>
      <c r="G164" t="str">
        <f>Lembar2!G163</f>
        <v>AGUS SETIYAWAN</v>
      </c>
      <c r="H164" t="str">
        <f>Lembar2!H163</f>
        <v>NIA SUSNIAWATI</v>
      </c>
      <c r="I164" t="str">
        <f>VLOOKUP(B164,Lembar1!A$4:H$175,8,FALSE)</f>
        <v>BIO_Images/EBTAQ25-01.189.jpg</v>
      </c>
      <c r="J164" t="str">
        <f>Lembar2!C163</f>
        <v>Demak - TPQ AL IMAN (KALIKONDANG)</v>
      </c>
    </row>
    <row r="165" spans="1:10" x14ac:dyDescent="0.25">
      <c r="A165">
        <v>390</v>
      </c>
      <c r="B165" t="str">
        <f>Lembar2!L164</f>
        <v>EBTAQ25-01.190</v>
      </c>
      <c r="C165" t="str">
        <f>Lembar2!D164</f>
        <v>GIBRAN MUHAMMAD IRSYAD AL ALKA-FI</v>
      </c>
      <c r="D165" t="str">
        <f>Lembar2!I164</f>
        <v>Laki-laki</v>
      </c>
      <c r="E165" t="str">
        <f>Lembar2!E164</f>
        <v>Surodadi gajah demak</v>
      </c>
      <c r="F165" s="21">
        <f>Lembar2!F164</f>
        <v>41607</v>
      </c>
      <c r="G165" t="str">
        <f>Lembar2!G164</f>
        <v>Ali Mustahar</v>
      </c>
      <c r="H165" t="str">
        <f>Lembar2!H164</f>
        <v>Laelatun Nafiah</v>
      </c>
      <c r="I165" t="str">
        <f>VLOOKUP(B165,Lembar1!A$4:H$175,8,FALSE)</f>
        <v>BIO_Images/EBTAQ25-01.190.jpg</v>
      </c>
      <c r="J165" t="str">
        <f>Lembar2!C164</f>
        <v>Karangga - Darul Hikam</v>
      </c>
    </row>
    <row r="166" spans="1:10" x14ac:dyDescent="0.25">
      <c r="A166">
        <v>391</v>
      </c>
      <c r="B166" t="str">
        <f>Lembar2!L165</f>
        <v>EBTAQ25-03.126</v>
      </c>
      <c r="C166" t="str">
        <f>Lembar2!D165</f>
        <v>Earlyta Arsyfa Salsabila</v>
      </c>
      <c r="D166" t="str">
        <f>Lembar2!I165</f>
        <v>Perempuan</v>
      </c>
      <c r="E166" t="str">
        <f>Lembar2!E165</f>
        <v>Demak</v>
      </c>
      <c r="F166" s="21">
        <f>Lembar2!F165</f>
        <v>42118</v>
      </c>
      <c r="G166" t="str">
        <f>Lembar2!G165</f>
        <v>Ngasiran</v>
      </c>
      <c r="H166" t="str">
        <f>Lembar2!H165</f>
        <v>Siti Munafiah</v>
      </c>
      <c r="I166" t="e">
        <f>VLOOKUP(B166,Lembar1!A$4:H$175,8,FALSE)</f>
        <v>#N/A</v>
      </c>
      <c r="J166" t="str">
        <f>Lembar2!C165</f>
        <v>Dewoka - Nurul Iman</v>
      </c>
    </row>
    <row r="167" spans="1:10" x14ac:dyDescent="0.25">
      <c r="A167">
        <v>392</v>
      </c>
      <c r="B167" t="str">
        <f>Lembar2!L166</f>
        <v>EBTAQ25-03.127</v>
      </c>
      <c r="C167" t="str">
        <f>Lembar2!D166</f>
        <v>Muhammad Alfin ikhsanul Faqih</v>
      </c>
      <c r="D167" t="str">
        <f>Lembar2!I166</f>
        <v>Laki-laki</v>
      </c>
      <c r="E167" t="str">
        <f>Lembar2!E166</f>
        <v>Demak</v>
      </c>
      <c r="F167" s="21">
        <f>Lembar2!F166</f>
        <v>41609</v>
      </c>
      <c r="G167" t="str">
        <f>Lembar2!G166</f>
        <v>Mustofa</v>
      </c>
      <c r="H167" t="str">
        <f>Lembar2!H166</f>
        <v>Siti khotijah</v>
      </c>
      <c r="I167" t="e">
        <f>VLOOKUP(B167,Lembar1!A$4:H$175,8,FALSE)</f>
        <v>#N/A</v>
      </c>
      <c r="J167" t="str">
        <f>Lembar2!C166</f>
        <v>Dewoka - Nurul Iman</v>
      </c>
    </row>
    <row r="168" spans="1:10" x14ac:dyDescent="0.25">
      <c r="A168">
        <v>393</v>
      </c>
      <c r="B168" t="str">
        <f>Lembar2!L167</f>
        <v>EBTAQ25-03.128</v>
      </c>
      <c r="C168" t="str">
        <f>Lembar2!D167</f>
        <v>DZAKIRA TALITA RAFANI</v>
      </c>
      <c r="D168" t="str">
        <f>Lembar2!I167</f>
        <v>Perempuan</v>
      </c>
      <c r="E168" t="str">
        <f>Lembar2!E167</f>
        <v>Demak</v>
      </c>
      <c r="F168" s="21">
        <f>Lembar2!F167</f>
        <v>42137</v>
      </c>
      <c r="G168" t="str">
        <f>Lembar2!G167</f>
        <v>Purnomo</v>
      </c>
      <c r="H168" t="str">
        <f>Lembar2!H167</f>
        <v>Ina Yatus Solekah</v>
      </c>
      <c r="I168" t="e">
        <f>VLOOKUP(B168,Lembar1!A$4:H$175,8,FALSE)</f>
        <v>#N/A</v>
      </c>
      <c r="J168" t="str">
        <f>Lembar2!C167</f>
        <v>Dewoka - Nurul Iman</v>
      </c>
    </row>
    <row r="169" spans="1:10" x14ac:dyDescent="0.25">
      <c r="A169">
        <v>394</v>
      </c>
      <c r="B169" t="str">
        <f>Lembar2!L168</f>
        <v>EBTAQ25-01.191</v>
      </c>
      <c r="C169" t="str">
        <f>Lembar2!D168</f>
        <v>Fakhri Hafiz Taufiqul Hakim</v>
      </c>
      <c r="D169" t="str">
        <f>Lembar2!I168</f>
        <v>Laki-laki</v>
      </c>
      <c r="E169" t="str">
        <f>Lembar2!E168</f>
        <v>Demak</v>
      </c>
      <c r="F169" s="21">
        <f>Lembar2!F168</f>
        <v>40625</v>
      </c>
      <c r="G169" t="str">
        <f>Lembar2!G168</f>
        <v>Widodo</v>
      </c>
      <c r="H169" t="str">
        <f>Lembar2!H168</f>
        <v>Enik Lestari</v>
      </c>
      <c r="I169" t="str">
        <f>VLOOKUP(B169,Lembar1!A$4:H$175,8,FALSE)</f>
        <v>BIO_Images/EBTAQ25-01.191.jpg</v>
      </c>
      <c r="J169" t="str">
        <f>Lembar2!C168</f>
        <v>Karbon - Hidayatul Mubtadi'in</v>
      </c>
    </row>
    <row r="170" spans="1:10" x14ac:dyDescent="0.25">
      <c r="A170">
        <v>395</v>
      </c>
      <c r="B170" t="str">
        <f>Lembar2!L169</f>
        <v>EBTAQ25-03.017</v>
      </c>
      <c r="C170" t="str">
        <f>Lembar2!D169</f>
        <v>ADILA NISA ARDHANI</v>
      </c>
      <c r="D170" t="str">
        <f>Lembar2!I169</f>
        <v>Perempuan</v>
      </c>
      <c r="E170" t="str">
        <f>Lembar2!E169</f>
        <v>Demak</v>
      </c>
      <c r="F170" s="21">
        <f>Lembar2!F169</f>
        <v>42646</v>
      </c>
      <c r="G170" t="str">
        <f>Lembar2!G169</f>
        <v>KUSMIYANTO</v>
      </c>
      <c r="H170" t="str">
        <f>Lembar2!H169</f>
        <v>NUR AFIFAH</v>
      </c>
      <c r="I170" t="str">
        <f>VLOOKUP(B170,Lembar1!A$4:H$175,8,FALSE)</f>
        <v>BIO_Images/EBTAQ25-03.017.jpeg</v>
      </c>
      <c r="J170" t="str">
        <f>Lembar2!C169</f>
        <v>BMW - Matholiul Falah</v>
      </c>
    </row>
    <row r="171" spans="1:10" x14ac:dyDescent="0.25">
      <c r="A171">
        <v>396</v>
      </c>
      <c r="B171" t="str">
        <f>Lembar2!L170</f>
        <v>EBTAQ25-03.018</v>
      </c>
      <c r="C171" t="str">
        <f>Lembar2!D170</f>
        <v>Ahmad Fadhil Rizqy Pratama</v>
      </c>
      <c r="D171" t="str">
        <f>Lembar2!I170</f>
        <v>Laki-laki</v>
      </c>
      <c r="E171" t="str">
        <f>Lembar2!E170</f>
        <v>Demak</v>
      </c>
      <c r="F171" s="21">
        <f>Lembar2!F170</f>
        <v>42627</v>
      </c>
      <c r="G171" t="str">
        <f>Lembar2!G170</f>
        <v>Hamdan Fais</v>
      </c>
      <c r="H171" t="str">
        <f>Lembar2!H170</f>
        <v>Solekhah</v>
      </c>
      <c r="I171" t="str">
        <f>VLOOKUP(B171,Lembar1!A$4:H$175,8,FALSE)</f>
        <v>BIO_Images/EBTAQ25-03.018.jpg</v>
      </c>
      <c r="J171" t="str">
        <f>Lembar2!C170</f>
        <v>BMW - Roudhotut Tholibin</v>
      </c>
    </row>
    <row r="172" spans="1:10" x14ac:dyDescent="0.25">
      <c r="A172">
        <v>397</v>
      </c>
      <c r="B172" t="str">
        <f>Lembar2!L171</f>
        <v>EBTAQ25-04.008</v>
      </c>
      <c r="C172" t="str">
        <f>Lembar2!D171</f>
        <v>FATHAN ARRIZAL RAHMAN</v>
      </c>
      <c r="D172" t="str">
        <f>Lembar2!I171</f>
        <v>Laki-laki</v>
      </c>
      <c r="E172" t="str">
        <f>Lembar2!E171</f>
        <v>DEMAK</v>
      </c>
      <c r="F172" s="21">
        <f>Lembar2!F171</f>
        <v>42083</v>
      </c>
      <c r="G172" t="str">
        <f>Lembar2!G171</f>
        <v>NUROKHIM</v>
      </c>
      <c r="H172" t="str">
        <f>Lembar2!H171</f>
        <v>NUNG FARIA</v>
      </c>
      <c r="I172" t="e">
        <f>VLOOKUP(B172,Lembar1!A$4:H$175,8,FALSE)</f>
        <v>#N/A</v>
      </c>
      <c r="J172" t="str">
        <f>Lembar2!C171</f>
        <v>Karangga - Mubarokah</v>
      </c>
    </row>
    <row r="173" spans="1:10" x14ac:dyDescent="0.25">
      <c r="A173">
        <v>398</v>
      </c>
      <c r="B173" t="str">
        <f>Lembar2!L172</f>
        <v>EBTAQ25-03.019</v>
      </c>
      <c r="C173" t="str">
        <f>Lembar2!D172</f>
        <v>Raka Dwi Prahasta</v>
      </c>
      <c r="D173" t="str">
        <f>Lembar2!I172</f>
        <v>Laki-laki</v>
      </c>
      <c r="E173" t="str">
        <f>Lembar2!E172</f>
        <v>Demak</v>
      </c>
      <c r="F173" s="21">
        <f>Lembar2!F172</f>
        <v>42499</v>
      </c>
      <c r="G173" t="str">
        <f>Lembar2!G172</f>
        <v>Sofii</v>
      </c>
      <c r="H173" t="str">
        <f>Lembar2!H172</f>
        <v>Miyati</v>
      </c>
      <c r="I173" t="str">
        <f>VLOOKUP(B173,Lembar1!A$4:H$175,8,FALSE)</f>
        <v>BIO_Images/EBTAQ25-03.019.jpg</v>
      </c>
      <c r="J173" t="str">
        <f>Lembar2!C172</f>
        <v>BMW - Roudhotut Tholibin</v>
      </c>
    </row>
    <row r="174" spans="1:10" x14ac:dyDescent="0.25">
      <c r="A174">
        <v>399</v>
      </c>
      <c r="B174" t="str">
        <f>Lembar2!L173</f>
        <v>EBTAQ25-01.192</v>
      </c>
      <c r="C174" t="str">
        <f>Lembar2!D173</f>
        <v>SYAMILA ADELINE NIESHA</v>
      </c>
      <c r="D174" t="str">
        <f>Lembar2!I173</f>
        <v>Laki-laki</v>
      </c>
      <c r="E174" t="str">
        <f>Lembar2!E173</f>
        <v>DEMAK</v>
      </c>
      <c r="F174" s="21">
        <f>Lembar2!F173</f>
        <v>41586</v>
      </c>
      <c r="G174" t="str">
        <f>Lembar2!G173</f>
        <v>CIPTO LEGOWO</v>
      </c>
      <c r="H174" t="str">
        <f>Lembar2!H173</f>
        <v>ERNA TRI PUJIASTUTI</v>
      </c>
      <c r="I174" t="str">
        <f>VLOOKUP(B174,Lembar1!A$4:H$175,8,FALSE)</f>
        <v>BIO_Images/EBTAQ25-01.192.jpg</v>
      </c>
      <c r="J174" t="str">
        <f>Lembar2!C173</f>
        <v>DEMAK - SDIT AZZAHRA</v>
      </c>
    </row>
    <row r="175" spans="1:10" x14ac:dyDescent="0.25">
      <c r="A175">
        <v>400</v>
      </c>
      <c r="B175" t="str">
        <f>Lembar2!L174</f>
        <v>EBTAQ25-03.020</v>
      </c>
      <c r="C175" t="str">
        <f>Lembar2!D174</f>
        <v>Ahmad Najib Anugraha</v>
      </c>
      <c r="D175" t="str">
        <f>Lembar2!I174</f>
        <v>Laki-laki</v>
      </c>
      <c r="E175" t="str">
        <f>Lembar2!E174</f>
        <v>Demak</v>
      </c>
      <c r="F175" s="21">
        <f>Lembar2!F174</f>
        <v>42694</v>
      </c>
      <c r="G175" t="str">
        <f>Lembar2!G174</f>
        <v>Wahyudi</v>
      </c>
      <c r="H175" t="str">
        <f>Lembar2!H174</f>
        <v>Sukarlin</v>
      </c>
      <c r="I175" t="str">
        <f>VLOOKUP(B175,Lembar1!A$4:H$175,8,FALSE)</f>
        <v>BIO_Images/EBTAQ25-03.020.jpg</v>
      </c>
      <c r="J175" t="str">
        <f>Lembar2!C174</f>
        <v>BMW - Roudhotut Tholibin</v>
      </c>
    </row>
    <row r="176" spans="1:10" x14ac:dyDescent="0.25">
      <c r="A176">
        <v>401</v>
      </c>
      <c r="B176" t="str">
        <f>Lembar2!L175</f>
        <v>EBTAQ25-03.021</v>
      </c>
      <c r="C176" t="str">
        <f>Lembar2!D175</f>
        <v>Rafaizza Aquila Bilqis Annur</v>
      </c>
      <c r="D176" t="str">
        <f>Lembar2!I175</f>
        <v>Perempuan</v>
      </c>
      <c r="E176" t="str">
        <f>Lembar2!E175</f>
        <v>Demak</v>
      </c>
      <c r="F176" s="21">
        <f>Lembar2!F175</f>
        <v>42252</v>
      </c>
      <c r="G176" t="str">
        <f>Lembar2!G175</f>
        <v>Nur Rondi</v>
      </c>
      <c r="H176" t="str">
        <f>Lembar2!H175</f>
        <v>Diah Apriliani</v>
      </c>
      <c r="I176" t="str">
        <f>VLOOKUP(B176,Lembar1!A$4:H$175,8,FALSE)</f>
        <v>BIO_Images/EBTAQ25-03.021.jpg</v>
      </c>
      <c r="J176" t="str">
        <f>Lembar2!C175</f>
        <v>BMW - Roudhotut Tholibin</v>
      </c>
    </row>
    <row r="177" spans="1:10" x14ac:dyDescent="0.25">
      <c r="A177">
        <v>402</v>
      </c>
      <c r="B177" t="str">
        <f>Lembar2!L176</f>
        <v>EBTAQ25-03.022</v>
      </c>
      <c r="C177" t="str">
        <f>Lembar2!D176</f>
        <v>Mahera Adelia wibowo</v>
      </c>
      <c r="D177" t="str">
        <f>Lembar2!I176</f>
        <v>Perempuan</v>
      </c>
      <c r="E177" t="str">
        <f>Lembar2!E176</f>
        <v>Demak</v>
      </c>
      <c r="F177" s="21">
        <f>Lembar2!F176</f>
        <v>42138</v>
      </c>
      <c r="G177" t="str">
        <f>Lembar2!G176</f>
        <v>Aji krisna Wibowo</v>
      </c>
      <c r="H177" t="str">
        <f>Lembar2!H176</f>
        <v>Siti khamidah</v>
      </c>
      <c r="I177" t="str">
        <f>VLOOKUP(B177,Lembar1!A$4:H$175,8,FALSE)</f>
        <v>BIO_Images/EBTAQ25-03.022.jpg</v>
      </c>
      <c r="J177" t="str">
        <f>Lembar2!C176</f>
        <v>BMW - Roudhotut Tholibin</v>
      </c>
    </row>
    <row r="178" spans="1:10" x14ac:dyDescent="0.25">
      <c r="A178">
        <v>403</v>
      </c>
      <c r="B178" t="str">
        <f>Lembar2!L177</f>
        <v>EBTAQ25-03.023</v>
      </c>
      <c r="C178" t="str">
        <f>Lembar2!D177</f>
        <v>Shofatul Aini</v>
      </c>
      <c r="D178" t="str">
        <f>Lembar2!I177</f>
        <v>Perempuan</v>
      </c>
      <c r="E178" t="str">
        <f>Lembar2!E177</f>
        <v>Demak</v>
      </c>
      <c r="F178" s="21">
        <f>Lembar2!F177</f>
        <v>42640</v>
      </c>
      <c r="G178" t="str">
        <f>Lembar2!G177</f>
        <v>Mat Sholeh</v>
      </c>
      <c r="H178" t="str">
        <f>Lembar2!H177</f>
        <v>Sarodah</v>
      </c>
      <c r="I178" t="str">
        <f>VLOOKUP(B178,Lembar1!A$4:H$175,8,FALSE)</f>
        <v>BIO_Images/EBTAQ25-03.023.jpg</v>
      </c>
      <c r="J178" t="str">
        <f>Lembar2!C177</f>
        <v>BMW - Roudhotut Tholibin</v>
      </c>
    </row>
    <row r="179" spans="1:10" x14ac:dyDescent="0.25">
      <c r="A179">
        <v>404</v>
      </c>
      <c r="B179" t="str">
        <f>Lembar2!L178</f>
        <v>EBTAQ25-03.024</v>
      </c>
      <c r="C179" t="str">
        <f>Lembar2!D178</f>
        <v>Muhammad Ganjar Jatmiko</v>
      </c>
      <c r="D179" t="str">
        <f>Lembar2!I178</f>
        <v>Laki-laki</v>
      </c>
      <c r="E179" t="str">
        <f>Lembar2!E178</f>
        <v>Demak</v>
      </c>
      <c r="F179" s="21">
        <f>Lembar2!F178</f>
        <v>41933</v>
      </c>
      <c r="G179" t="str">
        <f>Lembar2!G178</f>
        <v>Muakhorin</v>
      </c>
      <c r="H179" t="str">
        <f>Lembar2!H178</f>
        <v>Iskowati</v>
      </c>
      <c r="I179" t="str">
        <f>VLOOKUP(B179,Lembar1!A$4:H$175,8,FALSE)</f>
        <v>BIO_Images/EBTAQ25-03.024.jpg</v>
      </c>
      <c r="J179" t="str">
        <f>Lembar2!C178</f>
        <v>BMW - Roudhotut Tholibin</v>
      </c>
    </row>
    <row r="180" spans="1:10" x14ac:dyDescent="0.25">
      <c r="A180">
        <v>405</v>
      </c>
      <c r="B180" t="str">
        <f>Lembar2!L179</f>
        <v>EBTAQ25-04.009</v>
      </c>
      <c r="C180" t="str">
        <f>Lembar2!D179</f>
        <v>WIJDANU ROSI MUHAMMAD</v>
      </c>
      <c r="D180" t="str">
        <f>Lembar2!I179</f>
        <v>Laki-laki</v>
      </c>
      <c r="E180" t="str">
        <f>Lembar2!E179</f>
        <v>Demak</v>
      </c>
      <c r="F180" s="21">
        <f>Lembar2!F179</f>
        <v>41863</v>
      </c>
      <c r="G180" t="str">
        <f>Lembar2!G179</f>
        <v>Aminulloh</v>
      </c>
      <c r="H180" t="str">
        <f>Lembar2!H179</f>
        <v>Qudsiyah</v>
      </c>
      <c r="I180" t="e">
        <f>VLOOKUP(B180,Lembar1!A$4:H$175,8,FALSE)</f>
        <v>#N/A</v>
      </c>
      <c r="J180" t="str">
        <f>Lembar2!C179</f>
        <v>Karangga - Mubarokah</v>
      </c>
    </row>
    <row r="181" spans="1:10" x14ac:dyDescent="0.25">
      <c r="A181">
        <v>406</v>
      </c>
      <c r="B181" t="str">
        <f>Lembar2!L180</f>
        <v>EBTAQ25-03.025</v>
      </c>
      <c r="C181" t="str">
        <f>Lembar2!D180</f>
        <v>Muhammad Syarif Hilmi</v>
      </c>
      <c r="D181" t="str">
        <f>Lembar2!I180</f>
        <v>Laki-laki</v>
      </c>
      <c r="E181" t="str">
        <f>Lembar2!E180</f>
        <v>Demak</v>
      </c>
      <c r="F181" s="21">
        <f>Lembar2!F180</f>
        <v>42465</v>
      </c>
      <c r="G181" t="str">
        <f>Lembar2!G180</f>
        <v>Ubaidillah</v>
      </c>
      <c r="H181" t="str">
        <f>Lembar2!H180</f>
        <v>Mujiatun</v>
      </c>
      <c r="I181" t="str">
        <f>VLOOKUP(B181,Lembar1!A$4:H$175,8,FALSE)</f>
        <v>BIO_Images/EBTAQ25-03.025.jpg</v>
      </c>
      <c r="J181" t="str">
        <f>Lembar2!C180</f>
        <v>BMW - Roudhotut Tholibin</v>
      </c>
    </row>
    <row r="182" spans="1:10" x14ac:dyDescent="0.25">
      <c r="A182">
        <v>407</v>
      </c>
      <c r="B182" t="str">
        <f>Lembar2!L181</f>
        <v>EBTAQ25-03.96</v>
      </c>
      <c r="C182" t="str">
        <f>Lembar2!D181</f>
        <v>Elsa Aninandia</v>
      </c>
      <c r="D182" t="str">
        <f>Lembar2!I181</f>
        <v>Perempuan</v>
      </c>
      <c r="E182" t="str">
        <f>Lembar2!E181</f>
        <v>Demak</v>
      </c>
      <c r="F182" s="21">
        <f>Lembar2!F181</f>
        <v>42056</v>
      </c>
      <c r="G182" t="str">
        <f>Lembar2!G181</f>
        <v>Suroso</v>
      </c>
      <c r="H182" t="str">
        <f>Lembar2!H181</f>
        <v>Nikmatul Khikmah</v>
      </c>
      <c r="I182" t="e">
        <f>VLOOKUP(B182,Lembar1!A$4:H$175,8,FALSE)</f>
        <v>#N/A</v>
      </c>
      <c r="J182" t="str">
        <f>Lembar2!C181</f>
        <v>BMW - Roudhotut Tholibin</v>
      </c>
    </row>
    <row r="183" spans="1:10" x14ac:dyDescent="0.25">
      <c r="A183">
        <v>408</v>
      </c>
      <c r="B183" t="str">
        <f>Lembar2!L182</f>
        <v>EBTAQ25-03.027</v>
      </c>
      <c r="C183" t="str">
        <f>Lembar2!D182</f>
        <v>Nadia Aulia</v>
      </c>
      <c r="D183" t="str">
        <f>Lembar2!I182</f>
        <v>Perempuan</v>
      </c>
      <c r="E183" t="str">
        <f>Lembar2!E182</f>
        <v>Demak</v>
      </c>
      <c r="F183" s="21">
        <f>Lembar2!F182</f>
        <v>42642</v>
      </c>
      <c r="G183" t="str">
        <f>Lembar2!G182</f>
        <v>Abdul shomad</v>
      </c>
      <c r="H183" t="str">
        <f>Lembar2!H182</f>
        <v>Rina susanti</v>
      </c>
      <c r="I183" t="str">
        <f>VLOOKUP(B183,Lembar1!A$4:H$175,8,FALSE)</f>
        <v>BIO_Images/EBTAQ25-03.027.jpg</v>
      </c>
      <c r="J183" t="str">
        <f>Lembar2!C182</f>
        <v>BMW - Roudhotut Tholibin</v>
      </c>
    </row>
    <row r="184" spans="1:10" x14ac:dyDescent="0.25">
      <c r="A184">
        <v>409</v>
      </c>
      <c r="B184" t="str">
        <f>Lembar2!L183</f>
        <v>EBTAQ25-04.010</v>
      </c>
      <c r="C184" t="str">
        <f>Lembar2!D183</f>
        <v>SYIFA AGHNIA RAHMAH</v>
      </c>
      <c r="D184" t="str">
        <f>Lembar2!I183</f>
        <v>Perempuan</v>
      </c>
      <c r="E184" t="str">
        <f>Lembar2!E183</f>
        <v>KUDUS</v>
      </c>
      <c r="F184" s="21">
        <f>Lembar2!F183</f>
        <v>42323</v>
      </c>
      <c r="G184" t="str">
        <f>Lembar2!G183</f>
        <v>RIDWAN</v>
      </c>
      <c r="H184" t="str">
        <f>Lembar2!H183</f>
        <v>HENI SOFIANA</v>
      </c>
      <c r="I184" t="e">
        <f>VLOOKUP(B184,Lembar1!A$4:H$175,8,FALSE)</f>
        <v>#N/A</v>
      </c>
      <c r="J184" t="str">
        <f>Lembar2!C183</f>
        <v>Karangga - Miftahul Ulum</v>
      </c>
    </row>
    <row r="185" spans="1:10" x14ac:dyDescent="0.25">
      <c r="A185">
        <v>410</v>
      </c>
      <c r="B185" t="str">
        <f>Lembar2!L184</f>
        <v>EBTAQ25-03.028</v>
      </c>
      <c r="C185" t="str">
        <f>Lembar2!D184</f>
        <v>Fahril Maliqu Zhafran</v>
      </c>
      <c r="D185" t="str">
        <f>Lembar2!I184</f>
        <v>Laki-laki</v>
      </c>
      <c r="E185" t="str">
        <f>Lembar2!E184</f>
        <v>Demak</v>
      </c>
      <c r="F185" s="21">
        <f>Lembar2!F184</f>
        <v>43172</v>
      </c>
      <c r="G185" t="str">
        <f>Lembar2!G184</f>
        <v>Ahmad Malik</v>
      </c>
      <c r="H185" t="str">
        <f>Lembar2!H184</f>
        <v>Siti Khoiriyah</v>
      </c>
      <c r="I185" t="str">
        <f>VLOOKUP(B185,Lembar1!A$4:H$175,8,FALSE)</f>
        <v>BIO_Images/EBTAQ25-03.028.jpg</v>
      </c>
      <c r="J185" t="str">
        <f>Lembar2!C184</f>
        <v>BMW - Roudhotut Tholibin</v>
      </c>
    </row>
    <row r="186" spans="1:10" x14ac:dyDescent="0.25">
      <c r="A186">
        <v>411</v>
      </c>
      <c r="B186" t="str">
        <f>Lembar2!L185</f>
        <v>EBTAQ25-04.011</v>
      </c>
      <c r="C186" t="str">
        <f>Lembar2!D185</f>
        <v>Fawwazul Hafiz Hanif</v>
      </c>
      <c r="D186" t="str">
        <f>Lembar2!I185</f>
        <v>Laki-laki</v>
      </c>
      <c r="E186" t="str">
        <f>Lembar2!E185</f>
        <v>Demak</v>
      </c>
      <c r="F186" s="21">
        <f>Lembar2!F185</f>
        <v>42407</v>
      </c>
      <c r="G186" t="str">
        <f>Lembar2!G185</f>
        <v>Santo</v>
      </c>
      <c r="H186" t="str">
        <f>Lembar2!H185</f>
        <v>Eny Fatmawati</v>
      </c>
      <c r="I186" t="e">
        <f>VLOOKUP(B186,Lembar1!A$4:H$175,8,FALSE)</f>
        <v>#N/A</v>
      </c>
      <c r="J186" t="str">
        <f>Lembar2!C185</f>
        <v>Karangga - Mubarokah</v>
      </c>
    </row>
    <row r="187" spans="1:10" x14ac:dyDescent="0.25">
      <c r="A187">
        <v>412</v>
      </c>
      <c r="B187" t="str">
        <f>Lembar2!L186</f>
        <v>EBTAQ25-03.029</v>
      </c>
      <c r="C187" t="str">
        <f>Lembar2!D186</f>
        <v>Diah Puspita Sari</v>
      </c>
      <c r="D187" t="str">
        <f>Lembar2!I186</f>
        <v>Perempuan</v>
      </c>
      <c r="E187" t="str">
        <f>Lembar2!E186</f>
        <v>Demak</v>
      </c>
      <c r="F187" s="21">
        <f>Lembar2!F186</f>
        <v>42792</v>
      </c>
      <c r="G187" t="str">
        <f>Lembar2!G186</f>
        <v>NurHadi</v>
      </c>
      <c r="H187" t="str">
        <f>Lembar2!H186</f>
        <v>Tutik Ati</v>
      </c>
      <c r="I187" t="str">
        <f>VLOOKUP(B187,Lembar1!A$4:H$175,8,FALSE)</f>
        <v>BIO_Images/EBTAQ25-03.029.jpg</v>
      </c>
      <c r="J187" t="str">
        <f>Lembar2!C186</f>
        <v>BMW - Roudhotut Tholibin</v>
      </c>
    </row>
    <row r="188" spans="1:10" x14ac:dyDescent="0.25">
      <c r="A188">
        <v>413</v>
      </c>
      <c r="B188" t="str">
        <f>Lembar2!L187</f>
        <v>EBTAQ25-04.012</v>
      </c>
      <c r="C188" t="str">
        <f>Lembar2!D187</f>
        <v>MAHIRA HASNA KAMILA</v>
      </c>
      <c r="D188" t="str">
        <f>Lembar2!I187</f>
        <v>Perempuan</v>
      </c>
      <c r="E188" t="str">
        <f>Lembar2!E187</f>
        <v>Demak</v>
      </c>
      <c r="F188" s="21">
        <f>Lembar2!F187</f>
        <v>41804</v>
      </c>
      <c r="G188" t="str">
        <f>Lembar2!G187</f>
        <v>Muhammad Supriyadi</v>
      </c>
      <c r="H188" t="str">
        <f>Lembar2!H187</f>
        <v>Umi Kusmawati</v>
      </c>
      <c r="I188" t="e">
        <f>VLOOKUP(B188,Lembar1!A$4:H$175,8,FALSE)</f>
        <v>#N/A</v>
      </c>
      <c r="J188" t="str">
        <f>Lembar2!C187</f>
        <v>Karangga - Mubarokah</v>
      </c>
    </row>
    <row r="189" spans="1:10" x14ac:dyDescent="0.25">
      <c r="A189">
        <v>414</v>
      </c>
      <c r="B189" t="str">
        <f>Lembar2!L188</f>
        <v>EBTAQ25-01.193</v>
      </c>
      <c r="C189" t="str">
        <f>Lembar2!D188</f>
        <v>AMIRA AINUN MAHYA</v>
      </c>
      <c r="D189" t="str">
        <f>Lembar2!I188</f>
        <v>Perempuan</v>
      </c>
      <c r="E189" t="str">
        <f>Lembar2!E188</f>
        <v>DEMAK</v>
      </c>
      <c r="F189" s="21">
        <f>Lembar2!F188</f>
        <v>42464</v>
      </c>
      <c r="G189" t="str">
        <f>Lembar2!G188</f>
        <v>ZAENURI</v>
      </c>
      <c r="H189" t="str">
        <f>Lembar2!H188</f>
        <v>TUMI HARYATUN</v>
      </c>
      <c r="I189" t="str">
        <f>VLOOKUP(B189,Lembar1!A$4:H$175,8,FALSE)</f>
        <v>BIO_Images/EBTAQ25-01.193.jpg</v>
      </c>
      <c r="J189" t="str">
        <f>Lembar2!C188</f>
        <v>Demak - TPQ ALMUBAROK</v>
      </c>
    </row>
    <row r="190" spans="1:10" x14ac:dyDescent="0.25">
      <c r="A190">
        <v>415</v>
      </c>
      <c r="B190" t="str">
        <f>Lembar2!L189</f>
        <v>EBTAQ25-04.013</v>
      </c>
      <c r="C190" t="str">
        <f>Lembar2!D189</f>
        <v>KHYAROTUNNISA</v>
      </c>
      <c r="D190" t="str">
        <f>Lembar2!I189</f>
        <v>Perempuan</v>
      </c>
      <c r="E190" t="str">
        <f>Lembar2!E189</f>
        <v>Demak</v>
      </c>
      <c r="F190" s="21">
        <f>Lembar2!F189</f>
        <v>41982</v>
      </c>
      <c r="G190" t="str">
        <f>Lembar2!G189</f>
        <v>Kholid Maknawi</v>
      </c>
      <c r="H190" t="str">
        <f>Lembar2!H189</f>
        <v>Saryati</v>
      </c>
      <c r="I190" t="e">
        <f>VLOOKUP(B190,Lembar1!A$4:H$175,8,FALSE)</f>
        <v>#N/A</v>
      </c>
      <c r="J190" t="str">
        <f>Lembar2!C189</f>
        <v>Karangga - Al Ijtihad Al Mubarok</v>
      </c>
    </row>
    <row r="191" spans="1:10" x14ac:dyDescent="0.25">
      <c r="A191">
        <v>416</v>
      </c>
      <c r="B191" t="str">
        <f>Lembar2!L190</f>
        <v>EBTAQ25-04.014</v>
      </c>
      <c r="C191" t="str">
        <f>Lembar2!D190</f>
        <v>Hafizah Zahra Ramadhani</v>
      </c>
      <c r="D191" t="str">
        <f>Lembar2!I190</f>
        <v>Perempuan</v>
      </c>
      <c r="E191" t="str">
        <f>Lembar2!E190</f>
        <v>Demak</v>
      </c>
      <c r="F191" s="21">
        <f>Lembar2!F190</f>
        <v>42193</v>
      </c>
      <c r="G191" t="str">
        <f>Lembar2!G190</f>
        <v>Munawar</v>
      </c>
      <c r="H191" t="str">
        <f>Lembar2!H190</f>
        <v>Umi Rahmawati</v>
      </c>
      <c r="I191" t="e">
        <f>VLOOKUP(B191,Lembar1!A$4:H$175,8,FALSE)</f>
        <v>#N/A</v>
      </c>
      <c r="J191" t="str">
        <f>Lembar2!C190</f>
        <v>Karangga - Mubarokah</v>
      </c>
    </row>
    <row r="192" spans="1:10" x14ac:dyDescent="0.25">
      <c r="A192">
        <v>417</v>
      </c>
      <c r="B192" t="str">
        <f>Lembar2!L191</f>
        <v>EBTAQ25-03.030</v>
      </c>
      <c r="C192" t="str">
        <f>Lembar2!D191</f>
        <v>NAURA AUBA RAFIKA</v>
      </c>
      <c r="D192" t="str">
        <f>Lembar2!I191</f>
        <v>Perempuan</v>
      </c>
      <c r="E192" t="str">
        <f>Lembar2!E191</f>
        <v>DEMAK</v>
      </c>
      <c r="F192" s="21">
        <f>Lembar2!F191</f>
        <v>42683</v>
      </c>
      <c r="G192" t="str">
        <f>Lembar2!G191</f>
        <v>AHMAD ROFIQ</v>
      </c>
      <c r="H192" t="str">
        <f>Lembar2!H191</f>
        <v>KHOIRROTUN NISA'</v>
      </c>
      <c r="I192" t="str">
        <f>VLOOKUP(B192,Lembar1!A$4:H$175,8,FALSE)</f>
        <v>BIO_Images/EBTAQ25-03.030.jpg</v>
      </c>
      <c r="J192" t="str">
        <f>Lembar2!C191</f>
        <v>BMW - Subulussalam</v>
      </c>
    </row>
    <row r="193" spans="1:10" x14ac:dyDescent="0.25">
      <c r="A193">
        <v>418</v>
      </c>
      <c r="B193" t="str">
        <f>Lembar2!L192</f>
        <v>EBTAQ25-03.031</v>
      </c>
      <c r="C193" t="str">
        <f>Lembar2!D192</f>
        <v>ZIDA FARA NABILA</v>
      </c>
      <c r="D193" t="str">
        <f>Lembar2!I192</f>
        <v>Perempuan</v>
      </c>
      <c r="E193" t="str">
        <f>Lembar2!E192</f>
        <v>KUDUS</v>
      </c>
      <c r="F193" s="21">
        <f>Lembar2!F192</f>
        <v>42773</v>
      </c>
      <c r="G193" t="str">
        <f>Lembar2!G192</f>
        <v>Muhamad ismail</v>
      </c>
      <c r="H193" t="str">
        <f>Lembar2!H192</f>
        <v>khilya syafaatun ni'mah</v>
      </c>
      <c r="I193" t="str">
        <f>VLOOKUP(B193,Lembar1!A$4:H$175,8,FALSE)</f>
        <v>BIO_Images/EBTAQ25-03.031.jpg</v>
      </c>
      <c r="J193" t="str">
        <f>Lembar2!C192</f>
        <v>BMW - Subulussalam</v>
      </c>
    </row>
    <row r="194" spans="1:10" x14ac:dyDescent="0.25">
      <c r="A194">
        <v>419</v>
      </c>
      <c r="B194" t="str">
        <f>Lembar2!L193</f>
        <v>EBTAQ25-03.032</v>
      </c>
      <c r="C194" t="str">
        <f>Lembar2!D193</f>
        <v>Muhammad Ivan Ghifari</v>
      </c>
      <c r="D194" t="str">
        <f>Lembar2!I193</f>
        <v>Laki-laki</v>
      </c>
      <c r="E194" t="str">
        <f>Lembar2!E193</f>
        <v>Demak</v>
      </c>
      <c r="F194" s="21">
        <f>Lembar2!F193</f>
        <v>42555</v>
      </c>
      <c r="G194" t="str">
        <f>Lembar2!G193</f>
        <v>Marsono</v>
      </c>
      <c r="H194" t="str">
        <f>Lembar2!H193</f>
        <v>Siti Munawaroh</v>
      </c>
      <c r="I194" t="str">
        <f>VLOOKUP(B194,Lembar1!A$4:H$175,8,FALSE)</f>
        <v>BIO_Images/EBTAQ25-03.032.jpg</v>
      </c>
      <c r="J194" t="str">
        <f>Lembar2!C193</f>
        <v>BMW - Roudhotut Tholibin</v>
      </c>
    </row>
    <row r="195" spans="1:10" x14ac:dyDescent="0.25">
      <c r="A195">
        <v>420</v>
      </c>
      <c r="B195" t="str">
        <f>Lembar2!L194</f>
        <v>EBTAQ25-03.033</v>
      </c>
      <c r="C195" t="str">
        <f>Lembar2!D194</f>
        <v>Tsania Khoirun Nisa</v>
      </c>
      <c r="D195" t="str">
        <f>Lembar2!I194</f>
        <v>Perempuan</v>
      </c>
      <c r="E195" t="str">
        <f>Lembar2!E194</f>
        <v>Semarang</v>
      </c>
      <c r="F195" s="21">
        <f>Lembar2!F194</f>
        <v>42689</v>
      </c>
      <c r="G195" t="str">
        <f>Lembar2!G194</f>
        <v>Eko Prasetyo</v>
      </c>
      <c r="H195" t="str">
        <f>Lembar2!H194</f>
        <v>Sitta Zulfiana</v>
      </c>
      <c r="I195" t="str">
        <f>VLOOKUP(B195,Lembar1!A$4:H$175,8,FALSE)</f>
        <v>BIO_Images/EBTAQ25-03.033.jpg</v>
      </c>
      <c r="J195" t="str">
        <f>Lembar2!C194</f>
        <v>BMW - Subulussalam</v>
      </c>
    </row>
    <row r="196" spans="1:10" x14ac:dyDescent="0.25">
      <c r="A196">
        <v>421</v>
      </c>
      <c r="B196" t="str">
        <f>Lembar2!L195</f>
        <v>EBTAQ25-01.194</v>
      </c>
      <c r="C196" t="str">
        <f>Lembar2!D195</f>
        <v>Tiara salsabila putri</v>
      </c>
      <c r="D196" t="str">
        <f>Lembar2!I195</f>
        <v>Perempuan</v>
      </c>
      <c r="E196" t="str">
        <f>Lembar2!E195</f>
        <v>Cangkring rembang</v>
      </c>
      <c r="F196" s="21">
        <f>Lembar2!F195</f>
        <v>41905</v>
      </c>
      <c r="G196" t="str">
        <f>Lembar2!G195</f>
        <v>Ahmad fatkur rozi</v>
      </c>
      <c r="H196" t="str">
        <f>Lembar2!H195</f>
        <v>Mufidah</v>
      </c>
      <c r="I196" t="str">
        <f>VLOOKUP(B196,Lembar1!A$4:H$175,8,FALSE)</f>
        <v>BIO_Images/EBTAQ25-01.194.jpg</v>
      </c>
      <c r="J196" t="str">
        <f>Lembar2!C195</f>
        <v>Demak - TPQ al Furqon</v>
      </c>
    </row>
    <row r="197" spans="1:10" x14ac:dyDescent="0.25">
      <c r="A197">
        <v>422</v>
      </c>
      <c r="B197" t="str">
        <f>Lembar2!L196</f>
        <v>EBTAQ25-03.034</v>
      </c>
      <c r="C197" t="str">
        <f>Lembar2!D196</f>
        <v>YUMEINA RAISA SYAKIRA</v>
      </c>
      <c r="D197" t="str">
        <f>Lembar2!I196</f>
        <v>Perempuan</v>
      </c>
      <c r="E197" t="str">
        <f>Lembar2!E196</f>
        <v>Demak</v>
      </c>
      <c r="F197" s="21">
        <f>Lembar2!F196</f>
        <v>42950</v>
      </c>
      <c r="G197" t="str">
        <f>Lembar2!G196</f>
        <v>RIJAL AULADI</v>
      </c>
      <c r="H197" t="str">
        <f>Lembar2!H196</f>
        <v>NUR BAITI</v>
      </c>
      <c r="I197" t="str">
        <f>VLOOKUP(B197,Lembar1!A$4:H$175,8,FALSE)</f>
        <v>BIO_Images/EBTAQ25-03.034.jpg</v>
      </c>
      <c r="J197" t="str">
        <f>Lembar2!C196</f>
        <v>BMW - Subulussalam</v>
      </c>
    </row>
    <row r="198" spans="1:10" x14ac:dyDescent="0.25">
      <c r="A198">
        <v>423</v>
      </c>
      <c r="B198" t="str">
        <f>Lembar2!L197</f>
        <v>EBTAQ25-03.035</v>
      </c>
      <c r="C198" t="str">
        <f>Lembar2!D197</f>
        <v>ZULFATUL ULIA</v>
      </c>
      <c r="D198" t="str">
        <f>Lembar2!I197</f>
        <v>Perempuan</v>
      </c>
      <c r="E198" t="str">
        <f>Lembar2!E197</f>
        <v>DEMAK</v>
      </c>
      <c r="F198" s="21">
        <f>Lembar2!F197</f>
        <v>41945</v>
      </c>
      <c r="G198" t="str">
        <f>Lembar2!G197</f>
        <v>MUHAMAD</v>
      </c>
      <c r="H198" t="str">
        <f>Lembar2!H197</f>
        <v>MUARIFAH</v>
      </c>
      <c r="I198" t="e">
        <f>VLOOKUP(B198,Lembar1!A$4:H$175,8,FALSE)</f>
        <v>#N/A</v>
      </c>
      <c r="J198" t="str">
        <f>Lembar2!C197</f>
        <v>BMW - Yanbu'ul Qur'an</v>
      </c>
    </row>
    <row r="199" spans="1:10" x14ac:dyDescent="0.25">
      <c r="A199">
        <v>424</v>
      </c>
      <c r="B199" t="str">
        <f>Lembar2!L198</f>
        <v>EBTAQ25-03.036</v>
      </c>
      <c r="C199" t="str">
        <f>Lembar2!D198</f>
        <v>Layyin almeera</v>
      </c>
      <c r="D199" t="str">
        <f>Lembar2!I198</f>
        <v>Perempuan</v>
      </c>
      <c r="E199" t="str">
        <f>Lembar2!E198</f>
        <v>Demak</v>
      </c>
      <c r="F199" s="21">
        <f>Lembar2!F198</f>
        <v>42855</v>
      </c>
      <c r="G199" t="str">
        <f>Lembar2!G198</f>
        <v>Mohammad showam</v>
      </c>
      <c r="H199" t="str">
        <f>Lembar2!H198</f>
        <v>Erna setya ningsih</v>
      </c>
      <c r="I199" t="str">
        <f>VLOOKUP(B199,Lembar1!A$4:H$175,8,FALSE)</f>
        <v>BIO_Images/EBTAQ25-03.036.jpg</v>
      </c>
      <c r="J199" t="str">
        <f>Lembar2!C198</f>
        <v>BMW - Subulussalam</v>
      </c>
    </row>
    <row r="200" spans="1:10" x14ac:dyDescent="0.25">
      <c r="A200">
        <v>425</v>
      </c>
      <c r="B200" t="str">
        <f>Lembar2!L199</f>
        <v>EBTAQ25-04.015</v>
      </c>
      <c r="C200" t="str">
        <f>Lembar2!D199</f>
        <v>ADIRA AZZAHRA</v>
      </c>
      <c r="D200" t="str">
        <f>Lembar2!I199</f>
        <v>Perempuan</v>
      </c>
      <c r="E200" t="str">
        <f>Lembar2!E199</f>
        <v>Demak</v>
      </c>
      <c r="F200" s="21">
        <f>Lembar2!F199</f>
        <v>41537</v>
      </c>
      <c r="G200" t="str">
        <f>Lembar2!G199</f>
        <v>Khamidul Manan</v>
      </c>
      <c r="H200" t="str">
        <f>Lembar2!H199</f>
        <v>Rubiah</v>
      </c>
      <c r="I200" t="e">
        <f>VLOOKUP(B200,Lembar1!A$4:H$175,8,FALSE)</f>
        <v>#N/A</v>
      </c>
      <c r="J200" t="str">
        <f>Lembar2!C199</f>
        <v>Karangga - Al Ijtihad Al Mubarok</v>
      </c>
    </row>
    <row r="201" spans="1:10" x14ac:dyDescent="0.25">
      <c r="A201">
        <v>426</v>
      </c>
      <c r="B201" t="str">
        <f>Lembar2!L200</f>
        <v>EBTAQ25-03.129</v>
      </c>
      <c r="C201" t="str">
        <f>Lembar2!D200</f>
        <v>SISCA OLIVIA</v>
      </c>
      <c r="D201" t="str">
        <f>Lembar2!I200</f>
        <v>Perempuan</v>
      </c>
      <c r="E201" t="str">
        <f>Lembar2!E200</f>
        <v>DEMAK</v>
      </c>
      <c r="F201" s="21">
        <f>Lembar2!F200</f>
        <v>41545</v>
      </c>
      <c r="G201" t="str">
        <f>Lembar2!G200</f>
        <v>MUSTHOFA</v>
      </c>
      <c r="H201" t="str">
        <f>Lembar2!H200</f>
        <v>MUNAFIAH</v>
      </c>
      <c r="I201" t="e">
        <f>VLOOKUP(B201,Lembar1!A$4:H$175,8,FALSE)</f>
        <v>#N/A</v>
      </c>
      <c r="J201" t="str">
        <f>Lembar2!C200</f>
        <v>Dewoka - Assalamah</v>
      </c>
    </row>
    <row r="202" spans="1:10" x14ac:dyDescent="0.25">
      <c r="A202">
        <v>427</v>
      </c>
      <c r="B202" t="str">
        <f>Lembar2!L201</f>
        <v>EBTAQ25-03.130</v>
      </c>
      <c r="C202" t="str">
        <f>Lembar2!D201</f>
        <v>HANIFA NUR FIDA</v>
      </c>
      <c r="D202" t="str">
        <f>Lembar2!I201</f>
        <v>Perempuan</v>
      </c>
      <c r="E202" t="str">
        <f>Lembar2!E201</f>
        <v>Demak</v>
      </c>
      <c r="F202" s="21">
        <f>Lembar2!F201</f>
        <v>41436</v>
      </c>
      <c r="G202" t="str">
        <f>Lembar2!G201</f>
        <v>Dwi Susanto</v>
      </c>
      <c r="H202" t="str">
        <f>Lembar2!H201</f>
        <v>Siti Nurjanah</v>
      </c>
      <c r="I202" t="e">
        <f>VLOOKUP(B202,Lembar1!A$4:H$175,8,FALSE)</f>
        <v>#N/A</v>
      </c>
      <c r="J202" t="str">
        <f>Lembar2!C201</f>
        <v>Dewoka - Nurul Iman</v>
      </c>
    </row>
    <row r="203" spans="1:10" x14ac:dyDescent="0.25">
      <c r="A203">
        <v>428</v>
      </c>
      <c r="B203" t="str">
        <f>Lembar2!L202</f>
        <v>EBTAQ25-03.131</v>
      </c>
      <c r="C203" t="str">
        <f>Lembar2!D202</f>
        <v>RIZKY KHOIRUL KHAMDANI</v>
      </c>
      <c r="D203" t="str">
        <f>Lembar2!I202</f>
        <v>Laki-laki</v>
      </c>
      <c r="E203" t="str">
        <f>Lembar2!E202</f>
        <v>DEMAK</v>
      </c>
      <c r="F203" s="21">
        <f>Lembar2!F202</f>
        <v>42087</v>
      </c>
      <c r="G203" t="str">
        <f>Lembar2!G202</f>
        <v>MOH KHOIRI</v>
      </c>
      <c r="H203" t="str">
        <f>Lembar2!H202</f>
        <v>DESI KARTIKA SARI</v>
      </c>
      <c r="I203" t="e">
        <f>VLOOKUP(B203,Lembar1!A$4:H$175,8,FALSE)</f>
        <v>#N/A</v>
      </c>
      <c r="J203" t="str">
        <f>Lembar2!C202</f>
        <v>Dewoka - Assalamah</v>
      </c>
    </row>
    <row r="204" spans="1:10" x14ac:dyDescent="0.25">
      <c r="A204">
        <v>429</v>
      </c>
      <c r="B204" t="str">
        <f>Lembar2!L203</f>
        <v>EBTAQ25-03.037</v>
      </c>
      <c r="C204" t="str">
        <f>Lembar2!D203</f>
        <v>Muhammadzakaramadhan</v>
      </c>
      <c r="D204" t="str">
        <f>Lembar2!I203</f>
        <v>Laki-laki</v>
      </c>
      <c r="E204" t="str">
        <f>Lembar2!E203</f>
        <v>Demak</v>
      </c>
      <c r="F204" s="21">
        <f>Lembar2!F203</f>
        <v>42884</v>
      </c>
      <c r="G204" t="str">
        <f>Lembar2!G203</f>
        <v>Ahmad faizin</v>
      </c>
      <c r="H204" t="str">
        <f>Lembar2!H203</f>
        <v>Nailul Muna</v>
      </c>
      <c r="I204" t="str">
        <f>VLOOKUP(B204,Lembar1!A$4:H$175,8,FALSE)</f>
        <v>BIO_Images/EBTAQ25-03.037.jpg</v>
      </c>
      <c r="J204" t="str">
        <f>Lembar2!C203</f>
        <v>BMW - Subulussalam</v>
      </c>
    </row>
    <row r="205" spans="1:10" x14ac:dyDescent="0.25">
      <c r="A205">
        <v>430</v>
      </c>
      <c r="B205" t="str">
        <f>Lembar2!L204</f>
        <v>EBTAQ25-04.016</v>
      </c>
      <c r="C205" t="str">
        <f>Lembar2!D204</f>
        <v>AZHARA ARFIANI PUTRI</v>
      </c>
      <c r="D205" t="str">
        <f>Lembar2!I204</f>
        <v>Perempuan</v>
      </c>
      <c r="E205" t="str">
        <f>Lembar2!E204</f>
        <v>Demak</v>
      </c>
      <c r="F205" s="21">
        <f>Lembar2!F204</f>
        <v>41739</v>
      </c>
      <c r="G205" t="str">
        <f>Lembar2!G204</f>
        <v>Rusmin</v>
      </c>
      <c r="H205" t="str">
        <f>Lembar2!H204</f>
        <v>Siti Mugiroh</v>
      </c>
      <c r="I205" t="e">
        <f>VLOOKUP(B205,Lembar1!A$4:H$175,8,FALSE)</f>
        <v>#N/A</v>
      </c>
      <c r="J205" t="str">
        <f>Lembar2!C204</f>
        <v>Karangga - Al Ijtihad Al Mubarok</v>
      </c>
    </row>
    <row r="206" spans="1:10" x14ac:dyDescent="0.25">
      <c r="A206">
        <v>431</v>
      </c>
      <c r="B206" t="str">
        <f>Lembar2!L205</f>
        <v>EBTAQ25-03.038</v>
      </c>
      <c r="C206" t="str">
        <f>Lembar2!D205</f>
        <v>ARSYILA AINUN MAHYA</v>
      </c>
      <c r="D206" t="str">
        <f>Lembar2!I205</f>
        <v>Perempuan</v>
      </c>
      <c r="E206" t="str">
        <f>Lembar2!E205</f>
        <v>Demak</v>
      </c>
      <c r="F206" s="21">
        <f>Lembar2!F205</f>
        <v>42948</v>
      </c>
      <c r="G206" t="str">
        <f>Lembar2!G205</f>
        <v>LUKMAN HAKIM</v>
      </c>
      <c r="H206" t="str">
        <f>Lembar2!H205</f>
        <v>AYU NINA</v>
      </c>
      <c r="I206" t="str">
        <f>VLOOKUP(B206,Lembar1!A$4:H$175,8,FALSE)</f>
        <v>BIO_Images/EBTAQ25-03.038.jpg</v>
      </c>
      <c r="J206" t="str">
        <f>Lembar2!C205</f>
        <v>BMW - Subulussalam</v>
      </c>
    </row>
    <row r="207" spans="1:10" x14ac:dyDescent="0.25">
      <c r="A207">
        <v>432</v>
      </c>
      <c r="B207" t="str">
        <f>Lembar2!L206</f>
        <v>EBTAQ25-03.039</v>
      </c>
      <c r="C207" t="str">
        <f>Lembar2!D206</f>
        <v>MAULIDA SAMHA MAHIRA</v>
      </c>
      <c r="D207" t="str">
        <f>Lembar2!I206</f>
        <v>Perempuan</v>
      </c>
      <c r="E207" t="str">
        <f>Lembar2!E206</f>
        <v>DEMAK</v>
      </c>
      <c r="F207" s="21">
        <f>Lembar2!F206</f>
        <v>41969</v>
      </c>
      <c r="G207" t="str">
        <f>Lembar2!G206</f>
        <v>ANIS SOLEH AFENDI</v>
      </c>
      <c r="H207" t="str">
        <f>Lembar2!H206</f>
        <v>AINI NURUL AF'IDAH</v>
      </c>
      <c r="I207" t="str">
        <f>VLOOKUP(B207,Lembar1!A$4:H$175,8,FALSE)</f>
        <v>BIO_Images/EBTAQ25-03.039.jpg</v>
      </c>
      <c r="J207" t="str">
        <f>Lembar2!C206</f>
        <v>BMW - Yanbu'ul Qur'an</v>
      </c>
    </row>
    <row r="208" spans="1:10" x14ac:dyDescent="0.25">
      <c r="A208">
        <v>433</v>
      </c>
      <c r="B208" t="str">
        <f>Lembar2!L207</f>
        <v>EBTAQ25-03.040</v>
      </c>
      <c r="C208" t="str">
        <f>Lembar2!D207</f>
        <v>WILLIS GANESA PUTRI</v>
      </c>
      <c r="D208" t="str">
        <f>Lembar2!I207</f>
        <v>Laki-laki, Perempuan</v>
      </c>
      <c r="E208" t="str">
        <f>Lembar2!E207</f>
        <v>DEMAK</v>
      </c>
      <c r="F208" s="21">
        <f>Lembar2!F207</f>
        <v>42316</v>
      </c>
      <c r="G208" t="str">
        <f>Lembar2!G207</f>
        <v>SUTRISNO</v>
      </c>
      <c r="H208" t="str">
        <f>Lembar2!H207</f>
        <v>UMI FADLILAH</v>
      </c>
      <c r="I208" t="str">
        <f>VLOOKUP(B208,Lembar1!A$4:H$175,8,FALSE)</f>
        <v>BIO_Images/EBTAQ25-03.040.jpg</v>
      </c>
      <c r="J208" t="str">
        <f>Lembar2!C207</f>
        <v>BMW - Yanbu'ul Qur'an</v>
      </c>
    </row>
    <row r="209" spans="1:10" x14ac:dyDescent="0.25">
      <c r="A209">
        <v>434</v>
      </c>
      <c r="B209" t="str">
        <f>Lembar2!L208</f>
        <v>EBTAQ25-03.041</v>
      </c>
      <c r="C209" t="str">
        <f>Lembar2!D208</f>
        <v>SAFIROTUL NURHAYATI</v>
      </c>
      <c r="D209" t="str">
        <f>Lembar2!I208</f>
        <v>Perempuan</v>
      </c>
      <c r="E209" t="str">
        <f>Lembar2!E208</f>
        <v>DEMAK</v>
      </c>
      <c r="F209" s="21">
        <f>Lembar2!F208</f>
        <v>42702</v>
      </c>
      <c r="G209" t="str">
        <f>Lembar2!G208</f>
        <v>AUNUR ROFIQ</v>
      </c>
      <c r="H209" t="str">
        <f>Lembar2!H208</f>
        <v>TATIK QOMARIYAH</v>
      </c>
      <c r="I209" t="str">
        <f>VLOOKUP(B209,Lembar1!A$4:H$175,8,FALSE)</f>
        <v>BIO_Images/EBTAQ25-03.041.jpg</v>
      </c>
      <c r="J209" t="str">
        <f>Lembar2!C208</f>
        <v>BMW - Subulussalam</v>
      </c>
    </row>
    <row r="210" spans="1:10" x14ac:dyDescent="0.25">
      <c r="A210">
        <v>435</v>
      </c>
      <c r="B210" t="str">
        <f>Lembar2!L209</f>
        <v>EBTAQ25-03.132</v>
      </c>
      <c r="C210" t="str">
        <f>Lembar2!D209</f>
        <v>KAISA FARZANA ASFIA</v>
      </c>
      <c r="D210" t="str">
        <f>Lembar2!I209</f>
        <v>Perempuan</v>
      </c>
      <c r="E210" t="str">
        <f>Lembar2!E209</f>
        <v>DEMAK</v>
      </c>
      <c r="F210" s="21">
        <f>Lembar2!F209</f>
        <v>42748</v>
      </c>
      <c r="G210" t="str">
        <f>Lembar2!G209</f>
        <v>CHOLIQUL AHSAN</v>
      </c>
      <c r="H210" t="str">
        <f>Lembar2!H209</f>
        <v>DURROTUN NASHIHAH</v>
      </c>
      <c r="I210" t="e">
        <f>VLOOKUP(B210,Lembar1!A$4:H$175,8,FALSE)</f>
        <v>#N/A</v>
      </c>
      <c r="J210" t="str">
        <f>Lembar2!C209</f>
        <v>Dewoka - Assalamah</v>
      </c>
    </row>
    <row r="211" spans="1:10" x14ac:dyDescent="0.25">
      <c r="A211">
        <v>436</v>
      </c>
      <c r="B211" t="str">
        <f>Lembar2!L210</f>
        <v>EBTAQ25-01.195</v>
      </c>
      <c r="C211" t="str">
        <f>Lembar2!D210</f>
        <v>Ahmad Abdika Assyauqi</v>
      </c>
      <c r="D211" t="str">
        <f>Lembar2!I210</f>
        <v>Laki-laki</v>
      </c>
      <c r="E211" t="str">
        <f>Lembar2!E210</f>
        <v>Demak</v>
      </c>
      <c r="F211" s="21">
        <f>Lembar2!F210</f>
        <v>43228</v>
      </c>
      <c r="G211" t="str">
        <f>Lembar2!G210</f>
        <v>Alaudin</v>
      </c>
      <c r="H211" t="str">
        <f>Lembar2!H210</f>
        <v>Lilis setyaningsih</v>
      </c>
      <c r="I211" t="str">
        <f>VLOOKUP(B211,Lembar1!A$4:H$175,8,FALSE)</f>
        <v>BIO_Images/EBTAQ25-01.195.jpg</v>
      </c>
      <c r="J211" t="str">
        <f>Lembar2!C210</f>
        <v>Karangga - Al Ijtihad Al Mubarok</v>
      </c>
    </row>
    <row r="212" spans="1:10" x14ac:dyDescent="0.25">
      <c r="A212">
        <v>437</v>
      </c>
      <c r="B212" t="str">
        <f>Lembar2!L211</f>
        <v>EBTAQ25-04.017</v>
      </c>
      <c r="C212" t="str">
        <f>Lembar2!D211</f>
        <v>DESTI INTAN NUR AINI</v>
      </c>
      <c r="D212" t="str">
        <f>Lembar2!I211</f>
        <v>Perempuan</v>
      </c>
      <c r="E212" t="str">
        <f>Lembar2!E211</f>
        <v>Demak</v>
      </c>
      <c r="F212" s="21">
        <f>Lembar2!F211</f>
        <v>42708</v>
      </c>
      <c r="G212" t="str">
        <f>Lembar2!G211</f>
        <v>Muhamad Saifudin</v>
      </c>
      <c r="H212" t="str">
        <f>Lembar2!H211</f>
        <v>Minkhatun</v>
      </c>
      <c r="I212" t="e">
        <f>VLOOKUP(B212,Lembar1!A$4:H$175,8,FALSE)</f>
        <v>#N/A</v>
      </c>
      <c r="J212" t="str">
        <f>Lembar2!C211</f>
        <v>Karangga - Al Ijtihad Al Mubarok</v>
      </c>
    </row>
    <row r="213" spans="1:10" x14ac:dyDescent="0.25">
      <c r="A213">
        <v>438</v>
      </c>
      <c r="B213" t="str">
        <f>Lembar2!L212</f>
        <v>EBTAQ25-03.133</v>
      </c>
      <c r="C213" t="str">
        <f>Lembar2!D212</f>
        <v>Ayunda Bella Orlin</v>
      </c>
      <c r="D213" t="str">
        <f>Lembar2!I212</f>
        <v>Perempuan</v>
      </c>
      <c r="E213" t="str">
        <f>Lembar2!E212</f>
        <v>Demak</v>
      </c>
      <c r="F213" s="21">
        <f>Lembar2!F212</f>
        <v>42239</v>
      </c>
      <c r="G213" t="str">
        <f>Lembar2!G212</f>
        <v>Mokhamad mustaqim</v>
      </c>
      <c r="H213" t="str">
        <f>Lembar2!H212</f>
        <v>Mutriah</v>
      </c>
      <c r="I213" t="e">
        <f>VLOOKUP(B213,Lembar1!A$4:H$175,8,FALSE)</f>
        <v>#N/A</v>
      </c>
      <c r="J213" t="str">
        <f>Lembar2!C212</f>
        <v>Dewoka - Assalamah</v>
      </c>
    </row>
    <row r="214" spans="1:10" x14ac:dyDescent="0.25">
      <c r="A214">
        <v>439</v>
      </c>
      <c r="B214" t="str">
        <f>Lembar2!L213</f>
        <v>EBTAQ25-04.018</v>
      </c>
      <c r="C214" t="str">
        <f>Lembar2!D213</f>
        <v>JIHAN THALITA SALSABILA</v>
      </c>
      <c r="D214" t="str">
        <f>Lembar2!I213</f>
        <v>Perempuan</v>
      </c>
      <c r="E214" t="str">
        <f>Lembar2!E213</f>
        <v>Kudus</v>
      </c>
      <c r="F214" s="21">
        <f>Lembar2!F213</f>
        <v>42374</v>
      </c>
      <c r="G214" t="str">
        <f>Lembar2!G213</f>
        <v>Ahmad Aspan</v>
      </c>
      <c r="H214" t="str">
        <f>Lembar2!H213</f>
        <v>Subaedah</v>
      </c>
      <c r="I214" t="e">
        <f>VLOOKUP(B214,Lembar1!A$4:H$175,8,FALSE)</f>
        <v>#N/A</v>
      </c>
      <c r="J214" t="str">
        <f>Lembar2!C213</f>
        <v>Karangga - Al Ijtihad Al Mubarok</v>
      </c>
    </row>
    <row r="215" spans="1:10" x14ac:dyDescent="0.25">
      <c r="A215">
        <v>440</v>
      </c>
      <c r="B215" t="str">
        <f>Lembar2!L214</f>
        <v>EBTAQ25-04.019</v>
      </c>
      <c r="C215" t="str">
        <f>Lembar2!D214</f>
        <v>AZZA KAMILIA</v>
      </c>
      <c r="D215" t="str">
        <f>Lembar2!I214</f>
        <v>Perempuan</v>
      </c>
      <c r="E215" t="str">
        <f>Lembar2!E214</f>
        <v>Demak</v>
      </c>
      <c r="F215" s="21">
        <f>Lembar2!F214</f>
        <v>42152</v>
      </c>
      <c r="G215" t="str">
        <f>Lembar2!G214</f>
        <v>Moh.Ansyori</v>
      </c>
      <c r="H215" t="str">
        <f>Lembar2!H214</f>
        <v>Khoirunisa</v>
      </c>
      <c r="I215" t="e">
        <f>VLOOKUP(B215,Lembar1!A$4:H$175,8,FALSE)</f>
        <v>#N/A</v>
      </c>
      <c r="J215" t="str">
        <f>Lembar2!C214</f>
        <v>Karangga - Al Ijtihad Al Mubarok</v>
      </c>
    </row>
    <row r="216" spans="1:10" x14ac:dyDescent="0.25">
      <c r="A216">
        <v>441</v>
      </c>
      <c r="B216" t="str">
        <f>Lembar2!L215</f>
        <v>EBTAQ25-04.020</v>
      </c>
      <c r="C216" t="str">
        <f>Lembar2!D215</f>
        <v>AQILLA ARINARRUSYDAA</v>
      </c>
      <c r="D216" t="str">
        <f>Lembar2!I215</f>
        <v>Perempuan</v>
      </c>
      <c r="E216" t="str">
        <f>Lembar2!E215</f>
        <v>Kudus</v>
      </c>
      <c r="F216" s="21">
        <f>Lembar2!F215</f>
        <v>42437</v>
      </c>
      <c r="G216" t="str">
        <f>Lembar2!G215</f>
        <v>Mahmud Zuhdi</v>
      </c>
      <c r="H216" t="str">
        <f>Lembar2!H215</f>
        <v>Sahlatun</v>
      </c>
      <c r="I216" t="e">
        <f>VLOOKUP(B216,Lembar1!A$4:H$175,8,FALSE)</f>
        <v>#N/A</v>
      </c>
      <c r="J216" t="str">
        <f>Lembar2!C215</f>
        <v>Karangga - Al Ijtihad Al Mubarok</v>
      </c>
    </row>
    <row r="217" spans="1:10" x14ac:dyDescent="0.25">
      <c r="A217">
        <v>442</v>
      </c>
      <c r="B217" t="str">
        <f>Lembar2!L216</f>
        <v>EBTAQ25-04.021</v>
      </c>
      <c r="C217" t="str">
        <f>Lembar2!D216</f>
        <v>MUHAMMAD MAULIDINA AKMAL</v>
      </c>
      <c r="D217" t="str">
        <f>Lembar2!I216</f>
        <v>Laki-laki</v>
      </c>
      <c r="E217" t="str">
        <f>Lembar2!E216</f>
        <v>Demak</v>
      </c>
      <c r="F217" s="21">
        <f>Lembar2!F216</f>
        <v>42007</v>
      </c>
      <c r="G217" t="str">
        <f>Lembar2!G216</f>
        <v>Ali Purwono</v>
      </c>
      <c r="H217" t="str">
        <f>Lembar2!H216</f>
        <v>Lutfiatul Anisah</v>
      </c>
      <c r="I217" t="e">
        <f>VLOOKUP(B217,Lembar1!A$4:H$175,8,FALSE)</f>
        <v>#N/A</v>
      </c>
      <c r="J217" t="str">
        <f>Lembar2!C216</f>
        <v>Karangga - Al Ijtihad Al Mubarok</v>
      </c>
    </row>
    <row r="218" spans="1:10" x14ac:dyDescent="0.25">
      <c r="A218">
        <v>443</v>
      </c>
      <c r="B218" t="str">
        <f>Lembar2!L217</f>
        <v>EBTAQ25-03.042</v>
      </c>
      <c r="C218" t="str">
        <f>Lembar2!D217</f>
        <v>RAHMA ARDI RAMADHANI</v>
      </c>
      <c r="D218" t="str">
        <f>Lembar2!I217</f>
        <v>Perempuan</v>
      </c>
      <c r="E218" t="str">
        <f>Lembar2!E217</f>
        <v>DEMAK</v>
      </c>
      <c r="F218" s="21">
        <f>Lembar2!F217</f>
        <v>41824</v>
      </c>
      <c r="G218" t="str">
        <f>Lembar2!G217</f>
        <v>SUHARDI</v>
      </c>
      <c r="H218" t="str">
        <f>Lembar2!H217</f>
        <v>ROFIAH</v>
      </c>
      <c r="I218" t="str">
        <f>VLOOKUP(B218,Lembar1!A$4:H$175,8,FALSE)</f>
        <v>BIO_Images/EBTAQ25-03.042.jpg</v>
      </c>
      <c r="J218" t="str">
        <f>Lembar2!C217</f>
        <v>BMW - Yanbu'ul Qur'an</v>
      </c>
    </row>
    <row r="219" spans="1:10" x14ac:dyDescent="0.25">
      <c r="A219">
        <v>444</v>
      </c>
      <c r="B219" t="str">
        <f>Lembar2!L218</f>
        <v>EBTAQ25-04.022</v>
      </c>
      <c r="C219" t="str">
        <f>Lembar2!D218</f>
        <v>Assyfa yusfina sandra</v>
      </c>
      <c r="D219" t="str">
        <f>Lembar2!I218</f>
        <v>Perempuan</v>
      </c>
      <c r="E219" t="str">
        <f>Lembar2!E218</f>
        <v>Demak</v>
      </c>
      <c r="F219" s="21">
        <f>Lembar2!F218</f>
        <v>42613</v>
      </c>
      <c r="G219" t="str">
        <f>Lembar2!G218</f>
        <v>Faizun ulirosad</v>
      </c>
      <c r="H219" t="str">
        <f>Lembar2!H218</f>
        <v>ikhwati</v>
      </c>
      <c r="I219" t="e">
        <f>VLOOKUP(B219,Lembar1!A$4:H$175,8,FALSE)</f>
        <v>#N/A</v>
      </c>
      <c r="J219" t="str">
        <f>Lembar2!C218</f>
        <v>Karangga - Al Ijtihad Al Mubarok</v>
      </c>
    </row>
    <row r="220" spans="1:10" x14ac:dyDescent="0.25">
      <c r="A220">
        <v>445</v>
      </c>
      <c r="B220" t="str">
        <f>Lembar2!L219</f>
        <v>EBTAQ25-04.023</v>
      </c>
      <c r="C220" t="str">
        <f>Lembar2!D219</f>
        <v>MUHAMMAD MAULIDINA AKHSAN</v>
      </c>
      <c r="D220" t="str">
        <f>Lembar2!I219</f>
        <v>Laki-laki</v>
      </c>
      <c r="E220" t="str">
        <f>Lembar2!E219</f>
        <v>Demak</v>
      </c>
      <c r="F220" s="21">
        <f>Lembar2!F219</f>
        <v>42007</v>
      </c>
      <c r="G220" t="str">
        <f>Lembar2!G219</f>
        <v>Ali Purwono</v>
      </c>
      <c r="H220" t="str">
        <f>Lembar2!H219</f>
        <v>Lutfiatul Anisah</v>
      </c>
      <c r="I220" t="e">
        <f>VLOOKUP(B220,Lembar1!A$4:H$175,8,FALSE)</f>
        <v>#N/A</v>
      </c>
      <c r="J220" t="str">
        <f>Lembar2!C219</f>
        <v>Karangga - Al Ijtihad Al Mubarok</v>
      </c>
    </row>
    <row r="221" spans="1:10" x14ac:dyDescent="0.25">
      <c r="A221">
        <v>446</v>
      </c>
      <c r="B221" t="str">
        <f>Lembar2!L220</f>
        <v>EBTAQ25-03.043</v>
      </c>
      <c r="C221" t="str">
        <f>Lembar2!D220</f>
        <v>AZRIL RASYA ABQORY</v>
      </c>
      <c r="D221" t="str">
        <f>Lembar2!I220</f>
        <v>Laki-laki</v>
      </c>
      <c r="E221" t="str">
        <f>Lembar2!E220</f>
        <v>DEMAK</v>
      </c>
      <c r="F221" s="21">
        <f>Lembar2!F220</f>
        <v>42478</v>
      </c>
      <c r="G221" t="str">
        <f>Lembar2!G220</f>
        <v>AHMAD SUPRAPTO</v>
      </c>
      <c r="H221" t="str">
        <f>Lembar2!H220</f>
        <v>DURROTUN NI'MAH</v>
      </c>
      <c r="I221" t="str">
        <f>VLOOKUP(B221,Lembar1!A$4:H$175,8,FALSE)</f>
        <v>BIO_Images/EBTAQ25-03.043.jpg</v>
      </c>
      <c r="J221" t="str">
        <f>Lembar2!C220</f>
        <v>BMW - As-Sa'idiyyah</v>
      </c>
    </row>
    <row r="222" spans="1:10" x14ac:dyDescent="0.25">
      <c r="A222">
        <v>447</v>
      </c>
      <c r="B222" t="str">
        <f>Lembar2!L221</f>
        <v>EBTAQ25-04.024</v>
      </c>
      <c r="C222" t="str">
        <f>Lembar2!D221</f>
        <v>RASYA MUHAMMAD ATHAYA</v>
      </c>
      <c r="D222" t="str">
        <f>Lembar2!I221</f>
        <v>Laki-laki</v>
      </c>
      <c r="E222" t="str">
        <f>Lembar2!E221</f>
        <v>Demak</v>
      </c>
      <c r="F222" s="21">
        <f>Lembar2!F221</f>
        <v>41774</v>
      </c>
      <c r="G222" t="str">
        <f>Lembar2!G221</f>
        <v>Mohamad Santoso</v>
      </c>
      <c r="H222" t="str">
        <f>Lembar2!H221</f>
        <v>Atik Suryandari</v>
      </c>
      <c r="I222" t="e">
        <f>VLOOKUP(B222,Lembar1!A$4:H$175,8,FALSE)</f>
        <v>#N/A</v>
      </c>
      <c r="J222" t="str">
        <f>Lembar2!C221</f>
        <v>Karangga - Al Ijtihad Al Mubarok</v>
      </c>
    </row>
    <row r="223" spans="1:10" x14ac:dyDescent="0.25">
      <c r="A223">
        <v>448</v>
      </c>
      <c r="B223" t="str">
        <f>Lembar2!L222</f>
        <v>EBTAQ25-04.025</v>
      </c>
      <c r="C223" t="str">
        <f>Lembar2!D222</f>
        <v>Rafi Wafiq Musawwar</v>
      </c>
      <c r="D223" t="str">
        <f>Lembar2!I222</f>
        <v>Laki-laki</v>
      </c>
      <c r="E223" t="str">
        <f>Lembar2!E222</f>
        <v>Demak</v>
      </c>
      <c r="F223" s="21">
        <f>Lembar2!F222</f>
        <v>41780</v>
      </c>
      <c r="G223" t="str">
        <f>Lembar2!G222</f>
        <v>Ahmad Soleh</v>
      </c>
      <c r="H223" t="str">
        <f>Lembar2!H222</f>
        <v>Reta Novi Ardianti</v>
      </c>
      <c r="I223" t="e">
        <f>VLOOKUP(B223,Lembar1!A$4:H$175,8,FALSE)</f>
        <v>#N/A</v>
      </c>
      <c r="J223" t="str">
        <f>Lembar2!C222</f>
        <v>Karangga - Mubarokah</v>
      </c>
    </row>
    <row r="224" spans="1:10" x14ac:dyDescent="0.25">
      <c r="A224">
        <v>449</v>
      </c>
      <c r="B224" t="str">
        <f>Lembar2!L223</f>
        <v>EBTAQ25-04.026</v>
      </c>
      <c r="C224" t="str">
        <f>Lembar2!D223</f>
        <v>MUHAMMAD JIBRIL AL MAKKI</v>
      </c>
      <c r="D224" t="str">
        <f>Lembar2!I223</f>
        <v>Laki-laki</v>
      </c>
      <c r="E224" t="str">
        <f>Lembar2!E223</f>
        <v>DEMAK</v>
      </c>
      <c r="F224" s="21">
        <f>Lembar2!F223</f>
        <v>41651</v>
      </c>
      <c r="G224" t="str">
        <f>Lembar2!G223</f>
        <v>SRI NOTO</v>
      </c>
      <c r="H224" t="str">
        <f>Lembar2!H223</f>
        <v>MIFTAKHUR RAHMAH</v>
      </c>
      <c r="I224" t="e">
        <f>VLOOKUP(B224,Lembar1!A$4:H$175,8,FALSE)</f>
        <v>#N/A</v>
      </c>
      <c r="J224" t="str">
        <f>Lembar2!C223</f>
        <v>Karangga - Mubarokah</v>
      </c>
    </row>
    <row r="225" spans="1:10" x14ac:dyDescent="0.25">
      <c r="A225">
        <v>450</v>
      </c>
      <c r="B225" t="str">
        <f>Lembar2!L224</f>
        <v>EBTAQ25-04.027</v>
      </c>
      <c r="C225" t="str">
        <f>Lembar2!D224</f>
        <v>Jastra Robert Ahmad Utama</v>
      </c>
      <c r="D225" t="str">
        <f>Lembar2!I224</f>
        <v>Laki-laki</v>
      </c>
      <c r="E225" t="str">
        <f>Lembar2!E224</f>
        <v>Kudus</v>
      </c>
      <c r="F225" s="21">
        <f>Lembar2!F224</f>
        <v>41792</v>
      </c>
      <c r="G225" t="str">
        <f>Lembar2!G224</f>
        <v>Ahmad kholiq</v>
      </c>
      <c r="H225" t="str">
        <f>Lembar2!H224</f>
        <v>Siti Rusminatun</v>
      </c>
      <c r="I225" t="e">
        <f>VLOOKUP(B225,Lembar1!A$4:H$175,8,FALSE)</f>
        <v>#N/A</v>
      </c>
      <c r="J225" t="str">
        <f>Lembar2!C224</f>
        <v>Karangga - Miftahul Ulum</v>
      </c>
    </row>
    <row r="226" spans="1:10" x14ac:dyDescent="0.25">
      <c r="A226">
        <v>451</v>
      </c>
      <c r="B226" t="str">
        <f>Lembar2!L225</f>
        <v>EBTAQ25-01.196</v>
      </c>
      <c r="C226" t="str">
        <f>Lembar2!D225</f>
        <v>JOKO JAYA PRAKOSO</v>
      </c>
      <c r="D226" t="str">
        <f>Lembar2!I225</f>
        <v>Laki-laki</v>
      </c>
      <c r="E226" t="str">
        <f>Lembar2!E225</f>
        <v>Demak</v>
      </c>
      <c r="F226" s="21">
        <f>Lembar2!F225</f>
        <v>41860</v>
      </c>
      <c r="G226" t="str">
        <f>Lembar2!G225</f>
        <v>SUWOTO</v>
      </c>
      <c r="H226" t="str">
        <f>Lembar2!H225</f>
        <v>ERNA WATI</v>
      </c>
      <c r="I226" t="str">
        <f>VLOOKUP(B226,Lembar1!A$4:H$175,8,FALSE)</f>
        <v>BIO_Images/EBTAQ25-01.196.jpg</v>
      </c>
      <c r="J226" t="str">
        <f>Lembar2!C225</f>
        <v>Demak - TPQ NURUL IMAN</v>
      </c>
    </row>
    <row r="227" spans="1:10" x14ac:dyDescent="0.25">
      <c r="A227">
        <v>452</v>
      </c>
      <c r="B227" t="str">
        <f>Lembar2!L226</f>
        <v>EBTAQ25-01.197</v>
      </c>
      <c r="C227" t="str">
        <f>Lembar2!D226</f>
        <v>NOVA ADELIA</v>
      </c>
      <c r="D227" t="str">
        <f>Lembar2!I226</f>
        <v>Perempuan</v>
      </c>
      <c r="E227" t="str">
        <f>Lembar2!E226</f>
        <v>Demak</v>
      </c>
      <c r="F227" s="21">
        <f>Lembar2!F226</f>
        <v>42697</v>
      </c>
      <c r="G227" t="str">
        <f>Lembar2!G226</f>
        <v>Sugiharto</v>
      </c>
      <c r="H227" t="str">
        <f>Lembar2!H226</f>
        <v>Juni Kundari</v>
      </c>
      <c r="I227" t="str">
        <f>VLOOKUP(B227,Lembar1!A$4:H$175,8,FALSE)</f>
        <v>BIO_Images/EBTAQ25-01.197.jpg</v>
      </c>
      <c r="J227" t="str">
        <f>Lembar2!C226</f>
        <v>Demak - TPQ NURUL IMAN</v>
      </c>
    </row>
    <row r="228" spans="1:10" x14ac:dyDescent="0.25">
      <c r="A228">
        <v>453</v>
      </c>
      <c r="B228" t="str">
        <f>Lembar2!L227</f>
        <v>EBTAQ25-04.028</v>
      </c>
      <c r="C228" t="str">
        <f>Lembar2!D227</f>
        <v>Afham Ats Tsani Akmalun Nugroho</v>
      </c>
      <c r="D228" t="str">
        <f>Lembar2!I227</f>
        <v>Laki-laki</v>
      </c>
      <c r="E228" t="str">
        <f>Lembar2!E227</f>
        <v>Demak</v>
      </c>
      <c r="F228" s="21">
        <f>Lembar2!F227</f>
        <v>41947</v>
      </c>
      <c r="G228" t="str">
        <f>Lembar2!G227</f>
        <v>Eriek Iryuanto Eko Nugroho</v>
      </c>
      <c r="H228" t="str">
        <f>Lembar2!H227</f>
        <v>Nur Hidayah</v>
      </c>
      <c r="I228" t="e">
        <f>VLOOKUP(B228,Lembar1!A$4:H$175,8,FALSE)</f>
        <v>#N/A</v>
      </c>
      <c r="J228" t="str">
        <f>Lembar2!C227</f>
        <v>Karangga - Miftahul Ulum</v>
      </c>
    </row>
    <row r="229" spans="1:10" x14ac:dyDescent="0.25">
      <c r="A229">
        <v>454</v>
      </c>
      <c r="B229" t="str">
        <f>Lembar2!L228</f>
        <v>EBTAQ25-01.198</v>
      </c>
      <c r="C229" t="str">
        <f>Lembar2!D228</f>
        <v>DEVINDA QIARA ALFADILA</v>
      </c>
      <c r="D229" t="str">
        <f>Lembar2!I228</f>
        <v>Perempuan</v>
      </c>
      <c r="E229" t="str">
        <f>Lembar2!E228</f>
        <v>Demak</v>
      </c>
      <c r="F229" s="21">
        <f>Lembar2!F228</f>
        <v>42049</v>
      </c>
      <c r="G229" t="str">
        <f>Lembar2!G228</f>
        <v>SUGONDO</v>
      </c>
      <c r="H229" t="str">
        <f>Lembar2!H228</f>
        <v>DIYAH SUTANTI</v>
      </c>
      <c r="I229" t="str">
        <f>VLOOKUP(B229,Lembar1!A$4:H$175,8,FALSE)</f>
        <v>BIO_Images/EBTAQ25-01.198.jpg</v>
      </c>
      <c r="J229" t="str">
        <f>Lembar2!C228</f>
        <v>Demak - TPQ NURUL IMAN</v>
      </c>
    </row>
    <row r="230" spans="1:10" x14ac:dyDescent="0.25">
      <c r="A230">
        <v>455</v>
      </c>
      <c r="B230" t="str">
        <f>Lembar2!L229</f>
        <v>EBTAQ25-04.029</v>
      </c>
      <c r="C230" t="str">
        <f>Lembar2!D229</f>
        <v>AMIRA AINUN MAHYA</v>
      </c>
      <c r="D230" t="str">
        <f>Lembar2!I229</f>
        <v>Perempuan</v>
      </c>
      <c r="E230" t="str">
        <f>Lembar2!E229</f>
        <v>DEMAK</v>
      </c>
      <c r="F230" s="21">
        <f>Lembar2!F229</f>
        <v>42464</v>
      </c>
      <c r="G230" t="str">
        <f>Lembar2!G229</f>
        <v>ZAENURI</v>
      </c>
      <c r="H230" t="str">
        <f>Lembar2!H229</f>
        <v>TUMI HARYATUN</v>
      </c>
      <c r="I230" t="e">
        <f>VLOOKUP(B230,Lembar1!A$4:H$175,8,FALSE)</f>
        <v>#N/A</v>
      </c>
      <c r="J230" t="str">
        <f>Lembar2!C229</f>
        <v>Karangga - Al Ijtihad Al Mubarok</v>
      </c>
    </row>
    <row r="231" spans="1:10" x14ac:dyDescent="0.25">
      <c r="A231">
        <v>456</v>
      </c>
      <c r="B231" t="str">
        <f>Lembar2!L230</f>
        <v>EBTAQ25-01.199</v>
      </c>
      <c r="C231" t="str">
        <f>Lembar2!D230</f>
        <v>Siti mawar adiya</v>
      </c>
      <c r="D231" t="str">
        <f>Lembar2!I230</f>
        <v>Perempuan</v>
      </c>
      <c r="E231" t="str">
        <f>Lembar2!E230</f>
        <v>Demak</v>
      </c>
      <c r="F231" s="21">
        <f>Lembar2!F230</f>
        <v>41953</v>
      </c>
      <c r="G231" t="str">
        <f>Lembar2!G230</f>
        <v>Muhammad rochim</v>
      </c>
      <c r="H231" t="str">
        <f>Lembar2!H230</f>
        <v>Ponirah</v>
      </c>
      <c r="I231" t="str">
        <f>VLOOKUP(B231,Lembar1!A$4:H$175,8,FALSE)</f>
        <v>BIO_Images/EBTAQ25-01.199.jpg</v>
      </c>
      <c r="J231" t="str">
        <f>Lembar2!C230</f>
        <v>Demak - TPQ NURUL IMAN</v>
      </c>
    </row>
    <row r="232" spans="1:10" x14ac:dyDescent="0.25">
      <c r="A232">
        <v>457</v>
      </c>
      <c r="B232" t="str">
        <f>Lembar2!L231</f>
        <v>EBTAQ25-01.200</v>
      </c>
      <c r="C232" t="str">
        <f>Lembar2!D231</f>
        <v>Muhammad ali akbar</v>
      </c>
      <c r="D232" t="str">
        <f>Lembar2!I231</f>
        <v>Laki-laki</v>
      </c>
      <c r="E232" t="str">
        <f>Lembar2!E231</f>
        <v>Demak</v>
      </c>
      <c r="F232" s="21">
        <f>Lembar2!F231</f>
        <v>46000</v>
      </c>
      <c r="G232" t="str">
        <f>Lembar2!G231</f>
        <v>Wahyu Budi Utomo</v>
      </c>
      <c r="H232" t="str">
        <f>Lembar2!H231</f>
        <v>Heni Sulistiyoningsih</v>
      </c>
      <c r="I232" t="str">
        <f>VLOOKUP(B232,Lembar1!A$4:H$175,8,FALSE)</f>
        <v>BIO_Images/EBTAQ25-01.200.jpg</v>
      </c>
      <c r="J232" t="str">
        <f>Lembar2!C231</f>
        <v>Demak - TPQ NURUL IMAN</v>
      </c>
    </row>
    <row r="233" spans="1:10" x14ac:dyDescent="0.25">
      <c r="A233">
        <v>458</v>
      </c>
      <c r="B233" t="str">
        <f>Lembar2!L232</f>
        <v>EBTAQ25-03.044</v>
      </c>
      <c r="C233" t="str">
        <f>Lembar2!D232</f>
        <v>ARNAWA BAHIROTUN NAZIKHA</v>
      </c>
      <c r="D233" t="str">
        <f>Lembar2!I232</f>
        <v>Perempuan</v>
      </c>
      <c r="E233" t="str">
        <f>Lembar2!E232</f>
        <v>Demak</v>
      </c>
      <c r="F233" s="21">
        <f>Lembar2!F232</f>
        <v>43091</v>
      </c>
      <c r="G233" t="str">
        <f>Lembar2!G232</f>
        <v>Rindin Ulin Nuha</v>
      </c>
      <c r="H233" t="str">
        <f>Lembar2!H232</f>
        <v>Mustainah</v>
      </c>
      <c r="I233" t="str">
        <f>VLOOKUP(B233,Lembar1!A$4:H$175,8,FALSE)</f>
        <v>BIO_Images/EBTAQ25-03.044.jpg</v>
      </c>
      <c r="J233" t="str">
        <f>Lembar2!C232</f>
        <v>BMW - Yanbu'ul Qur'an</v>
      </c>
    </row>
    <row r="234" spans="1:10" x14ac:dyDescent="0.25">
      <c r="A234">
        <v>459</v>
      </c>
      <c r="B234" t="str">
        <f>Lembar2!L233</f>
        <v>EBTAQ25-01.201</v>
      </c>
      <c r="C234" t="str">
        <f>Lembar2!D233</f>
        <v>Iqbal Zada Pradipta</v>
      </c>
      <c r="D234" t="str">
        <f>Lembar2!I233</f>
        <v>Laki-laki</v>
      </c>
      <c r="E234" t="str">
        <f>Lembar2!E233</f>
        <v>Demak</v>
      </c>
      <c r="F234" s="21">
        <f>Lembar2!F233</f>
        <v>41682</v>
      </c>
      <c r="G234" t="str">
        <f>Lembar2!G233</f>
        <v>Winarno</v>
      </c>
      <c r="H234" t="str">
        <f>Lembar2!H233</f>
        <v>Mastiah</v>
      </c>
      <c r="I234" t="str">
        <f>VLOOKUP(B234,Lembar1!A$4:H$175,8,FALSE)</f>
        <v>BIO_Images/EBTAQ25-01.201.jpeg</v>
      </c>
      <c r="J234" t="str">
        <f>Lembar2!C233</f>
        <v>Demak - TPQ NURUL IMAN</v>
      </c>
    </row>
    <row r="235" spans="1:10" x14ac:dyDescent="0.25">
      <c r="A235">
        <v>460</v>
      </c>
      <c r="B235" t="str">
        <f>Lembar2!L234</f>
        <v>EBTAQ25-01.202</v>
      </c>
      <c r="C235" t="str">
        <f>Lembar2!D234</f>
        <v>Muhammad Fahriza Rahman</v>
      </c>
      <c r="D235" t="str">
        <f>Lembar2!I234</f>
        <v>Laki-laki</v>
      </c>
      <c r="E235" t="str">
        <f>Lembar2!E234</f>
        <v>Demak</v>
      </c>
      <c r="F235" s="21">
        <f>Lembar2!F234</f>
        <v>42228</v>
      </c>
      <c r="G235" t="str">
        <f>Lembar2!G234</f>
        <v>Budiyanto</v>
      </c>
      <c r="H235" t="str">
        <f>Lembar2!H234</f>
        <v>Naily Rahmawati</v>
      </c>
      <c r="I235" t="str">
        <f>VLOOKUP(B235,Lembar1!A$4:H$175,8,FALSE)</f>
        <v>BIO_Images/EBTAQ25-01.202.jpg</v>
      </c>
      <c r="J235" t="str">
        <f>Lembar2!C234</f>
        <v>Demak - TPQ NURUL IMAN</v>
      </c>
    </row>
    <row r="236" spans="1:10" x14ac:dyDescent="0.25">
      <c r="A236">
        <v>461</v>
      </c>
      <c r="B236" t="str">
        <f>Lembar2!L235</f>
        <v>EBTAQ25-03.045</v>
      </c>
      <c r="C236" t="str">
        <f>Lembar2!D235</f>
        <v>AVA SHAKINA FITRI</v>
      </c>
      <c r="D236" t="str">
        <f>Lembar2!I235</f>
        <v>Perempuan</v>
      </c>
      <c r="E236" t="str">
        <f>Lembar2!E235</f>
        <v>Demak</v>
      </c>
      <c r="F236" s="21">
        <f>Lembar2!F235</f>
        <v>42977</v>
      </c>
      <c r="G236" t="str">
        <f>Lembar2!G235</f>
        <v>RIKHA LUTFI</v>
      </c>
      <c r="H236" t="str">
        <f>Lembar2!H235</f>
        <v>SRI WAHYUNI</v>
      </c>
      <c r="I236" t="str">
        <f>VLOOKUP(B236,Lembar1!A$4:H$175,8,FALSE)</f>
        <v>BIO_Images/EBTAQ25-03.045.jpg</v>
      </c>
      <c r="J236" t="str">
        <f>Lembar2!C235</f>
        <v>BMW - Yanbu'ul Qur'an</v>
      </c>
    </row>
    <row r="237" spans="1:10" x14ac:dyDescent="0.25">
      <c r="A237">
        <v>462</v>
      </c>
      <c r="B237" t="str">
        <f>Lembar2!L236</f>
        <v>EBTAQ25-04.030</v>
      </c>
      <c r="C237" t="str">
        <f>Lembar2!D236</f>
        <v>Cintya risqi azalia</v>
      </c>
      <c r="D237" t="str">
        <f>Lembar2!I236</f>
        <v>Perempuan</v>
      </c>
      <c r="E237" t="str">
        <f>Lembar2!E236</f>
        <v>Kudus</v>
      </c>
      <c r="F237" s="21">
        <f>Lembar2!F236</f>
        <v>42439</v>
      </c>
      <c r="G237" t="str">
        <f>Lembar2!G236</f>
        <v>Nurul anwar</v>
      </c>
      <c r="H237" t="str">
        <f>Lembar2!H236</f>
        <v>Tutik wiyanti</v>
      </c>
      <c r="I237" t="e">
        <f>VLOOKUP(B237,Lembar1!A$4:H$175,8,FALSE)</f>
        <v>#N/A</v>
      </c>
      <c r="J237" t="str">
        <f>Lembar2!C236</f>
        <v>Karangga - Miftahul Ulum,</v>
      </c>
    </row>
    <row r="238" spans="1:10" x14ac:dyDescent="0.25">
      <c r="A238">
        <v>463</v>
      </c>
      <c r="B238" t="str">
        <f>Lembar2!L237</f>
        <v>EBTAQ25-01.203</v>
      </c>
      <c r="C238" t="str">
        <f>Lembar2!D237</f>
        <v>Iqbal Zada Pradipta</v>
      </c>
      <c r="D238" t="str">
        <f>Lembar2!I237</f>
        <v>Laki-laki</v>
      </c>
      <c r="E238" t="str">
        <f>Lembar2!E237</f>
        <v>Demak</v>
      </c>
      <c r="F238" s="21">
        <f>Lembar2!F237</f>
        <v>41682</v>
      </c>
      <c r="G238" t="str">
        <f>Lembar2!G237</f>
        <v>Winarno</v>
      </c>
      <c r="H238" t="str">
        <f>Lembar2!H237</f>
        <v>Mastiah</v>
      </c>
      <c r="I238" t="str">
        <f>VLOOKUP(B238,Lembar1!A$4:H$175,8,FALSE)</f>
        <v>BIO_Images/EBTAQ25-01.203.jpg</v>
      </c>
      <c r="J238" t="str">
        <f>Lembar2!C237</f>
        <v>Demak - TPQ NURUL IMAN</v>
      </c>
    </row>
    <row r="239" spans="1:10" x14ac:dyDescent="0.25">
      <c r="A239">
        <v>464</v>
      </c>
      <c r="B239" t="str">
        <f>Lembar2!L238</f>
        <v>EBTAQ25-03.134</v>
      </c>
      <c r="C239" t="str">
        <f>Lembar2!D238</f>
        <v>Lazinatul Maulidya</v>
      </c>
      <c r="D239" t="str">
        <f>Lembar2!I238</f>
        <v>Perempuan</v>
      </c>
      <c r="E239" t="str">
        <f>Lembar2!E238</f>
        <v>Demak</v>
      </c>
      <c r="F239" s="21">
        <f>Lembar2!F238</f>
        <v>43085</v>
      </c>
      <c r="G239" t="str">
        <f>Lembar2!G238</f>
        <v>Ngasiran</v>
      </c>
      <c r="H239" t="str">
        <f>Lembar2!H238</f>
        <v>Siti Munafiah</v>
      </c>
      <c r="I239" t="e">
        <f>VLOOKUP(B239,Lembar1!A$4:H$175,8,FALSE)</f>
        <v>#N/A</v>
      </c>
      <c r="J239" t="str">
        <f>Lembar2!C238</f>
        <v>Dewoka - Nurul Iman</v>
      </c>
    </row>
    <row r="240" spans="1:10" x14ac:dyDescent="0.25">
      <c r="A240">
        <v>465</v>
      </c>
      <c r="B240" t="str">
        <f>Lembar2!L239</f>
        <v>EBTAQ25-01.204</v>
      </c>
      <c r="C240" t="str">
        <f>Lembar2!D239</f>
        <v>Muhammad Fahriza Rahman</v>
      </c>
      <c r="D240" t="str">
        <f>Lembar2!I239</f>
        <v>Laki-laki</v>
      </c>
      <c r="E240" t="str">
        <f>Lembar2!E239</f>
        <v>Demak</v>
      </c>
      <c r="F240" s="21">
        <f>Lembar2!F239</f>
        <v>42228</v>
      </c>
      <c r="G240" t="str">
        <f>Lembar2!G239</f>
        <v>Budiyanto</v>
      </c>
      <c r="H240" t="str">
        <f>Lembar2!H239</f>
        <v>Naily Rahmawati</v>
      </c>
      <c r="I240" t="str">
        <f>VLOOKUP(B240,Lembar1!A$4:H$175,8,FALSE)</f>
        <v>BIO_Images/EBTAQ25-01.204.jpg</v>
      </c>
      <c r="J240" t="str">
        <f>Lembar2!C239</f>
        <v>Demak - TPQ NURUL IMAN</v>
      </c>
    </row>
    <row r="241" spans="1:10" x14ac:dyDescent="0.25">
      <c r="A241">
        <v>466</v>
      </c>
      <c r="B241" t="str">
        <f>Lembar2!L240</f>
        <v>EBTAQ25-03.135</v>
      </c>
      <c r="C241" t="str">
        <f>Lembar2!D240</f>
        <v>Alifiya Nuril Ilma</v>
      </c>
      <c r="D241" t="str">
        <f>Lembar2!I240</f>
        <v>Perempuan</v>
      </c>
      <c r="E241" t="str">
        <f>Lembar2!E240</f>
        <v>Demak</v>
      </c>
      <c r="F241" s="21">
        <f>Lembar2!F240</f>
        <v>42055</v>
      </c>
      <c r="G241" t="str">
        <f>Lembar2!G240</f>
        <v>Muhamad shokip</v>
      </c>
      <c r="H241" t="str">
        <f>Lembar2!H240</f>
        <v>Sukris irnawati</v>
      </c>
      <c r="I241" t="e">
        <f>VLOOKUP(B241,Lembar1!A$4:H$175,8,FALSE)</f>
        <v>#N/A</v>
      </c>
      <c r="J241" t="str">
        <f>Lembar2!C240</f>
        <v>Dewoka - Nurul Iman</v>
      </c>
    </row>
    <row r="242" spans="1:10" x14ac:dyDescent="0.25">
      <c r="A242">
        <v>467</v>
      </c>
      <c r="B242" t="str">
        <f>Lembar2!L241</f>
        <v>EBTAQ25-04.031</v>
      </c>
      <c r="C242" t="str">
        <f>Lembar2!D241</f>
        <v>Yasmin Rahardian</v>
      </c>
      <c r="D242" t="str">
        <f>Lembar2!I241</f>
        <v>Perempuan</v>
      </c>
      <c r="E242" t="str">
        <f>Lembar2!E241</f>
        <v>Demak</v>
      </c>
      <c r="F242" s="21">
        <f>Lembar2!F241</f>
        <v>42195</v>
      </c>
      <c r="G242" t="str">
        <f>Lembar2!G241</f>
        <v>Rohadi</v>
      </c>
      <c r="H242" t="str">
        <f>Lembar2!H241</f>
        <v>Rohmin</v>
      </c>
      <c r="I242" t="e">
        <f>VLOOKUP(B242,Lembar1!A$4:H$175,8,FALSE)</f>
        <v>#N/A</v>
      </c>
      <c r="J242" t="str">
        <f>Lembar2!C241</f>
        <v>Karangga - Mubarokah</v>
      </c>
    </row>
    <row r="243" spans="1:10" x14ac:dyDescent="0.25">
      <c r="A243">
        <v>468</v>
      </c>
      <c r="B243" t="str">
        <f>Lembar2!L242</f>
        <v>EBTAQ25-01.205</v>
      </c>
      <c r="C243" t="str">
        <f>Lembar2!D242</f>
        <v>SITI MASRIDATUN NAFIAH</v>
      </c>
      <c r="D243" t="str">
        <f>Lembar2!I242</f>
        <v>Perempuan</v>
      </c>
      <c r="E243" t="str">
        <f>Lembar2!E242</f>
        <v>Demak</v>
      </c>
      <c r="F243" s="21">
        <f>Lembar2!F242</f>
        <v>41602</v>
      </c>
      <c r="G243" t="str">
        <f>Lembar2!G242</f>
        <v>PARWONO</v>
      </c>
      <c r="H243" t="str">
        <f>Lembar2!H242</f>
        <v>PIK WIDAYAH</v>
      </c>
      <c r="I243" t="str">
        <f>VLOOKUP(B243,Lembar1!A$4:H$175,8,FALSE)</f>
        <v>BIO_Images/EBTAQ25-01.205.jpg</v>
      </c>
      <c r="J243" t="str">
        <f>Lembar2!C242</f>
        <v>Demak - TPQ NURUL IMAN</v>
      </c>
    </row>
    <row r="244" spans="1:10" x14ac:dyDescent="0.25">
      <c r="A244">
        <v>469</v>
      </c>
      <c r="B244" t="str">
        <f>Lembar2!L243</f>
        <v>EBTAQ25-04.032</v>
      </c>
      <c r="C244" t="str">
        <f>Lembar2!D243</f>
        <v>MUHAMMAD NAUFAL HASAN</v>
      </c>
      <c r="D244" t="str">
        <f>Lembar2!I243</f>
        <v>Laki-laki</v>
      </c>
      <c r="E244" t="str">
        <f>Lembar2!E243</f>
        <v>Demak</v>
      </c>
      <c r="F244" s="21">
        <f>Lembar2!F243</f>
        <v>41629</v>
      </c>
      <c r="G244" t="str">
        <f>Lembar2!G243</f>
        <v>Susilo</v>
      </c>
      <c r="H244" t="str">
        <f>Lembar2!H243</f>
        <v>Widya Desianingsih</v>
      </c>
      <c r="I244" t="e">
        <f>VLOOKUP(B244,Lembar1!A$4:H$175,8,FALSE)</f>
        <v>#N/A</v>
      </c>
      <c r="J244" t="str">
        <f>Lembar2!C243</f>
        <v>Karangga - Al Hikmah</v>
      </c>
    </row>
    <row r="245" spans="1:10" x14ac:dyDescent="0.25">
      <c r="A245">
        <v>470</v>
      </c>
      <c r="B245" t="str">
        <f>Lembar2!L244</f>
        <v>EBTAQ25-03.136</v>
      </c>
      <c r="C245" t="str">
        <f>Lembar2!D244</f>
        <v>fahriza irsad malik</v>
      </c>
      <c r="D245" t="str">
        <f>Lembar2!I244</f>
        <v>Laki-laki</v>
      </c>
      <c r="E245" t="str">
        <f>Lembar2!E244</f>
        <v>Demak</v>
      </c>
      <c r="F245" s="21">
        <f>Lembar2!F244</f>
        <v>42420</v>
      </c>
      <c r="G245" t="str">
        <f>Lembar2!G244</f>
        <v>Mustofa</v>
      </c>
      <c r="H245" t="str">
        <f>Lembar2!H244</f>
        <v>Siti khotijah</v>
      </c>
      <c r="I245" t="e">
        <f>VLOOKUP(B245,Lembar1!A$4:H$175,8,FALSE)</f>
        <v>#N/A</v>
      </c>
      <c r="J245" t="str">
        <f>Lembar2!C244</f>
        <v>Dewoka - Nurul Iman</v>
      </c>
    </row>
    <row r="246" spans="1:10" x14ac:dyDescent="0.25">
      <c r="A246">
        <v>471</v>
      </c>
      <c r="B246" t="str">
        <f>Lembar2!L245</f>
        <v>EBTAQ25-04.033</v>
      </c>
      <c r="C246" t="str">
        <f>Lembar2!D245</f>
        <v>Hakima Ghaida Aqila</v>
      </c>
      <c r="D246" t="str">
        <f>Lembar2!I245</f>
        <v>Perempuan</v>
      </c>
      <c r="E246" t="str">
        <f>Lembar2!E245</f>
        <v>Kudus</v>
      </c>
      <c r="F246" s="21">
        <f>Lembar2!F245</f>
        <v>41770</v>
      </c>
      <c r="G246" t="str">
        <f>Lembar2!G245</f>
        <v>Sudarsono</v>
      </c>
      <c r="H246" t="str">
        <f>Lembar2!H245</f>
        <v>Siti rahmawati</v>
      </c>
      <c r="I246" t="e">
        <f>VLOOKUP(B246,Lembar1!A$4:H$175,8,FALSE)</f>
        <v>#N/A</v>
      </c>
      <c r="J246" t="str">
        <f>Lembar2!C245</f>
        <v>Karangga - Miftahul Ulum</v>
      </c>
    </row>
    <row r="247" spans="1:10" x14ac:dyDescent="0.25">
      <c r="A247">
        <v>472</v>
      </c>
      <c r="B247" t="str">
        <f>Lembar2!L246</f>
        <v>EBTAQ25-04.034</v>
      </c>
      <c r="C247" t="str">
        <f>Lembar2!D246</f>
        <v>ZULFA NIDA HUSNA</v>
      </c>
      <c r="D247" t="str">
        <f>Lembar2!I246</f>
        <v>Perempuan</v>
      </c>
      <c r="E247" t="str">
        <f>Lembar2!E246</f>
        <v>DEMAK</v>
      </c>
      <c r="F247" s="21">
        <f>Lembar2!F246</f>
        <v>42326</v>
      </c>
      <c r="G247" t="str">
        <f>Lembar2!G246</f>
        <v>MUHAMMAD MA'RUF,S.Ag</v>
      </c>
      <c r="H247" t="str">
        <f>Lembar2!H246</f>
        <v>SITI MAHMUDAH</v>
      </c>
      <c r="I247" t="e">
        <f>VLOOKUP(B247,Lembar1!A$4:H$175,8,FALSE)</f>
        <v>#N/A</v>
      </c>
      <c r="J247" t="str">
        <f>Lembar2!C246</f>
        <v>Karangga - Mubarokah</v>
      </c>
    </row>
    <row r="248" spans="1:10" x14ac:dyDescent="0.25">
      <c r="A248">
        <v>473</v>
      </c>
      <c r="B248" t="str">
        <f>Lembar2!L247</f>
        <v>EBTAQ25-01.206</v>
      </c>
      <c r="C248" t="str">
        <f>Lembar2!D247</f>
        <v>Assyifa Mufidatur Rochmah</v>
      </c>
      <c r="D248" t="str">
        <f>Lembar2!I247</f>
        <v>Perempuan</v>
      </c>
      <c r="E248" t="str">
        <f>Lembar2!E247</f>
        <v>Demak</v>
      </c>
      <c r="F248" s="21">
        <f>Lembar2!F247</f>
        <v>41632</v>
      </c>
      <c r="G248" t="str">
        <f>Lembar2!G247</f>
        <v>Rochmadi</v>
      </c>
      <c r="H248" t="str">
        <f>Lembar2!H247</f>
        <v>Isnawiyah</v>
      </c>
      <c r="I248" t="str">
        <f>VLOOKUP(B248,Lembar1!A$4:H$175,8,FALSE)</f>
        <v>BIO_Images/EBTAQ25-01.206.jpg</v>
      </c>
      <c r="J248" t="str">
        <f>Lembar2!C247</f>
        <v>Demak - TPQ al Furqon</v>
      </c>
    </row>
    <row r="249" spans="1:10" x14ac:dyDescent="0.25">
      <c r="A249">
        <v>474</v>
      </c>
      <c r="B249" t="str">
        <f>Lembar2!L248</f>
        <v>EBTAQ25-04.035</v>
      </c>
      <c r="C249" t="str">
        <f>Lembar2!D248</f>
        <v>SUCI RAMADHANI</v>
      </c>
      <c r="D249" t="str">
        <f>Lembar2!I248</f>
        <v>Perempuan</v>
      </c>
      <c r="E249" t="str">
        <f>Lembar2!E248</f>
        <v>Demak</v>
      </c>
      <c r="F249" s="21">
        <f>Lembar2!F248</f>
        <v>41819</v>
      </c>
      <c r="G249" t="str">
        <f>Lembar2!G248</f>
        <v>Sugeng widodo</v>
      </c>
      <c r="H249" t="str">
        <f>Lembar2!H248</f>
        <v>Musliyah</v>
      </c>
      <c r="I249" t="e">
        <f>VLOOKUP(B249,Lembar1!A$4:H$175,8,FALSE)</f>
        <v>#N/A</v>
      </c>
      <c r="J249" t="str">
        <f>Lembar2!C248</f>
        <v>Karangga - Mubarokah</v>
      </c>
    </row>
    <row r="250" spans="1:10" x14ac:dyDescent="0.25">
      <c r="A250">
        <v>475</v>
      </c>
      <c r="B250" t="str">
        <f>Lembar2!L249</f>
        <v>EBTAQ25-03.137</v>
      </c>
      <c r="C250" t="str">
        <f>Lembar2!D249</f>
        <v>Selia Andriani Hardaningrum</v>
      </c>
      <c r="D250" t="str">
        <f>Lembar2!I249</f>
        <v>Perempuan</v>
      </c>
      <c r="E250" t="str">
        <f>Lembar2!E249</f>
        <v>Kudus</v>
      </c>
      <c r="F250" s="21">
        <f>Lembar2!F249</f>
        <v>42864</v>
      </c>
      <c r="G250" t="str">
        <f>Lembar2!G249</f>
        <v>Muhamad Muji Hardaningrum</v>
      </c>
      <c r="H250" t="str">
        <f>Lembar2!H249</f>
        <v>Rismawati</v>
      </c>
      <c r="I250" t="e">
        <f>VLOOKUP(B250,Lembar1!A$4:H$175,8,FALSE)</f>
        <v>#N/A</v>
      </c>
      <c r="J250" t="str">
        <f>Lembar2!C249</f>
        <v>Dewoka - Nurul Iman</v>
      </c>
    </row>
    <row r="251" spans="1:10" x14ac:dyDescent="0.25">
      <c r="A251">
        <v>476</v>
      </c>
      <c r="B251" t="str">
        <f>Lembar2!L250</f>
        <v>EBTAQ25-01.207</v>
      </c>
      <c r="C251" t="str">
        <f>Lembar2!D250</f>
        <v>Izza lailatul muna</v>
      </c>
      <c r="D251" t="str">
        <f>Lembar2!I250</f>
        <v>Perempuan</v>
      </c>
      <c r="E251" t="str">
        <f>Lembar2!E250</f>
        <v>Cangring rembang,DEMAK</v>
      </c>
      <c r="F251" s="21">
        <f>Lembar2!F250</f>
        <v>42005</v>
      </c>
      <c r="G251" t="str">
        <f>Lembar2!G250</f>
        <v>Masturin</v>
      </c>
      <c r="H251" t="str">
        <f>Lembar2!H250</f>
        <v>tri lasmiatun</v>
      </c>
      <c r="I251" t="str">
        <f>VLOOKUP(B251,Lembar1!A$4:H$175,8,FALSE)</f>
        <v>BIO_Images/EBTAQ25-01.207.jpg</v>
      </c>
      <c r="J251" t="str">
        <f>Lembar2!C250</f>
        <v>Demak - TPQ al Furqon</v>
      </c>
    </row>
    <row r="252" spans="1:10" x14ac:dyDescent="0.25">
      <c r="A252">
        <v>477</v>
      </c>
      <c r="B252" t="str">
        <f>Lembar2!L251</f>
        <v>EBTAQ25-01.208</v>
      </c>
      <c r="C252" t="str">
        <f>Lembar2!D251</f>
        <v>Adelia faranisa azni</v>
      </c>
      <c r="D252" t="str">
        <f>Lembar2!I251</f>
        <v>Perempuan</v>
      </c>
      <c r="E252" t="str">
        <f>Lembar2!E251</f>
        <v>Demak</v>
      </c>
      <c r="F252" s="21">
        <f>Lembar2!F251</f>
        <v>42102</v>
      </c>
      <c r="G252" t="str">
        <f>Lembar2!G251</f>
        <v>Puji Widarto</v>
      </c>
      <c r="H252" t="str">
        <f>Lembar2!H251</f>
        <v>Ratnasari</v>
      </c>
      <c r="I252" t="str">
        <f>VLOOKUP(B252,Lembar1!A$4:H$175,8,FALSE)</f>
        <v>BIO_Images/EBTAQ25-01.208.jpg</v>
      </c>
      <c r="J252" t="str">
        <f>Lembar2!C251</f>
        <v>Demak - TPQ NURUL IMAN</v>
      </c>
    </row>
    <row r="253" spans="1:10" x14ac:dyDescent="0.25">
      <c r="A253">
        <v>478</v>
      </c>
      <c r="B253" t="str">
        <f>Lembar2!L252</f>
        <v>EBTAQ25-04.036</v>
      </c>
      <c r="C253" t="str">
        <f>Lembar2!D252</f>
        <v>AURA SALMAN ALFARIZI</v>
      </c>
      <c r="D253" t="str">
        <f>Lembar2!I252</f>
        <v>Laki-laki</v>
      </c>
      <c r="E253" t="str">
        <f>Lembar2!E252</f>
        <v>Blora</v>
      </c>
      <c r="F253" s="21">
        <f>Lembar2!F252</f>
        <v>42198</v>
      </c>
      <c r="G253" t="str">
        <f>Lembar2!G252</f>
        <v>Joko towo</v>
      </c>
      <c r="H253" t="str">
        <f>Lembar2!H252</f>
        <v>Mei suci asmorowati</v>
      </c>
      <c r="I253" t="e">
        <f>VLOOKUP(B253,Lembar1!A$4:H$175,8,FALSE)</f>
        <v>#N/A</v>
      </c>
      <c r="J253" t="str">
        <f>Lembar2!C252</f>
        <v>Karangga - Darul Hikam</v>
      </c>
    </row>
    <row r="254" spans="1:10" x14ac:dyDescent="0.25">
      <c r="A254">
        <v>479</v>
      </c>
      <c r="B254" t="str">
        <f>Lembar2!L253</f>
        <v>EBTAQ25-04.037</v>
      </c>
      <c r="C254" t="str">
        <f>Lembar2!D253</f>
        <v>Jovita Aisyah Putri Budiharjo</v>
      </c>
      <c r="D254" t="str">
        <f>Lembar2!I253</f>
        <v>Perempuan</v>
      </c>
      <c r="E254" t="str">
        <f>Lembar2!E253</f>
        <v>Demak</v>
      </c>
      <c r="F254" s="21">
        <f>Lembar2!F253</f>
        <v>41631</v>
      </c>
      <c r="G254" t="str">
        <f>Lembar2!G253</f>
        <v>Muhtarom Budiharjo</v>
      </c>
      <c r="H254" t="str">
        <f>Lembar2!H253</f>
        <v>Sri Susilowati</v>
      </c>
      <c r="I254" t="e">
        <f>VLOOKUP(B254,Lembar1!A$4:H$175,8,FALSE)</f>
        <v>#N/A</v>
      </c>
      <c r="J254" t="str">
        <f>Lembar2!C253</f>
        <v>Karangga - Mubarokah</v>
      </c>
    </row>
    <row r="255" spans="1:10" x14ac:dyDescent="0.25">
      <c r="A255">
        <v>480</v>
      </c>
      <c r="B255" t="str">
        <f>Lembar2!L254</f>
        <v>EBTAQ25-01.209</v>
      </c>
      <c r="C255" t="str">
        <f>Lembar2!D254</f>
        <v>A'inur Riza Wafiroh</v>
      </c>
      <c r="D255" t="str">
        <f>Lembar2!I254</f>
        <v>Perempuan</v>
      </c>
      <c r="E255" t="str">
        <f>Lembar2!E254</f>
        <v>Demak</v>
      </c>
      <c r="F255" s="21">
        <f>Lembar2!F254</f>
        <v>41714</v>
      </c>
      <c r="G255" t="str">
        <f>Lembar2!G254</f>
        <v>Saeful Hadi</v>
      </c>
      <c r="H255" t="str">
        <f>Lembar2!H254</f>
        <v>Alm.Munawaroh</v>
      </c>
      <c r="I255" t="str">
        <f>VLOOKUP(B255,Lembar1!A$4:H$175,8,FALSE)</f>
        <v>BIO_Images/EBTAQ25-01.209.jpg</v>
      </c>
      <c r="J255" t="str">
        <f>Lembar2!C254</f>
        <v>BMW - Roudhotut Tholibin</v>
      </c>
    </row>
    <row r="256" spans="1:10" x14ac:dyDescent="0.25">
      <c r="A256">
        <v>481</v>
      </c>
      <c r="B256" t="str">
        <f>Lembar2!L255</f>
        <v>EBTAQ25-01.210</v>
      </c>
      <c r="C256" t="str">
        <f>Lembar2!D255</f>
        <v>prischaila hanny alvenira</v>
      </c>
      <c r="D256" t="str">
        <f>Lembar2!I255</f>
        <v>Perempuan</v>
      </c>
      <c r="E256" t="str">
        <f>Lembar2!E255</f>
        <v>demak</v>
      </c>
      <c r="F256" s="21">
        <f>Lembar2!F255</f>
        <v>42101</v>
      </c>
      <c r="G256" t="str">
        <f>Lembar2!G255</f>
        <v>budi suyanto</v>
      </c>
      <c r="H256" t="str">
        <f>Lembar2!H255</f>
        <v>eni setiyowati</v>
      </c>
      <c r="I256" t="str">
        <f>VLOOKUP(B256,Lembar1!A$4:H$175,8,FALSE)</f>
        <v>BIO_Images/EBTAQ25-01.210.jpg</v>
      </c>
      <c r="J256" t="str">
        <f>Lembar2!C255</f>
        <v>Demak - TPQ NURUL IMAN</v>
      </c>
    </row>
    <row r="257" spans="1:10" x14ac:dyDescent="0.25">
      <c r="A257">
        <v>482</v>
      </c>
      <c r="B257" t="str">
        <f>Lembar2!L256</f>
        <v>EBTAQ25-01.211</v>
      </c>
      <c r="C257" t="str">
        <f>Lembar2!D256</f>
        <v>KEYSHA Al MAQHVIRA</v>
      </c>
      <c r="D257" t="str">
        <f>Lembar2!I256</f>
        <v>Perempuan</v>
      </c>
      <c r="E257" t="str">
        <f>Lembar2!E256</f>
        <v>Demak</v>
      </c>
      <c r="F257" s="21">
        <f>Lembar2!F256</f>
        <v>42233</v>
      </c>
      <c r="G257" t="str">
        <f>Lembar2!G256</f>
        <v>Agus suradi</v>
      </c>
      <c r="H257" t="str">
        <f>Lembar2!H256</f>
        <v>Purwaningsih</v>
      </c>
      <c r="I257" t="str">
        <f>VLOOKUP(B257,Lembar1!A$4:H$175,8,FALSE)</f>
        <v>BIO_Images/EBTAQ25-01.211.jpg</v>
      </c>
      <c r="J257" t="str">
        <f>Lembar2!C256</f>
        <v>Demak - TPQ NURUL IMAN</v>
      </c>
    </row>
    <row r="258" spans="1:10" x14ac:dyDescent="0.25">
      <c r="A258">
        <v>483</v>
      </c>
      <c r="B258" t="str">
        <f>Lembar2!L257</f>
        <v>EBTAQ25-03.138</v>
      </c>
      <c r="C258" t="str">
        <f>Lembar2!D257</f>
        <v>Mumtazah Mazinatul Aqilah</v>
      </c>
      <c r="D258" t="str">
        <f>Lembar2!I257</f>
        <v>Perempuan</v>
      </c>
      <c r="E258" t="str">
        <f>Lembar2!E257</f>
        <v>Tabanan</v>
      </c>
      <c r="F258" s="21">
        <f>Lembar2!F257</f>
        <v>42609</v>
      </c>
      <c r="G258" t="str">
        <f>Lembar2!G257</f>
        <v>Muhammad Abdul Rozaq</v>
      </c>
      <c r="H258" t="str">
        <f>Lembar2!H257</f>
        <v>Astuti</v>
      </c>
      <c r="I258" t="e">
        <f>VLOOKUP(B258,Lembar1!A$4:H$175,8,FALSE)</f>
        <v>#N/A</v>
      </c>
      <c r="J258" t="str">
        <f>Lembar2!C257</f>
        <v>Dewoka - Nuzulur Rohmah</v>
      </c>
    </row>
    <row r="259" spans="1:10" x14ac:dyDescent="0.25">
      <c r="A259">
        <v>484</v>
      </c>
      <c r="B259" t="str">
        <f>Lembar2!L258</f>
        <v>EBTAQ25-01.212</v>
      </c>
      <c r="C259" t="str">
        <f>Lembar2!D258</f>
        <v>Prischaila hanny alvenira</v>
      </c>
      <c r="D259" t="str">
        <f>Lembar2!I258</f>
        <v>Perempuan</v>
      </c>
      <c r="E259" t="str">
        <f>Lembar2!E258</f>
        <v>Demak</v>
      </c>
      <c r="F259" s="21">
        <f>Lembar2!F258</f>
        <v>42101</v>
      </c>
      <c r="G259" t="str">
        <f>Lembar2!G258</f>
        <v>Budi suyanto</v>
      </c>
      <c r="H259" t="str">
        <f>Lembar2!H258</f>
        <v>Eni setiyowati</v>
      </c>
      <c r="I259" t="str">
        <f>VLOOKUP(B259,Lembar1!A$4:H$175,8,FALSE)</f>
        <v>BIO_Images/EBTAQ25-01.212.jpeg</v>
      </c>
      <c r="J259" t="str">
        <f>Lembar2!C258</f>
        <v>Demak - TPQ NURUL IMAN</v>
      </c>
    </row>
    <row r="260" spans="1:10" x14ac:dyDescent="0.25">
      <c r="A260">
        <v>485</v>
      </c>
      <c r="B260" t="str">
        <f>Lembar2!L259</f>
        <v>EBTAQ25-01.213</v>
      </c>
      <c r="C260" t="str">
        <f>Lembar2!D259</f>
        <v>Fitriana aida syifa</v>
      </c>
      <c r="D260" t="str">
        <f>Lembar2!I259</f>
        <v>Perempuan</v>
      </c>
      <c r="E260" t="str">
        <f>Lembar2!E259</f>
        <v>Demak</v>
      </c>
      <c r="F260" s="21">
        <f>Lembar2!F259</f>
        <v>41548</v>
      </c>
      <c r="G260" t="str">
        <f>Lembar2!G259</f>
        <v>Budi utomo</v>
      </c>
      <c r="H260" t="str">
        <f>Lembar2!H259</f>
        <v>Siti masroyah</v>
      </c>
      <c r="I260" t="str">
        <f>VLOOKUP(B260,Lembar1!A$4:H$175,8,FALSE)</f>
        <v>BIO_Images/EBTAQ25-01.213.jpg</v>
      </c>
      <c r="J260" t="str">
        <f>Lembar2!C259</f>
        <v>Karangga - Al Hikmah</v>
      </c>
    </row>
    <row r="261" spans="1:10" x14ac:dyDescent="0.25">
      <c r="A261">
        <v>486</v>
      </c>
      <c r="B261" t="str">
        <f>Lembar2!L260</f>
        <v>EBTAQ25-01.214</v>
      </c>
      <c r="C261" t="str">
        <f>Lembar2!D260</f>
        <v>Kanza Tichtania Akshafani Irawan</v>
      </c>
      <c r="D261" t="str">
        <f>Lembar2!I260</f>
        <v>Perempuan</v>
      </c>
      <c r="E261" t="str">
        <f>Lembar2!E260</f>
        <v>Demak</v>
      </c>
      <c r="F261" s="21">
        <f>Lembar2!F260</f>
        <v>41531</v>
      </c>
      <c r="G261" t="str">
        <f>Lembar2!G260</f>
        <v>IRAWAN NOOR ARIFIANTO</v>
      </c>
      <c r="H261" t="str">
        <f>Lembar2!H260</f>
        <v>IDA MUZANIFAH</v>
      </c>
      <c r="I261" t="str">
        <f>VLOOKUP(B261,Lembar1!A$4:H$175,8,FALSE)</f>
        <v>BIO_Images/EBTAQ25-01.214.jpg</v>
      </c>
      <c r="J261" t="str">
        <f>Lembar2!C260</f>
        <v>Karangga - Al Furqon</v>
      </c>
    </row>
    <row r="262" spans="1:10" x14ac:dyDescent="0.25">
      <c r="A262">
        <v>487</v>
      </c>
      <c r="B262" t="str">
        <f>Lembar2!L261</f>
        <v>EBTAQ25-04.038</v>
      </c>
      <c r="C262" t="str">
        <f>Lembar2!D261</f>
        <v>Syarifah lia Dwarawati</v>
      </c>
      <c r="D262" t="str">
        <f>Lembar2!I261</f>
        <v>Perempuan</v>
      </c>
      <c r="E262" t="str">
        <f>Lembar2!E261</f>
        <v>Demak</v>
      </c>
      <c r="F262" s="21">
        <f>Lembar2!F261</f>
        <v>42783</v>
      </c>
      <c r="G262" t="str">
        <f>Lembar2!G261</f>
        <v>Mujib</v>
      </c>
      <c r="H262" t="str">
        <f>Lembar2!H261</f>
        <v>Dika lusiana</v>
      </c>
      <c r="I262" t="e">
        <f>VLOOKUP(B262,Lembar1!A$4:H$175,8,FALSE)</f>
        <v>#N/A</v>
      </c>
      <c r="J262" t="str">
        <f>Lembar2!C261</f>
        <v>Karangga - Nurul Huda Undaan Kidul</v>
      </c>
    </row>
    <row r="263" spans="1:10" x14ac:dyDescent="0.25">
      <c r="A263">
        <v>488</v>
      </c>
      <c r="B263" t="str">
        <f>Lembar2!L262</f>
        <v>EBTAQ25-01.215</v>
      </c>
      <c r="C263" t="str">
        <f>Lembar2!D262</f>
        <v>KHANZA AZZAHRA SAID</v>
      </c>
      <c r="D263" t="str">
        <f>Lembar2!I262</f>
        <v>Perempuan</v>
      </c>
      <c r="E263" t="str">
        <f>Lembar2!E262</f>
        <v>SEMARANG</v>
      </c>
      <c r="F263" s="21">
        <f>Lembar2!F262</f>
        <v>42456</v>
      </c>
      <c r="G263" t="str">
        <f>Lembar2!G262</f>
        <v>ANWAR SAID</v>
      </c>
      <c r="H263" t="str">
        <f>Lembar2!H262</f>
        <v>ROIKHATIN NI'MAH</v>
      </c>
      <c r="I263" t="str">
        <f>VLOOKUP(B263,Lembar1!A$4:H$175,8,FALSE)</f>
        <v>BIO_Images/EBTAQ25-01.215.jpg</v>
      </c>
      <c r="J263" t="str">
        <f>Lembar2!C262</f>
        <v>Demak - TPQ BUQ</v>
      </c>
    </row>
    <row r="264" spans="1:10" x14ac:dyDescent="0.25">
      <c r="A264">
        <v>489</v>
      </c>
      <c r="B264" t="str">
        <f>Lembar2!L263</f>
        <v>EBTAQ25-04.039</v>
      </c>
      <c r="C264" t="str">
        <f>Lembar2!D263</f>
        <v>AZZAHRA ASYILA RAHMA</v>
      </c>
      <c r="D264" t="str">
        <f>Lembar2!I263</f>
        <v>Perempuan</v>
      </c>
      <c r="E264" t="str">
        <f>Lembar2!E263</f>
        <v>Kudus</v>
      </c>
      <c r="F264" s="21">
        <f>Lembar2!F263</f>
        <v>42208</v>
      </c>
      <c r="G264" t="str">
        <f>Lembar2!G263</f>
        <v>ROBI NOR ALFA</v>
      </c>
      <c r="H264" t="str">
        <f>Lembar2!H263</f>
        <v>ENDANG WELASIH</v>
      </c>
      <c r="I264" t="e">
        <f>VLOOKUP(B264,Lembar1!A$4:H$175,8,FALSE)</f>
        <v>#N/A</v>
      </c>
      <c r="J264" t="str">
        <f>Lembar2!C263</f>
        <v>Karangga - Miftahul Ulum,</v>
      </c>
    </row>
    <row r="265" spans="1:10" x14ac:dyDescent="0.25">
      <c r="A265">
        <v>490</v>
      </c>
      <c r="B265" t="str">
        <f>Lembar2!L264</f>
        <v>EBTAQ25-04.040</v>
      </c>
      <c r="C265" t="str">
        <f>Lembar2!D264</f>
        <v>Aprilia Hana Arsila</v>
      </c>
      <c r="D265" t="str">
        <f>Lembar2!I264</f>
        <v>Perempuan</v>
      </c>
      <c r="E265" t="str">
        <f>Lembar2!E264</f>
        <v>Kudus</v>
      </c>
      <c r="F265" s="21">
        <f>Lembar2!F264</f>
        <v>42852</v>
      </c>
      <c r="G265" t="str">
        <f>Lembar2!G264</f>
        <v>Agus Sutomo</v>
      </c>
      <c r="H265" t="str">
        <f>Lembar2!H264</f>
        <v>Aula Rizqina</v>
      </c>
      <c r="I265" t="e">
        <f>VLOOKUP(B265,Lembar1!A$4:H$175,8,FALSE)</f>
        <v>#N/A</v>
      </c>
      <c r="J265" t="str">
        <f>Lembar2!C264</f>
        <v>Karangga - Nurul Huda Undaan Kidul</v>
      </c>
    </row>
    <row r="266" spans="1:10" x14ac:dyDescent="0.25">
      <c r="A266">
        <v>491</v>
      </c>
      <c r="B266" t="str">
        <f>Lembar2!L265</f>
        <v>EBTAQ25-04.041</v>
      </c>
      <c r="C266" t="str">
        <f>Lembar2!D265</f>
        <v>Nayla aulia azzani</v>
      </c>
      <c r="D266" t="str">
        <f>Lembar2!I265</f>
        <v>Perempuan</v>
      </c>
      <c r="E266" t="str">
        <f>Lembar2!E265</f>
        <v>Demak</v>
      </c>
      <c r="F266" s="21">
        <f>Lembar2!F265</f>
        <v>42839</v>
      </c>
      <c r="G266" t="str">
        <f>Lembar2!G265</f>
        <v>Khamim makhrus</v>
      </c>
      <c r="H266" t="str">
        <f>Lembar2!H265</f>
        <v>Siti umrotun</v>
      </c>
      <c r="I266" t="e">
        <f>VLOOKUP(B266,Lembar1!A$4:H$175,8,FALSE)</f>
        <v>#N/A</v>
      </c>
      <c r="J266" t="str">
        <f>Lembar2!C265</f>
        <v>Karangga - Al Ijtihad Al Mubarok</v>
      </c>
    </row>
    <row r="267" spans="1:10" x14ac:dyDescent="0.25">
      <c r="A267">
        <v>492</v>
      </c>
      <c r="B267" t="str">
        <f>Lembar2!L266</f>
        <v>EBTAQ25-04.042</v>
      </c>
      <c r="C267" t="str">
        <f>Lembar2!D266</f>
        <v>MUTIARA PUTRI RAMADHANI</v>
      </c>
      <c r="D267" t="str">
        <f>Lembar2!I266</f>
        <v>Perempuan</v>
      </c>
      <c r="E267" t="str">
        <f>Lembar2!E266</f>
        <v>Demak</v>
      </c>
      <c r="F267" s="21">
        <f>Lembar2!F266</f>
        <v>42556</v>
      </c>
      <c r="G267" t="str">
        <f>Lembar2!G266</f>
        <v>KHOIRUR ROZI</v>
      </c>
      <c r="H267" t="str">
        <f>Lembar2!H266</f>
        <v>MIFTAKHUL ROHMAH</v>
      </c>
      <c r="I267" t="e">
        <f>VLOOKUP(B267,Lembar1!A$4:H$175,8,FALSE)</f>
        <v>#N/A</v>
      </c>
      <c r="J267" t="str">
        <f>Lembar2!C266</f>
        <v>Karangga - Nurul Huda Undaan Kidul</v>
      </c>
    </row>
    <row r="268" spans="1:10" x14ac:dyDescent="0.25">
      <c r="A268">
        <v>493</v>
      </c>
      <c r="B268" t="str">
        <f>Lembar2!L267</f>
        <v>EBTAQ25-04.043</v>
      </c>
      <c r="C268" t="str">
        <f>Lembar2!D267</f>
        <v>AZIFA NAJMA HUMAIRO</v>
      </c>
      <c r="D268" t="str">
        <f>Lembar2!I267</f>
        <v>Perempuan</v>
      </c>
      <c r="E268" t="str">
        <f>Lembar2!E267</f>
        <v>KUDUS</v>
      </c>
      <c r="F268" s="21">
        <f>Lembar2!F267</f>
        <v>42922</v>
      </c>
      <c r="G268" t="str">
        <f>Lembar2!G267</f>
        <v>ISKHAQ MULYONO</v>
      </c>
      <c r="H268" t="str">
        <f>Lembar2!H267</f>
        <v>MU'AROFAH</v>
      </c>
      <c r="I268" t="e">
        <f>VLOOKUP(B268,Lembar1!A$4:H$175,8,FALSE)</f>
        <v>#N/A</v>
      </c>
      <c r="J268" t="str">
        <f>Lembar2!C267</f>
        <v>Karangga - Nurul Huda Undaan Kidul</v>
      </c>
    </row>
    <row r="269" spans="1:10" x14ac:dyDescent="0.25">
      <c r="A269">
        <v>494</v>
      </c>
      <c r="B269" t="str">
        <f>Lembar2!L268</f>
        <v>EBTAQ25-04.044</v>
      </c>
      <c r="C269" t="str">
        <f>Lembar2!D268</f>
        <v>Nestry Widya putri</v>
      </c>
      <c r="D269" t="str">
        <f>Lembar2!I268</f>
        <v>Perempuan</v>
      </c>
      <c r="E269" t="str">
        <f>Lembar2!E268</f>
        <v>Demak</v>
      </c>
      <c r="F269" s="21">
        <f>Lembar2!F268</f>
        <v>41515</v>
      </c>
      <c r="G269" t="str">
        <f>Lembar2!G268</f>
        <v>Sumari</v>
      </c>
      <c r="H269" t="str">
        <f>Lembar2!H268</f>
        <v>Royanti</v>
      </c>
      <c r="I269" t="e">
        <f>VLOOKUP(B269,Lembar1!A$4:H$175,8,FALSE)</f>
        <v>#N/A</v>
      </c>
      <c r="J269" t="str">
        <f>Lembar2!C268</f>
        <v>Karangga - Al Hikmah</v>
      </c>
    </row>
    <row r="270" spans="1:10" x14ac:dyDescent="0.25">
      <c r="A270">
        <v>495</v>
      </c>
      <c r="B270" t="str">
        <f>Lembar2!L269</f>
        <v>EBTAQ25-04.045</v>
      </c>
      <c r="C270" t="str">
        <f>Lembar2!D269</f>
        <v>AZIZAH KHOIRUN NISA</v>
      </c>
      <c r="D270" t="str">
        <f>Lembar2!I269</f>
        <v>Perempuan</v>
      </c>
      <c r="E270" t="str">
        <f>Lembar2!E269</f>
        <v>Pati</v>
      </c>
      <c r="F270" s="21">
        <f>Lembar2!F269</f>
        <v>43152</v>
      </c>
      <c r="G270" t="str">
        <f>Lembar2!G269</f>
        <v>AH MUHTASOR AZIZ</v>
      </c>
      <c r="H270" t="str">
        <f>Lembar2!H269</f>
        <v>SAYIDAH</v>
      </c>
      <c r="I270" t="e">
        <f>VLOOKUP(B270,Lembar1!A$4:H$175,8,FALSE)</f>
        <v>#N/A</v>
      </c>
      <c r="J270" t="str">
        <f>Lembar2!C269</f>
        <v>Karangga - Nurul Huda Undaan Kidul</v>
      </c>
    </row>
    <row r="271" spans="1:10" x14ac:dyDescent="0.25">
      <c r="A271">
        <v>496</v>
      </c>
      <c r="B271" t="str">
        <f>Lembar2!L270</f>
        <v>EBTAQ25-01.216</v>
      </c>
      <c r="C271" t="str">
        <f>Lembar2!D270</f>
        <v>ABID FHADIL PRANAJA</v>
      </c>
      <c r="D271" t="str">
        <f>Lembar2!I270</f>
        <v>Laki-laki</v>
      </c>
      <c r="E271" t="str">
        <f>Lembar2!E270</f>
        <v>DEMAK</v>
      </c>
      <c r="F271" s="21">
        <f>Lembar2!F270</f>
        <v>42220</v>
      </c>
      <c r="G271" t="str">
        <f>Lembar2!G270</f>
        <v>SETIYO PURNOMO</v>
      </c>
      <c r="H271" t="str">
        <f>Lembar2!H270</f>
        <v>MAULIDDIYAH NINGRUM</v>
      </c>
      <c r="I271" t="str">
        <f>VLOOKUP(B271,Lembar1!A$4:H$175,8,FALSE)</f>
        <v>BIO_Images/EBTAQ25-01.216.jpg</v>
      </c>
      <c r="J271" t="str">
        <f>Lembar2!C270</f>
        <v>Demak - TPQ NURUL IMAN</v>
      </c>
    </row>
    <row r="272" spans="1:10" x14ac:dyDescent="0.25">
      <c r="A272">
        <v>497</v>
      </c>
      <c r="B272" t="str">
        <f>Lembar2!L271</f>
        <v>EBTAQ25-01.217</v>
      </c>
      <c r="C272" t="str">
        <f>Lembar2!D271</f>
        <v>Athaya Zahira Rifda</v>
      </c>
      <c r="D272" t="str">
        <f>Lembar2!I271</f>
        <v>Perempuan</v>
      </c>
      <c r="E272" t="str">
        <f>Lembar2!E271</f>
        <v>Demak</v>
      </c>
      <c r="F272" s="21">
        <f>Lembar2!F271</f>
        <v>42267</v>
      </c>
      <c r="G272" t="str">
        <f>Lembar2!G271</f>
        <v>Samiono</v>
      </c>
      <c r="H272" t="str">
        <f>Lembar2!H271</f>
        <v>Sri ngatini</v>
      </c>
      <c r="I272" t="str">
        <f>VLOOKUP(B272,Lembar1!A$4:H$175,8,FALSE)</f>
        <v>BIO_Images/EBTAQ25-01.217.jpg</v>
      </c>
      <c r="J272" t="str">
        <f>Lembar2!C271</f>
        <v>Demak - TPQ NURUL IMAN</v>
      </c>
    </row>
    <row r="273" spans="1:10" x14ac:dyDescent="0.25">
      <c r="A273">
        <v>498</v>
      </c>
      <c r="B273" t="str">
        <f>Lembar2!L272</f>
        <v>EBTAQ25-01.218</v>
      </c>
      <c r="C273" t="str">
        <f>Lembar2!D272</f>
        <v>Zidny 'Ilma Annayla</v>
      </c>
      <c r="D273" t="str">
        <f>Lembar2!I272</f>
        <v>Perempuan</v>
      </c>
      <c r="E273" t="str">
        <f>Lembar2!E272</f>
        <v>Demak</v>
      </c>
      <c r="F273" s="21">
        <f>Lembar2!F272</f>
        <v>42921</v>
      </c>
      <c r="G273" t="str">
        <f>Lembar2!G272</f>
        <v>KHOIRUN NIAM</v>
      </c>
      <c r="H273" t="str">
        <f>Lembar2!H272</f>
        <v>RINAWATI</v>
      </c>
      <c r="I273" t="str">
        <f>VLOOKUP(B273,Lembar1!A$4:H$175,8,FALSE)</f>
        <v>BIO_Images/EBTAQ25-01.218.jpg</v>
      </c>
      <c r="J273" t="str">
        <f>Lembar2!C272</f>
        <v>Demak - TPQ AL IMAN (KALIKONDANG)</v>
      </c>
    </row>
    <row r="274" spans="1:10" x14ac:dyDescent="0.25">
      <c r="A274">
        <v>499</v>
      </c>
      <c r="B274" t="str">
        <f>Lembar2!L273</f>
        <v>EBTAQ25-01.219</v>
      </c>
      <c r="C274" t="str">
        <f>Lembar2!D273</f>
        <v>Silvia adinda neng tias</v>
      </c>
      <c r="D274" t="str">
        <f>Lembar2!I273</f>
        <v>Perempuan</v>
      </c>
      <c r="E274" t="str">
        <f>Lembar2!E273</f>
        <v>Demak</v>
      </c>
      <c r="F274" s="21">
        <f>Lembar2!F273</f>
        <v>45935</v>
      </c>
      <c r="G274" t="str">
        <f>Lembar2!G273</f>
        <v>Ahmad nur hasyim</v>
      </c>
      <c r="H274" t="str">
        <f>Lembar2!H273</f>
        <v>Sulyati</v>
      </c>
      <c r="I274" t="str">
        <f>VLOOKUP(B274,Lembar1!A$4:H$175,8,FALSE)</f>
        <v>BIO_Images/EBTAQ25-01.219.jpg</v>
      </c>
      <c r="J274" t="str">
        <f>Lembar2!C273</f>
        <v>Karangga - Al Hikmah</v>
      </c>
    </row>
    <row r="275" spans="1:10" x14ac:dyDescent="0.25">
      <c r="A275">
        <v>500</v>
      </c>
      <c r="B275" t="str">
        <f>Lembar2!L274</f>
        <v>EBTAQ25-04.046</v>
      </c>
      <c r="C275" t="str">
        <f>Lembar2!D274</f>
        <v>Novia Rahayu MUstovia</v>
      </c>
      <c r="D275" t="str">
        <f>Lembar2!I274</f>
        <v>Perempuan</v>
      </c>
      <c r="E275" t="str">
        <f>Lembar2!E274</f>
        <v>Demak</v>
      </c>
      <c r="F275" s="21">
        <f>Lembar2!F274</f>
        <v>46017</v>
      </c>
      <c r="G275" t="str">
        <f>Lembar2!G274</f>
        <v>Agus Okto pramono</v>
      </c>
      <c r="H275" t="str">
        <f>Lembar2!H274</f>
        <v>Musripah</v>
      </c>
      <c r="I275" t="e">
        <f>VLOOKUP(B275,Lembar1!A$4:H$175,8,FALSE)</f>
        <v>#N/A</v>
      </c>
      <c r="J275" t="str">
        <f>Lembar2!C274</f>
        <v>Karangga - Al Hikmah</v>
      </c>
    </row>
    <row r="276" spans="1:10" x14ac:dyDescent="0.25">
      <c r="A276">
        <v>501</v>
      </c>
      <c r="B276" t="str">
        <f>Lembar2!L275</f>
        <v>EBTAQ25-01.220</v>
      </c>
      <c r="C276" t="str">
        <f>Lembar2!D275</f>
        <v>Ardian rizqina fajri</v>
      </c>
      <c r="D276" t="str">
        <f>Lembar2!I275</f>
        <v>Perempuan</v>
      </c>
      <c r="E276" t="str">
        <f>Lembar2!E275</f>
        <v>Demak</v>
      </c>
      <c r="F276" s="21">
        <f>Lembar2!F275</f>
        <v>42066</v>
      </c>
      <c r="G276" t="str">
        <f>Lembar2!G275</f>
        <v>Ardi kusmiran</v>
      </c>
      <c r="H276" t="str">
        <f>Lembar2!H275</f>
        <v>Laela cholisna</v>
      </c>
      <c r="I276" t="str">
        <f>VLOOKUP(B276,Lembar1!A$4:H$175,8,FALSE)</f>
        <v>BIO_Images/EBTAQ25-01.220.jpg</v>
      </c>
      <c r="J276" t="str">
        <f>Lembar2!C275</f>
        <v>Demak - TPQ al Furqon</v>
      </c>
    </row>
    <row r="277" spans="1:10" x14ac:dyDescent="0.25">
      <c r="A277">
        <v>502</v>
      </c>
      <c r="B277" t="str">
        <f>Lembar2!L276</f>
        <v>EBTAQ25-01.221</v>
      </c>
      <c r="C277" t="str">
        <f>Lembar2!D276</f>
        <v>Silvia Adinda Ningtias</v>
      </c>
      <c r="D277" t="str">
        <f>Lembar2!I276</f>
        <v>Perempuan</v>
      </c>
      <c r="E277" t="str">
        <f>Lembar2!E276</f>
        <v>Demak</v>
      </c>
      <c r="F277" s="21">
        <f>Lembar2!F276</f>
        <v>41552</v>
      </c>
      <c r="G277" t="str">
        <f>Lembar2!G276</f>
        <v>Ahmad Nur Hasyim</v>
      </c>
      <c r="H277" t="str">
        <f>Lembar2!H276</f>
        <v>Sulyati</v>
      </c>
      <c r="I277" t="str">
        <f>VLOOKUP(B277,Lembar1!A$4:H$175,8,FALSE)</f>
        <v>BIO_Images/EBTAQ25-01.221.jpg</v>
      </c>
      <c r="J277" t="str">
        <f>Lembar2!C276</f>
        <v>Karangga - Al Hikmah</v>
      </c>
    </row>
    <row r="278" spans="1:10" x14ac:dyDescent="0.25">
      <c r="A278">
        <v>503</v>
      </c>
      <c r="B278" t="str">
        <f>Lembar2!L277</f>
        <v>EBTAQ25-04.047</v>
      </c>
      <c r="C278" t="str">
        <f>Lembar2!D277</f>
        <v>AHMAD SHIDIQ ALKARIM</v>
      </c>
      <c r="D278" t="str">
        <f>Lembar2!I277</f>
        <v>Laki-laki</v>
      </c>
      <c r="E278" t="str">
        <f>Lembar2!E277</f>
        <v>DEMAK</v>
      </c>
      <c r="F278" s="21">
        <f>Lembar2!F277</f>
        <v>41704</v>
      </c>
      <c r="G278" t="str">
        <f>Lembar2!G277</f>
        <v>ABDUL KARIM</v>
      </c>
      <c r="H278" t="str">
        <f>Lembar2!H277</f>
        <v>SITI SYARIAH</v>
      </c>
      <c r="I278" t="e">
        <f>VLOOKUP(B278,Lembar1!A$4:H$175,8,FALSE)</f>
        <v>#N/A</v>
      </c>
      <c r="J278" t="str">
        <f>Lembar2!C277</f>
        <v>Karangga - Al Hikmah</v>
      </c>
    </row>
    <row r="279" spans="1:10" x14ac:dyDescent="0.25">
      <c r="A279">
        <v>504</v>
      </c>
      <c r="B279" t="str">
        <f>Lembar2!L278</f>
        <v>EBTAQ25-01.222</v>
      </c>
      <c r="C279" t="str">
        <f>Lembar2!D278</f>
        <v>Muhammad Farid Al Hafizh</v>
      </c>
      <c r="D279" t="str">
        <f>Lembar2!I278</f>
        <v>Laki-laki</v>
      </c>
      <c r="E279" t="str">
        <f>Lembar2!E278</f>
        <v>Demak</v>
      </c>
      <c r="F279" s="21">
        <f>Lembar2!F278</f>
        <v>41752</v>
      </c>
      <c r="G279" t="str">
        <f>Lembar2!G278</f>
        <v>Ali Sobirin</v>
      </c>
      <c r="H279" t="str">
        <f>Lembar2!H278</f>
        <v>Mariya ulfa</v>
      </c>
      <c r="I279" t="str">
        <f>VLOOKUP(B279,Lembar1!A$4:H$175,8,FALSE)</f>
        <v>BIO_Images/EBTAQ25-01.222.jpg</v>
      </c>
      <c r="J279" t="str">
        <f>Lembar2!C278</f>
        <v>Karangga - Al Hikmah</v>
      </c>
    </row>
    <row r="280" spans="1:10" x14ac:dyDescent="0.25">
      <c r="A280">
        <v>505</v>
      </c>
      <c r="B280" t="str">
        <f>Lembar2!L279</f>
        <v>EBTAQ25-01.223</v>
      </c>
      <c r="C280" t="str">
        <f>Lembar2!D279</f>
        <v>Muhammad Farid Al Hafizh</v>
      </c>
      <c r="D280" t="str">
        <f>Lembar2!I279</f>
        <v>Laki-laki</v>
      </c>
      <c r="E280" t="str">
        <f>Lembar2!E279</f>
        <v>Demak</v>
      </c>
      <c r="F280" s="21">
        <f>Lembar2!F279</f>
        <v>41752</v>
      </c>
      <c r="G280" t="str">
        <f>Lembar2!G279</f>
        <v>Ali Sobirin</v>
      </c>
      <c r="H280" t="str">
        <f>Lembar2!H279</f>
        <v>Mariya Ulfa</v>
      </c>
      <c r="I280" t="str">
        <f>VLOOKUP(B280,Lembar1!A$4:H$175,8,FALSE)</f>
        <v>BIO_Images/EBTAQ25-01.223.jpg</v>
      </c>
      <c r="J280" t="str">
        <f>Lembar2!C279</f>
        <v>Karangga - Al Hikmah</v>
      </c>
    </row>
    <row r="281" spans="1:10" x14ac:dyDescent="0.25">
      <c r="A281">
        <v>506</v>
      </c>
      <c r="B281" t="str">
        <f>Lembar2!L280</f>
        <v>EBTAQ25-01.224</v>
      </c>
      <c r="C281" t="str">
        <f>Lembar2!D280</f>
        <v>MUHAMMAD FAHRIZA RAHMAN</v>
      </c>
      <c r="D281" t="str">
        <f>Lembar2!I280</f>
        <v>Laki-laki</v>
      </c>
      <c r="E281" t="str">
        <f>Lembar2!E280</f>
        <v>DEMAK</v>
      </c>
      <c r="F281" s="21">
        <f>Lembar2!F280</f>
        <v>42228</v>
      </c>
      <c r="G281" t="str">
        <f>Lembar2!G280</f>
        <v>BUDIYANTO</v>
      </c>
      <c r="H281" t="str">
        <f>Lembar2!H280</f>
        <v>NAILY RAHMAWATI</v>
      </c>
      <c r="I281" t="str">
        <f>VLOOKUP(B281,Lembar1!A$4:H$175,8,FALSE)</f>
        <v>BIO_Images/EBTAQ25-01.224.jpeg</v>
      </c>
      <c r="J281" t="str">
        <f>Lembar2!C280</f>
        <v>Demak - TPQ NURUL IMAN</v>
      </c>
    </row>
    <row r="282" spans="1:10" x14ac:dyDescent="0.25">
      <c r="A282">
        <v>507</v>
      </c>
      <c r="B282" t="str">
        <f>Lembar2!L281</f>
        <v>EBTAQ25-01.225</v>
      </c>
      <c r="C282" t="str">
        <f>Lembar2!D281</f>
        <v>Ismai</v>
      </c>
      <c r="D282" t="str">
        <f>Lembar2!I281</f>
        <v>Laki-laki</v>
      </c>
      <c r="E282" t="str">
        <f>Lembar2!E281</f>
        <v>Demak</v>
      </c>
      <c r="F282" s="21">
        <f>Lembar2!F281</f>
        <v>45992</v>
      </c>
      <c r="G282" t="str">
        <f>Lembar2!G281</f>
        <v>Ibrohim</v>
      </c>
      <c r="H282" t="str">
        <f>Lembar2!H281</f>
        <v>Sarah</v>
      </c>
      <c r="I282" t="e">
        <f>VLOOKUP(B282,Lembar1!A$4:H$175,8,FALSE)</f>
        <v>#N/A</v>
      </c>
      <c r="J282" t="str">
        <f>Lembar2!C281</f>
        <v>Demak - TPQ BUQ</v>
      </c>
    </row>
    <row r="283" spans="1:10" x14ac:dyDescent="0.25">
      <c r="A283">
        <v>508</v>
      </c>
      <c r="B283" t="str">
        <f>Lembar2!L282</f>
        <v>EBTAQ25-06.009</v>
      </c>
      <c r="C283" t="str">
        <f>Lembar2!D282</f>
        <v>Ismail</v>
      </c>
      <c r="D283" t="str">
        <f>Lembar2!I282</f>
        <v>Laki-laki</v>
      </c>
      <c r="E283" t="str">
        <f>Lembar2!E282</f>
        <v>Demak</v>
      </c>
      <c r="F283" s="21">
        <f>Lembar2!F282</f>
        <v>45937</v>
      </c>
      <c r="G283" t="str">
        <f>Lembar2!G282</f>
        <v>Ibrohim</v>
      </c>
      <c r="H283" t="str">
        <f>Lembar2!H282</f>
        <v>Sarah</v>
      </c>
      <c r="I283" t="e">
        <f>VLOOKUP(B283,Lembar1!A$4:H$175,8,FALSE)</f>
        <v>#N/A</v>
      </c>
      <c r="J283" t="str">
        <f>Lembar2!C282</f>
        <v>Mranggen - TPQ Khusnul Khotimah</v>
      </c>
    </row>
    <row r="284" spans="1:10" x14ac:dyDescent="0.25">
      <c r="A284">
        <v>509</v>
      </c>
      <c r="B284" t="str">
        <f>Lembar2!L283</f>
        <v>EBTAQ25-01.226</v>
      </c>
      <c r="C284" t="str">
        <f>Lembar2!D283</f>
        <v>Ismail</v>
      </c>
      <c r="D284" t="str">
        <f>Lembar2!I283</f>
        <v>Laki-laki</v>
      </c>
      <c r="E284" t="str">
        <f>Lembar2!E283</f>
        <v>Demak</v>
      </c>
      <c r="F284" s="21">
        <f>Lembar2!F283</f>
        <v>41618</v>
      </c>
      <c r="G284" t="str">
        <f>Lembar2!G283</f>
        <v>Ibrohim</v>
      </c>
      <c r="H284" t="str">
        <f>Lembar2!H283</f>
        <v>Sarah</v>
      </c>
      <c r="I284" t="e">
        <f>VLOOKUP(B284,Lembar1!A$4:H$175,8,FALSE)</f>
        <v>#N/A</v>
      </c>
      <c r="J284" t="str">
        <f>Lembar2!C283</f>
        <v>Demak - TPQ BUQ</v>
      </c>
    </row>
    <row r="285" spans="1:10" x14ac:dyDescent="0.25">
      <c r="A285">
        <v>510</v>
      </c>
      <c r="B285" t="str">
        <f>Lembar2!L284</f>
        <v>EBTAQ25-01.227</v>
      </c>
      <c r="C285" t="str">
        <f>Lembar2!D284</f>
        <v>MUHAMMAD FAHRIZA RAHMAN</v>
      </c>
      <c r="D285" t="str">
        <f>Lembar2!I284</f>
        <v>Laki-laki</v>
      </c>
      <c r="E285" t="str">
        <f>Lembar2!E284</f>
        <v>DEMAK</v>
      </c>
      <c r="F285" s="21">
        <f>Lembar2!F284</f>
        <v>42346</v>
      </c>
      <c r="G285" t="str">
        <f>Lembar2!G284</f>
        <v>BUDIYANTO</v>
      </c>
      <c r="H285" t="str">
        <f>Lembar2!H284</f>
        <v>NAILY RAHMAWATI</v>
      </c>
      <c r="I285" t="e">
        <f>VLOOKUP(B285,Lembar1!A$4:H$175,8,FALSE)</f>
        <v>#N/A</v>
      </c>
      <c r="J285" t="str">
        <f>Lembar2!C284</f>
        <v>Demak - TPQ NURUL IMAN</v>
      </c>
    </row>
    <row r="286" spans="1:10" x14ac:dyDescent="0.25">
      <c r="A286">
        <v>511</v>
      </c>
      <c r="B286" t="str">
        <f>Lembar2!L285</f>
        <v>EBTAQ25-01.228</v>
      </c>
      <c r="C286" t="str">
        <f>Lembar2!D285</f>
        <v>KHANZA AZZAHRA SAID</v>
      </c>
      <c r="D286" t="str">
        <f>Lembar2!I285</f>
        <v>Perempuan</v>
      </c>
      <c r="E286" t="str">
        <f>Lembar2!E285</f>
        <v>SEMARANG</v>
      </c>
      <c r="F286" s="21">
        <f>Lembar2!F285</f>
        <v>42456</v>
      </c>
      <c r="G286" t="str">
        <f>Lembar2!G285</f>
        <v>ANWAR SAID</v>
      </c>
      <c r="H286" t="str">
        <f>Lembar2!H285</f>
        <v>ROIKHATIN NI'MAH</v>
      </c>
      <c r="I286" t="e">
        <f>VLOOKUP(B286,Lembar1!A$4:H$175,8,FALSE)</f>
        <v>#N/A</v>
      </c>
      <c r="J286" t="str">
        <f>Lembar2!C285</f>
        <v>Demak - TPQ BUQ</v>
      </c>
    </row>
    <row r="287" spans="1:10" x14ac:dyDescent="0.25">
      <c r="A287">
        <v>512</v>
      </c>
      <c r="B287" t="str">
        <f>Lembar2!L286</f>
        <v>EBTAQ25-01.229</v>
      </c>
      <c r="C287" t="str">
        <f>Lembar2!D286</f>
        <v>AZZAHRA AUFA RAFIFAH</v>
      </c>
      <c r="D287" t="str">
        <f>Lembar2!I286</f>
        <v>Perempuan</v>
      </c>
      <c r="E287" t="str">
        <f>Lembar2!E286</f>
        <v>DEMAK</v>
      </c>
      <c r="F287" s="21">
        <f>Lembar2!F286</f>
        <v>42131</v>
      </c>
      <c r="G287" t="str">
        <f>Lembar2!G286</f>
        <v>KASNO</v>
      </c>
      <c r="H287" t="str">
        <f>Lembar2!H286</f>
        <v>QURROTUL 'AIN</v>
      </c>
      <c r="I287" t="e">
        <f>VLOOKUP(B287,Lembar1!A$4:H$175,8,FALSE)</f>
        <v>#N/A</v>
      </c>
      <c r="J287" t="str">
        <f>Lembar2!C286</f>
        <v>Demak - TPQ MIFTAHUL JANNAH</v>
      </c>
    </row>
    <row r="288" spans="1:10" x14ac:dyDescent="0.25">
      <c r="A288">
        <v>513</v>
      </c>
      <c r="B288" t="str">
        <f>Lembar2!L287</f>
        <v>EBTAQ25-01.230</v>
      </c>
      <c r="C288" t="str">
        <f>Lembar2!D287</f>
        <v>Abdullah Dhanu Narendra</v>
      </c>
      <c r="D288" t="str">
        <f>Lembar2!I287</f>
        <v>Laki-laki</v>
      </c>
      <c r="E288" t="str">
        <f>Lembar2!E287</f>
        <v>Demak</v>
      </c>
      <c r="F288" s="21">
        <f>Lembar2!F287</f>
        <v>42460</v>
      </c>
      <c r="G288" t="str">
        <f>Lembar2!G287</f>
        <v>Agus Abdullah Mukti</v>
      </c>
      <c r="H288" t="str">
        <f>Lembar2!H287</f>
        <v>Etty Sugiasih</v>
      </c>
      <c r="I288" t="e">
        <f>VLOOKUP(B288,Lembar1!A$4:H$175,8,FALSE)</f>
        <v>#N/A</v>
      </c>
      <c r="J288" t="str">
        <f>Lembar2!C287</f>
        <v>Demak - SD NURUL HUDA</v>
      </c>
    </row>
    <row r="289" spans="1:10" x14ac:dyDescent="0.25">
      <c r="A289">
        <v>514</v>
      </c>
      <c r="B289" t="str">
        <f>Lembar2!L288</f>
        <v>EBTAQ25-01.231</v>
      </c>
      <c r="C289" t="str">
        <f>Lembar2!D288</f>
        <v>Abrizam Ahkim Aisyhafiy</v>
      </c>
      <c r="D289" t="str">
        <f>Lembar2!I288</f>
        <v>Laki-laki</v>
      </c>
      <c r="E289" t="str">
        <f>Lembar2!E288</f>
        <v>Demak</v>
      </c>
      <c r="F289" s="21">
        <f>Lembar2!F288</f>
        <v>42294</v>
      </c>
      <c r="G289" t="str">
        <f>Lembar2!G288</f>
        <v>Sigit Suharto</v>
      </c>
      <c r="H289" t="str">
        <f>Lembar2!H288</f>
        <v>Nelfa Erly Fransiskasari</v>
      </c>
      <c r="I289" t="e">
        <f>VLOOKUP(B289,Lembar1!A$4:H$175,8,FALSE)</f>
        <v>#N/A</v>
      </c>
      <c r="J289" t="str">
        <f>Lembar2!C288</f>
        <v>Demak - SD NURUL HUDA</v>
      </c>
    </row>
    <row r="290" spans="1:10" x14ac:dyDescent="0.25">
      <c r="A290">
        <v>515</v>
      </c>
      <c r="B290" t="str">
        <f>Lembar2!L289</f>
        <v>EBTAQ25-04.048</v>
      </c>
      <c r="C290" t="str">
        <f>Lembar2!D289</f>
        <v>AHMAD SHIDIQ AL KARIM</v>
      </c>
      <c r="D290" t="str">
        <f>Lembar2!I289</f>
        <v>Laki-laki</v>
      </c>
      <c r="E290" t="str">
        <f>Lembar2!E289</f>
        <v>DEMAK</v>
      </c>
      <c r="F290" s="21">
        <f>Lembar2!F289</f>
        <v>41704</v>
      </c>
      <c r="G290" t="str">
        <f>Lembar2!G289</f>
        <v>ABDUL KARIM</v>
      </c>
      <c r="H290" t="str">
        <f>Lembar2!H289</f>
        <v>SITI SYARIAH</v>
      </c>
      <c r="I290" t="e">
        <f>VLOOKUP(B290,Lembar1!A$4:H$175,8,FALSE)</f>
        <v>#N/A</v>
      </c>
      <c r="J290" t="str">
        <f>Lembar2!C289</f>
        <v>Karangga - Al Hikmah</v>
      </c>
    </row>
    <row r="291" spans="1:10" x14ac:dyDescent="0.25">
      <c r="A291">
        <v>516</v>
      </c>
      <c r="B291" t="str">
        <f>Lembar2!L290</f>
        <v>EBTAQ25-01.232</v>
      </c>
      <c r="C291" t="str">
        <f>Lembar2!D290</f>
        <v>ADITYA NAUFAL DARY ABIYYU</v>
      </c>
      <c r="D291" t="str">
        <f>Lembar2!I290</f>
        <v>Laki-laki</v>
      </c>
      <c r="E291" t="str">
        <f>Lembar2!E290</f>
        <v>Demak</v>
      </c>
      <c r="F291" s="21">
        <f>Lembar2!F290</f>
        <v>42746</v>
      </c>
      <c r="G291" t="str">
        <f>Lembar2!G290</f>
        <v>NASICHIN</v>
      </c>
      <c r="H291" t="str">
        <f>Lembar2!H290</f>
        <v>ASTRI CAHYA PRATIWI</v>
      </c>
      <c r="I291" t="e">
        <f>VLOOKUP(B291,Lembar1!A$4:H$175,8,FALSE)</f>
        <v>#N/A</v>
      </c>
      <c r="J291" t="str">
        <f>Lembar2!C290</f>
        <v>Demak - SD NURUL HUDA</v>
      </c>
    </row>
    <row r="292" spans="1:10" x14ac:dyDescent="0.25">
      <c r="A292">
        <v>517</v>
      </c>
      <c r="B292" t="str">
        <f>Lembar2!L291</f>
        <v>EBTAQ25-01.233</v>
      </c>
      <c r="C292" t="str">
        <f>Lembar2!D291</f>
        <v>Novia Rahayu Mustovia</v>
      </c>
      <c r="D292" t="str">
        <f>Lembar2!I291</f>
        <v>Perempuan</v>
      </c>
      <c r="E292" t="str">
        <f>Lembar2!E291</f>
        <v>11/26/2013</v>
      </c>
      <c r="F292" s="21">
        <f>Lembar2!F291</f>
        <v>46017</v>
      </c>
      <c r="G292" t="str">
        <f>Lembar2!G291</f>
        <v>Agus Okto pramono</v>
      </c>
      <c r="H292" t="str">
        <f>Lembar2!H291</f>
        <v>Musripah</v>
      </c>
      <c r="I292" t="e">
        <f>VLOOKUP(B292,Lembar1!A$4:H$175,8,FALSE)</f>
        <v>#N/A</v>
      </c>
      <c r="J292" t="str">
        <f>Lembar2!C291</f>
        <v>Karangga - Al Hikmah</v>
      </c>
    </row>
    <row r="293" spans="1:10" x14ac:dyDescent="0.25">
      <c r="A293">
        <v>518</v>
      </c>
      <c r="B293" t="str">
        <f>Lembar2!L292</f>
        <v>EBTAQ25-04.049</v>
      </c>
      <c r="C293" t="str">
        <f>Lembar2!D292</f>
        <v>Maulidiyah Nafisatuzzahro</v>
      </c>
      <c r="D293" t="str">
        <f>Lembar2!I292</f>
        <v>Perempuan</v>
      </c>
      <c r="E293" t="str">
        <f>Lembar2!E292</f>
        <v>Demak</v>
      </c>
      <c r="F293" s="21">
        <f>Lembar2!F292</f>
        <v>42278</v>
      </c>
      <c r="G293" t="str">
        <f>Lembar2!G292</f>
        <v>Mustabsirin</v>
      </c>
      <c r="H293" t="str">
        <f>Lembar2!H292</f>
        <v>Siti Mutamimah</v>
      </c>
      <c r="I293" t="e">
        <f>VLOOKUP(B293,Lembar1!A$4:H$175,8,FALSE)</f>
        <v>#N/A</v>
      </c>
      <c r="J293" t="str">
        <f>Lembar2!C292</f>
        <v>Karangga - Mubarokah</v>
      </c>
    </row>
    <row r="294" spans="1:10" x14ac:dyDescent="0.25">
      <c r="A294">
        <v>519</v>
      </c>
      <c r="B294" t="str">
        <f>Lembar2!L293</f>
        <v>EBTAQ25-04.050</v>
      </c>
      <c r="C294" t="str">
        <f>Lembar2!D293</f>
        <v>AHMAD SHIDIQ AL KARIM</v>
      </c>
      <c r="D294" t="str">
        <f>Lembar2!I293</f>
        <v>Laki-laki</v>
      </c>
      <c r="E294" t="str">
        <f>Lembar2!E293</f>
        <v>DEMAK</v>
      </c>
      <c r="F294" s="21">
        <f>Lembar2!F293</f>
        <v>41704</v>
      </c>
      <c r="G294" t="str">
        <f>Lembar2!G293</f>
        <v>ABDUL KARIM</v>
      </c>
      <c r="H294" t="str">
        <f>Lembar2!H293</f>
        <v>SITI SYARIAH</v>
      </c>
      <c r="I294" t="e">
        <f>VLOOKUP(B294,Lembar1!A$4:H$175,8,FALSE)</f>
        <v>#N/A</v>
      </c>
      <c r="J294" t="str">
        <f>Lembar2!C293</f>
        <v>Karangga - Al Hikmah</v>
      </c>
    </row>
    <row r="295" spans="1:10" x14ac:dyDescent="0.25">
      <c r="A295">
        <v>520</v>
      </c>
      <c r="B295" t="str">
        <f>Lembar2!L294</f>
        <v>EBTAQ25-01.234</v>
      </c>
      <c r="C295" t="str">
        <f>Lembar2!D294</f>
        <v>ADZKIA MYESHA NABILA</v>
      </c>
      <c r="D295" t="str">
        <f>Lembar2!I294</f>
        <v>Perempuan</v>
      </c>
      <c r="E295" t="str">
        <f>Lembar2!E294</f>
        <v>Semarang</v>
      </c>
      <c r="F295" s="21">
        <f>Lembar2!F294</f>
        <v>42358</v>
      </c>
      <c r="G295" t="str">
        <f>Lembar2!G294</f>
        <v>MUHAMAD SUKRON</v>
      </c>
      <c r="H295" t="str">
        <f>Lembar2!H294</f>
        <v>DWI RESTIYANI</v>
      </c>
      <c r="I295" t="e">
        <f>VLOOKUP(B295,Lembar1!A$4:H$175,8,FALSE)</f>
        <v>#N/A</v>
      </c>
      <c r="J295" t="str">
        <f>Lembar2!C294</f>
        <v>Demak - SD NURUL HUDA</v>
      </c>
    </row>
    <row r="296" spans="1:10" x14ac:dyDescent="0.25">
      <c r="A296">
        <v>521</v>
      </c>
      <c r="B296" t="str">
        <f>Lembar2!L295</f>
        <v>EBTAQ25-01.235</v>
      </c>
      <c r="C296" t="str">
        <f>Lembar2!D295</f>
        <v>AHMAD ALIF MAULANA</v>
      </c>
      <c r="D296" t="str">
        <f>Lembar2!I295</f>
        <v>Laki-laki</v>
      </c>
      <c r="E296" t="str">
        <f>Lembar2!E295</f>
        <v>Demak</v>
      </c>
      <c r="F296" s="21">
        <f>Lembar2!F295</f>
        <v>41646</v>
      </c>
      <c r="G296" t="str">
        <f>Lembar2!G295</f>
        <v>HUMAM CHAMBALI</v>
      </c>
      <c r="H296" t="str">
        <f>Lembar2!H295</f>
        <v>TUKIRAH</v>
      </c>
      <c r="I296" t="e">
        <f>VLOOKUP(B296,Lembar1!A$4:H$175,8,FALSE)</f>
        <v>#N/A</v>
      </c>
      <c r="J296" t="str">
        <f>Lembar2!C295</f>
        <v>Demak - SD NURUL HUDA</v>
      </c>
    </row>
    <row r="297" spans="1:10" x14ac:dyDescent="0.25">
      <c r="A297">
        <v>522</v>
      </c>
      <c r="B297" t="str">
        <f>Lembar2!L296</f>
        <v>EBTAQ25-01.236</v>
      </c>
      <c r="C297" t="str">
        <f>Lembar2!D296</f>
        <v>Novia Rahayu Mustovia</v>
      </c>
      <c r="D297" t="str">
        <f>Lembar2!I296</f>
        <v>Perempuan</v>
      </c>
      <c r="E297" t="str">
        <f>Lembar2!E296</f>
        <v>Demak</v>
      </c>
      <c r="F297" s="21">
        <f>Lembar2!F296</f>
        <v>46017</v>
      </c>
      <c r="G297" t="str">
        <f>Lembar2!G296</f>
        <v>Agus Okto pramono</v>
      </c>
      <c r="H297" t="str">
        <f>Lembar2!H296</f>
        <v>Musripah</v>
      </c>
      <c r="I297" t="e">
        <f>VLOOKUP(B297,Lembar1!A$4:H$175,8,FALSE)</f>
        <v>#N/A</v>
      </c>
      <c r="J297" t="str">
        <f>Lembar2!C296</f>
        <v>Karangga - Al Hikmah</v>
      </c>
    </row>
    <row r="298" spans="1:10" x14ac:dyDescent="0.25">
      <c r="A298">
        <v>523</v>
      </c>
      <c r="B298" t="str">
        <f>Lembar2!L297</f>
        <v>EBTAQ25-04.051</v>
      </c>
      <c r="C298" t="str">
        <f>Lembar2!D297</f>
        <v>Alfida Zahwa Awalia</v>
      </c>
      <c r="D298" t="str">
        <f>Lembar2!I297</f>
        <v>Perempuan</v>
      </c>
      <c r="E298" t="str">
        <f>Lembar2!E297</f>
        <v>Demak</v>
      </c>
      <c r="F298" s="21">
        <f>Lembar2!F297</f>
        <v>41792</v>
      </c>
      <c r="G298" t="str">
        <f>Lembar2!G297</f>
        <v>Mualimin</v>
      </c>
      <c r="H298" t="str">
        <f>Lembar2!H297</f>
        <v>Siti mas udah</v>
      </c>
      <c r="I298" t="e">
        <f>VLOOKUP(B298,Lembar1!A$4:H$175,8,FALSE)</f>
        <v>#N/A</v>
      </c>
      <c r="J298" t="str">
        <f>Lembar2!C297</f>
        <v>Karangga - Al Hikmah</v>
      </c>
    </row>
    <row r="299" spans="1:10" x14ac:dyDescent="0.25">
      <c r="A299">
        <v>524</v>
      </c>
      <c r="B299" t="str">
        <f>Lembar2!L298</f>
        <v>EBTAQ25-01.237</v>
      </c>
      <c r="C299" t="str">
        <f>Lembar2!D298</f>
        <v>Novia Rahayu Mustovia</v>
      </c>
      <c r="D299" t="str">
        <f>Lembar2!I298</f>
        <v>Perempuan</v>
      </c>
      <c r="E299" t="str">
        <f>Lembar2!E298</f>
        <v>Demak</v>
      </c>
      <c r="F299" s="21">
        <f>Lembar2!F298</f>
        <v>46017</v>
      </c>
      <c r="G299" t="str">
        <f>Lembar2!G298</f>
        <v>Agus Okto pramono</v>
      </c>
      <c r="H299" t="str">
        <f>Lembar2!H298</f>
        <v>Musripah</v>
      </c>
      <c r="I299" t="e">
        <f>VLOOKUP(B299,Lembar1!A$4:H$175,8,FALSE)</f>
        <v>#N/A</v>
      </c>
      <c r="J299" t="str">
        <f>Lembar2!C298</f>
        <v>Karangga - Al Hikmah</v>
      </c>
    </row>
    <row r="300" spans="1:10" x14ac:dyDescent="0.25">
      <c r="A300">
        <v>525</v>
      </c>
      <c r="B300" t="str">
        <f>Lembar2!L299</f>
        <v>EBTAQ25-01.238</v>
      </c>
      <c r="C300" t="str">
        <f>Lembar2!D299</f>
        <v>Novia Rahayu Mustovia</v>
      </c>
      <c r="D300" t="str">
        <f>Lembar2!I299</f>
        <v>Perempuan</v>
      </c>
      <c r="E300" t="str">
        <f>Lembar2!E299</f>
        <v>Demak</v>
      </c>
      <c r="F300" s="21">
        <f>Lembar2!F299</f>
        <v>46017</v>
      </c>
      <c r="G300" t="str">
        <f>Lembar2!G299</f>
        <v>Agus Okto pramono</v>
      </c>
      <c r="H300" t="str">
        <f>Lembar2!H299</f>
        <v>Musripah</v>
      </c>
      <c r="I300" t="e">
        <f>VLOOKUP(B300,Lembar1!A$4:H$175,8,FALSE)</f>
        <v>#N/A</v>
      </c>
      <c r="J300" t="str">
        <f>Lembar2!C299</f>
        <v>Karangga - Al Hikmah</v>
      </c>
    </row>
    <row r="301" spans="1:10" x14ac:dyDescent="0.25">
      <c r="A301">
        <v>526</v>
      </c>
      <c r="B301" t="str">
        <f>Lembar2!L300</f>
        <v>EBTAQ25-01.239</v>
      </c>
      <c r="C301" t="str">
        <f>Lembar2!D300</f>
        <v>Novia Rahayu Mustovia</v>
      </c>
      <c r="D301" t="str">
        <f>Lembar2!I300</f>
        <v>Perempuan</v>
      </c>
      <c r="E301" t="str">
        <f>Lembar2!E300</f>
        <v>Demak</v>
      </c>
      <c r="F301" s="21">
        <f>Lembar2!F300</f>
        <v>46017</v>
      </c>
      <c r="G301" t="str">
        <f>Lembar2!G300</f>
        <v>Agus Okto pramono</v>
      </c>
      <c r="H301" t="str">
        <f>Lembar2!H300</f>
        <v>Musripah</v>
      </c>
      <c r="I301" t="e">
        <f>VLOOKUP(B301,Lembar1!A$4:H$175,8,FALSE)</f>
        <v>#N/A</v>
      </c>
      <c r="J301" t="str">
        <f>Lembar2!C300</f>
        <v>Demak - TK QIROATI, Karangga - Al Hikmah</v>
      </c>
    </row>
    <row r="302" spans="1:10" x14ac:dyDescent="0.25">
      <c r="A302">
        <v>527</v>
      </c>
      <c r="B302" t="str">
        <f>Lembar2!L301</f>
        <v>EBTAQ25-01.240</v>
      </c>
      <c r="C302" t="str">
        <f>Lembar2!D301</f>
        <v>Novia Rahayu Mustovia</v>
      </c>
      <c r="D302" t="str">
        <f>Lembar2!I301</f>
        <v>Perempuan</v>
      </c>
      <c r="E302" t="str">
        <f>Lembar2!E301</f>
        <v>Demak</v>
      </c>
      <c r="F302" s="21">
        <f>Lembar2!F301</f>
        <v>46017</v>
      </c>
      <c r="G302" t="str">
        <f>Lembar2!G301</f>
        <v>Agus Okto pramono</v>
      </c>
      <c r="H302" t="str">
        <f>Lembar2!H301</f>
        <v>Musripah</v>
      </c>
      <c r="I302" t="e">
        <f>VLOOKUP(B302,Lembar1!A$4:H$175,8,FALSE)</f>
        <v>#N/A</v>
      </c>
      <c r="J302" t="str">
        <f>Lembar2!C301</f>
        <v>Karangga - Al Hikmah</v>
      </c>
    </row>
    <row r="303" spans="1:10" x14ac:dyDescent="0.25">
      <c r="A303">
        <v>528</v>
      </c>
      <c r="B303" t="str">
        <f>Lembar2!L302</f>
        <v>EBTAQ25-04.052</v>
      </c>
      <c r="C303" t="str">
        <f>Lembar2!D302</f>
        <v>AISYA SYAFA'ATUL MUKARROMAH</v>
      </c>
      <c r="D303" t="str">
        <f>Lembar2!I302</f>
        <v>Perempuan</v>
      </c>
      <c r="E303" t="str">
        <f>Lembar2!E302</f>
        <v>DEMAK</v>
      </c>
      <c r="F303" s="21">
        <f>Lembar2!F302</f>
        <v>41646</v>
      </c>
      <c r="G303" t="str">
        <f>Lembar2!G302</f>
        <v>AHMAD ZAENI DAHLAN</v>
      </c>
      <c r="H303" t="str">
        <f>Lembar2!H302</f>
        <v>CHARIROTUS SOLICHAH</v>
      </c>
      <c r="I303" t="e">
        <f>VLOOKUP(B303,Lembar1!A$4:H$175,8,FALSE)</f>
        <v>#N/A</v>
      </c>
      <c r="J303" t="str">
        <f>Lembar2!C302</f>
        <v>Karangga - Nurul Huda Undaan Kidul</v>
      </c>
    </row>
    <row r="304" spans="1:10" x14ac:dyDescent="0.25">
      <c r="A304">
        <v>529</v>
      </c>
      <c r="B304" t="str">
        <f>Lembar2!L303</f>
        <v>EBTAQ25-04.053</v>
      </c>
      <c r="C304" t="str">
        <f>Lembar2!D303</f>
        <v>Daffa Radinka Faustin</v>
      </c>
      <c r="D304" t="str">
        <f>Lembar2!I303</f>
        <v>Laki-laki</v>
      </c>
      <c r="E304" t="str">
        <f>Lembar2!E303</f>
        <v>Tanjunganyar gajah demak</v>
      </c>
      <c r="F304" s="21">
        <f>Lembar2!F303</f>
        <v>42148</v>
      </c>
      <c r="G304" t="str">
        <f>Lembar2!G303</f>
        <v>Fuji santoso</v>
      </c>
      <c r="H304" t="str">
        <f>Lembar2!H303</f>
        <v>Asih setyowati</v>
      </c>
      <c r="I304" t="e">
        <f>VLOOKUP(B304,Lembar1!A$4:H$175,8,FALSE)</f>
        <v>#N/A</v>
      </c>
      <c r="J304" t="str">
        <f>Lembar2!C303</f>
        <v>Karangga - Al Ijtihad Al Mubarok</v>
      </c>
    </row>
    <row r="305" spans="1:10" x14ac:dyDescent="0.25">
      <c r="A305">
        <v>530</v>
      </c>
      <c r="B305" t="str">
        <f>Lembar2!L304</f>
        <v>EBTAQ25-01.241</v>
      </c>
      <c r="C305" t="str">
        <f>Lembar2!D304</f>
        <v>NOVIA RAHAYU MUSTHOVIA</v>
      </c>
      <c r="D305" t="str">
        <f>Lembar2!I304</f>
        <v>Perempuan</v>
      </c>
      <c r="E305" t="str">
        <f>Lembar2!E304</f>
        <v>DEMAK,26NOVEMBER2013</v>
      </c>
      <c r="F305" s="21">
        <f>Lembar2!F304</f>
        <v>41604</v>
      </c>
      <c r="G305" t="str">
        <f>Lembar2!G304</f>
        <v>AGUS OKTO PRAMONO</v>
      </c>
      <c r="H305" t="str">
        <f>Lembar2!H304</f>
        <v>MUSRIPAH</v>
      </c>
      <c r="I305" t="e">
        <f>VLOOKUP(B305,Lembar1!A$4:H$175,8,FALSE)</f>
        <v>#N/A</v>
      </c>
      <c r="J305" t="str">
        <f>Lembar2!C304</f>
        <v>Karangga - Al Hikmah</v>
      </c>
    </row>
    <row r="306" spans="1:10" x14ac:dyDescent="0.25">
      <c r="A306">
        <v>531</v>
      </c>
      <c r="B306" t="str">
        <f>Lembar2!L305</f>
        <v>EBTAQ25-04.054</v>
      </c>
      <c r="C306" t="str">
        <f>Lembar2!D305</f>
        <v>Novia Rahayu Mustovia</v>
      </c>
      <c r="D306" t="str">
        <f>Lembar2!I305</f>
        <v>Perempuan</v>
      </c>
      <c r="E306" t="str">
        <f>Lembar2!E305</f>
        <v>Demak</v>
      </c>
      <c r="F306" s="21">
        <f>Lembar2!F305</f>
        <v>41604</v>
      </c>
      <c r="G306" t="str">
        <f>Lembar2!G305</f>
        <v>AGUS OKTO PRAMONO</v>
      </c>
      <c r="H306" t="str">
        <f>Lembar2!H305</f>
        <v>MUSRIPAH</v>
      </c>
      <c r="I306" t="e">
        <f>VLOOKUP(B306,Lembar1!A$4:H$175,8,FALSE)</f>
        <v>#N/A</v>
      </c>
      <c r="J306" t="str">
        <f>Lembar2!C305</f>
        <v>Karangga - Al Hikmah</v>
      </c>
    </row>
    <row r="307" spans="1:10" x14ac:dyDescent="0.25">
      <c r="A307">
        <v>532</v>
      </c>
      <c r="B307" t="str">
        <f>Lembar2!L306</f>
        <v>EBTAQ25-01.242</v>
      </c>
      <c r="C307" t="str">
        <f>Lembar2!D306</f>
        <v>AHMAD FAQIH ZAMZAMI</v>
      </c>
      <c r="D307" t="str">
        <f>Lembar2!I306</f>
        <v>Laki-laki</v>
      </c>
      <c r="E307" t="str">
        <f>Lembar2!E306</f>
        <v>Demak</v>
      </c>
      <c r="F307" s="21">
        <f>Lembar2!F306</f>
        <v>42265</v>
      </c>
      <c r="G307" t="str">
        <f>Lembar2!G306</f>
        <v>AHMAD ABROR</v>
      </c>
      <c r="H307" t="str">
        <f>Lembar2!H306</f>
        <v>HAJAR</v>
      </c>
      <c r="I307" t="e">
        <f>VLOOKUP(B307,Lembar1!A$4:H$175,8,FALSE)</f>
        <v>#N/A</v>
      </c>
      <c r="J307" t="str">
        <f>Lembar2!C306</f>
        <v>Demak - SD NURUL HUDA</v>
      </c>
    </row>
    <row r="308" spans="1:10" x14ac:dyDescent="0.25">
      <c r="A308">
        <v>533</v>
      </c>
      <c r="B308" t="str">
        <f>Lembar2!L307</f>
        <v>EBTAQ25-04.055</v>
      </c>
      <c r="C308" t="str">
        <f>Lembar2!D307</f>
        <v>NOVIA RAHAYU MUSTHOVIA</v>
      </c>
      <c r="D308" t="str">
        <f>Lembar2!I307</f>
        <v>Perempuan</v>
      </c>
      <c r="E308" t="str">
        <f>Lembar2!E307</f>
        <v>DEMAK</v>
      </c>
      <c r="F308" s="21">
        <f>Lembar2!F307</f>
        <v>41604</v>
      </c>
      <c r="G308" t="str">
        <f>Lembar2!G307</f>
        <v>AGUS OKTO PRAMONO</v>
      </c>
      <c r="H308" t="str">
        <f>Lembar2!H307</f>
        <v>MUSRIPAH</v>
      </c>
      <c r="I308" t="e">
        <f>VLOOKUP(B308,Lembar1!A$4:H$175,8,FALSE)</f>
        <v>#N/A</v>
      </c>
      <c r="J308" t="str">
        <f>Lembar2!C307</f>
        <v>Karangga - Al Hikmah</v>
      </c>
    </row>
    <row r="309" spans="1:10" x14ac:dyDescent="0.25">
      <c r="A309">
        <v>534</v>
      </c>
      <c r="B309" t="str">
        <f>Lembar2!L308</f>
        <v>EBTAQ25-01.243</v>
      </c>
      <c r="C309" t="str">
        <f>Lembar2!D308</f>
        <v>Ahmad Taufiq Rizky</v>
      </c>
      <c r="D309" t="str">
        <f>Lembar2!I308</f>
        <v>Laki-laki</v>
      </c>
      <c r="E309" t="str">
        <f>Lembar2!E308</f>
        <v>Jakarta</v>
      </c>
      <c r="F309" s="21">
        <f>Lembar2!F308</f>
        <v>41420</v>
      </c>
      <c r="G309" t="str">
        <f>Lembar2!G308</f>
        <v>Kustriyono</v>
      </c>
      <c r="H309" t="str">
        <f>Lembar2!H308</f>
        <v>Tuti Herawati</v>
      </c>
      <c r="I309" t="e">
        <f>VLOOKUP(B309,Lembar1!A$4:H$175,8,FALSE)</f>
        <v>#N/A</v>
      </c>
      <c r="J309" t="str">
        <f>Lembar2!C308</f>
        <v>Demak - SD NURUL HUDA</v>
      </c>
    </row>
    <row r="310" spans="1:10" x14ac:dyDescent="0.25">
      <c r="A310">
        <v>535</v>
      </c>
      <c r="B310" t="str">
        <f>Lembar2!L309</f>
        <v>EBTAQ25-04.056</v>
      </c>
      <c r="C310" t="str">
        <f>Lembar2!D309</f>
        <v>NOVIA RAHAYU MUSTHOVIA</v>
      </c>
      <c r="D310" t="str">
        <f>Lembar2!I309</f>
        <v>Perempuan</v>
      </c>
      <c r="E310" t="str">
        <f>Lembar2!E309</f>
        <v>DEMAK</v>
      </c>
      <c r="F310" s="21">
        <f>Lembar2!F309</f>
        <v>41604</v>
      </c>
      <c r="G310" t="str">
        <f>Lembar2!G309</f>
        <v>AGUS OKTO PRAMONO</v>
      </c>
      <c r="H310" t="str">
        <f>Lembar2!H309</f>
        <v>MUSRIPAH</v>
      </c>
      <c r="I310" t="e">
        <f>VLOOKUP(B310,Lembar1!A$4:H$175,8,FALSE)</f>
        <v>#N/A</v>
      </c>
      <c r="J310" t="str">
        <f>Lembar2!C309</f>
        <v>Karangga - Al Hikmah</v>
      </c>
    </row>
    <row r="311" spans="1:10" x14ac:dyDescent="0.25">
      <c r="A311">
        <v>536</v>
      </c>
      <c r="B311" t="str">
        <f>Lembar2!L310</f>
        <v>EBTAQ25-01.244</v>
      </c>
      <c r="C311" t="str">
        <f>Lembar2!D310</f>
        <v>AISYAH DZAKIYYATUL HUSNA</v>
      </c>
      <c r="D311" t="str">
        <f>Lembar2!I310</f>
        <v>Perempuan</v>
      </c>
      <c r="E311" t="str">
        <f>Lembar2!E310</f>
        <v>Demak</v>
      </c>
      <c r="F311" s="21">
        <f>Lembar2!F310</f>
        <v>42825</v>
      </c>
      <c r="G311" t="str">
        <f>Lembar2!G310</f>
        <v>SHOFIYUL ARIF</v>
      </c>
      <c r="H311" t="str">
        <f>Lembar2!H310</f>
        <v>NAILI INAYATI NOOR</v>
      </c>
      <c r="I311" t="e">
        <f>VLOOKUP(B311,Lembar1!A$4:H$175,8,FALSE)</f>
        <v>#N/A</v>
      </c>
      <c r="J311" t="str">
        <f>Lembar2!C310</f>
        <v>Demak - SD NURUL HUDA</v>
      </c>
    </row>
    <row r="312" spans="1:10" x14ac:dyDescent="0.25">
      <c r="A312">
        <v>537</v>
      </c>
      <c r="B312" t="str">
        <f>Lembar2!L311</f>
        <v>EBTAQ25-01.245</v>
      </c>
      <c r="C312" t="str">
        <f>Lembar2!D311</f>
        <v>AKIFA KHAIRA FAIHA</v>
      </c>
      <c r="D312" t="str">
        <f>Lembar2!I311</f>
        <v>Perempuan</v>
      </c>
      <c r="E312" t="str">
        <f>Lembar2!E311</f>
        <v>Demak</v>
      </c>
      <c r="F312" s="21">
        <f>Lembar2!F311</f>
        <v>41939</v>
      </c>
      <c r="G312" t="str">
        <f>Lembar2!G311</f>
        <v>BUDIANTO</v>
      </c>
      <c r="H312" t="str">
        <f>Lembar2!H311</f>
        <v>YULI ERNAWATI</v>
      </c>
      <c r="I312" t="e">
        <f>VLOOKUP(B312,Lembar1!A$4:H$175,8,FALSE)</f>
        <v>#N/A</v>
      </c>
      <c r="J312" t="str">
        <f>Lembar2!C311</f>
        <v>Demak - SD NURUL HUDA</v>
      </c>
    </row>
    <row r="313" spans="1:10" x14ac:dyDescent="0.25">
      <c r="A313">
        <v>538</v>
      </c>
      <c r="B313" t="str">
        <f>Lembar2!L312</f>
        <v>EBTAQ25-01.246</v>
      </c>
      <c r="C313" t="str">
        <f>Lembar2!D312</f>
        <v>Novia Rahayu mustovia</v>
      </c>
      <c r="D313" t="str">
        <f>Lembar2!I312</f>
        <v>Perempuan</v>
      </c>
      <c r="E313" t="str">
        <f>Lembar2!E312</f>
        <v>Demak</v>
      </c>
      <c r="F313" s="21">
        <f>Lembar2!F312</f>
        <v>41604</v>
      </c>
      <c r="G313" t="str">
        <f>Lembar2!G312</f>
        <v>Agus oktopramono</v>
      </c>
      <c r="H313" t="str">
        <f>Lembar2!H312</f>
        <v>Musripah</v>
      </c>
      <c r="I313" t="e">
        <f>VLOOKUP(B313,Lembar1!A$4:H$175,8,FALSE)</f>
        <v>#N/A</v>
      </c>
      <c r="J313" t="str">
        <f>Lembar2!C312</f>
        <v>Karangga - Al Hikmah</v>
      </c>
    </row>
    <row r="314" spans="1:10" x14ac:dyDescent="0.25">
      <c r="A314">
        <v>539</v>
      </c>
      <c r="B314" t="str">
        <f>Lembar2!L313</f>
        <v>EBTAQ25-01.247</v>
      </c>
      <c r="C314" t="str">
        <f>Lembar2!D313</f>
        <v>AKIFA NAILA PUTRI</v>
      </c>
      <c r="D314" t="str">
        <f>Lembar2!I313</f>
        <v>Perempuan</v>
      </c>
      <c r="E314" t="str">
        <f>Lembar2!E313</f>
        <v>Jepara</v>
      </c>
      <c r="F314" s="21">
        <f>Lembar2!F313</f>
        <v>42567</v>
      </c>
      <c r="G314" t="str">
        <f>Lembar2!G313</f>
        <v>MOCH SOBIRIN</v>
      </c>
      <c r="H314" t="str">
        <f>Lembar2!H313</f>
        <v>DEWI WULANSARI</v>
      </c>
      <c r="I314" t="e">
        <f>VLOOKUP(B314,Lembar1!A$4:H$175,8,FALSE)</f>
        <v>#N/A</v>
      </c>
      <c r="J314" t="str">
        <f>Lembar2!C313</f>
        <v>Demak - SD NURUL HUDA</v>
      </c>
    </row>
    <row r="315" spans="1:10" x14ac:dyDescent="0.25">
      <c r="A315">
        <v>540</v>
      </c>
      <c r="B315" t="str">
        <f>Lembar2!L314</f>
        <v>EBTAQ25-01.248</v>
      </c>
      <c r="C315" t="str">
        <f>Lembar2!D314</f>
        <v>ALFAINA ROSYAIDA RAHMAN</v>
      </c>
      <c r="D315" t="str">
        <f>Lembar2!I314</f>
        <v>Perempuan</v>
      </c>
      <c r="E315" t="str">
        <f>Lembar2!E314</f>
        <v>Demak</v>
      </c>
      <c r="F315" s="21">
        <f>Lembar2!F314</f>
        <v>41954</v>
      </c>
      <c r="G315" t="str">
        <f>Lembar2!G314</f>
        <v>MUHAMAD NUROHMAN</v>
      </c>
      <c r="H315" t="str">
        <f>Lembar2!H314</f>
        <v>ALFAYA SAYYIDAH</v>
      </c>
      <c r="I315" t="e">
        <f>VLOOKUP(B315,Lembar1!A$4:H$175,8,FALSE)</f>
        <v>#N/A</v>
      </c>
      <c r="J315" t="str">
        <f>Lembar2!C314</f>
        <v>Demak - SD NURUL HUDA</v>
      </c>
    </row>
    <row r="316" spans="1:10" x14ac:dyDescent="0.25">
      <c r="A316">
        <v>541</v>
      </c>
      <c r="B316" t="str">
        <f>Lembar2!L315</f>
        <v>EBTAQ25-05.033</v>
      </c>
      <c r="C316" t="str">
        <f>Lembar2!D315</f>
        <v>nabila nailu zakiyyatul muna</v>
      </c>
      <c r="D316" t="str">
        <f>Lembar2!I315</f>
        <v>Perempuan</v>
      </c>
      <c r="E316" t="str">
        <f>Lembar2!E315</f>
        <v>demak</v>
      </c>
      <c r="F316" s="21">
        <f>Lembar2!F315</f>
        <v>42330</v>
      </c>
      <c r="G316" t="str">
        <f>Lembar2!G315</f>
        <v>muhamad koeri</v>
      </c>
      <c r="H316" t="str">
        <f>Lembar2!H315</f>
        <v>romlah</v>
      </c>
      <c r="I316" t="e">
        <f>VLOOKUP(B316,Lembar1!A$4:H$175,8,FALSE)</f>
        <v>#N/A</v>
      </c>
      <c r="J316" t="str">
        <f>Lembar2!C315</f>
        <v>Karbon - TPQ Nahdlotul Qur'an</v>
      </c>
    </row>
    <row r="317" spans="1:10" x14ac:dyDescent="0.25">
      <c r="A317">
        <v>542</v>
      </c>
      <c r="B317" t="str">
        <f>Lembar2!L316</f>
        <v>EBTAQ25-05.034</v>
      </c>
      <c r="C317" t="str">
        <f>Lembar2!D316</f>
        <v>khoirunnisa salsabila</v>
      </c>
      <c r="D317" t="str">
        <f>Lembar2!I316</f>
        <v>Perempuan</v>
      </c>
      <c r="E317" t="str">
        <f>Lembar2!E316</f>
        <v>demak</v>
      </c>
      <c r="F317" s="21">
        <f>Lembar2!F316</f>
        <v>42393</v>
      </c>
      <c r="G317" t="str">
        <f>Lembar2!G316</f>
        <v>miftahul huda</v>
      </c>
      <c r="H317" t="str">
        <f>Lembar2!H316</f>
        <v>ainul mafrokah</v>
      </c>
      <c r="I317" t="e">
        <f>VLOOKUP(B317,Lembar1!A$4:H$175,8,FALSE)</f>
        <v>#N/A</v>
      </c>
      <c r="J317" t="str">
        <f>Lembar2!C316</f>
        <v>Karbon - TPQ Nahdlotul Qur'an</v>
      </c>
    </row>
    <row r="318" spans="1:10" x14ac:dyDescent="0.25">
      <c r="A318">
        <v>543</v>
      </c>
      <c r="B318" t="str">
        <f>Lembar2!L317</f>
        <v>EBTAQ25-05.035</v>
      </c>
      <c r="C318" t="str">
        <f>Lembar2!D317</f>
        <v>rara tri apriliana</v>
      </c>
      <c r="D318" t="str">
        <f>Lembar2!I317</f>
        <v>Perempuan</v>
      </c>
      <c r="E318" t="str">
        <f>Lembar2!E317</f>
        <v>demak</v>
      </c>
      <c r="F318" s="21">
        <f>Lembar2!F317</f>
        <v>42109</v>
      </c>
      <c r="G318" t="str">
        <f>Lembar2!G317</f>
        <v>rakimin</v>
      </c>
      <c r="H318" t="str">
        <f>Lembar2!H317</f>
        <v>romlah</v>
      </c>
      <c r="I318" t="e">
        <f>VLOOKUP(B318,Lembar1!A$4:H$175,8,FALSE)</f>
        <v>#N/A</v>
      </c>
      <c r="J318" t="str">
        <f>Lembar2!C317</f>
        <v>Karbon - TPQ Nahdlotul Qur'an</v>
      </c>
    </row>
    <row r="319" spans="1:10" x14ac:dyDescent="0.25">
      <c r="A319">
        <v>544</v>
      </c>
      <c r="B319" t="str">
        <f>Lembar2!L318</f>
        <v>EBTAQ25-05.036</v>
      </c>
      <c r="C319" t="str">
        <f>Lembar2!D318</f>
        <v>naura latisha aquina</v>
      </c>
      <c r="D319" t="str">
        <f>Lembar2!I318</f>
        <v>Perempuan</v>
      </c>
      <c r="E319" t="str">
        <f>Lembar2!E318</f>
        <v>demak</v>
      </c>
      <c r="F319" s="21">
        <f>Lembar2!F318</f>
        <v>42349</v>
      </c>
      <c r="G319" t="str">
        <f>Lembar2!G318</f>
        <v>ahmad saefudin</v>
      </c>
      <c r="H319" t="str">
        <f>Lembar2!H318</f>
        <v>ropiah</v>
      </c>
      <c r="I319" t="e">
        <f>VLOOKUP(B319,Lembar1!A$4:H$175,8,FALSE)</f>
        <v>#N/A</v>
      </c>
      <c r="J319" t="str">
        <f>Lembar2!C318</f>
        <v>Karbon - TPQ Nahdlotul Qur'an</v>
      </c>
    </row>
    <row r="320" spans="1:10" x14ac:dyDescent="0.25">
      <c r="A320">
        <v>545</v>
      </c>
      <c r="B320" t="str">
        <f>Lembar2!L319</f>
        <v>EBTAQ25-04.057</v>
      </c>
      <c r="C320" t="str">
        <f>Lembar2!D319</f>
        <v>AHMAD SHIDIQ AL KARIM</v>
      </c>
      <c r="D320" t="str">
        <f>Lembar2!I319</f>
        <v>Laki-laki</v>
      </c>
      <c r="E320" t="str">
        <f>Lembar2!E319</f>
        <v>DEMAK</v>
      </c>
      <c r="F320" s="21">
        <f>Lembar2!F319</f>
        <v>41704</v>
      </c>
      <c r="G320" t="str">
        <f>Lembar2!G319</f>
        <v>ABDUL KARIM</v>
      </c>
      <c r="H320" t="str">
        <f>Lembar2!H319</f>
        <v>SITI SYARIAH</v>
      </c>
      <c r="I320" t="e">
        <f>VLOOKUP(B320,Lembar1!A$4:H$175,8,FALSE)</f>
        <v>#N/A</v>
      </c>
      <c r="J320" t="str">
        <f>Lembar2!C319</f>
        <v>Karangga - Al Hikmah</v>
      </c>
    </row>
    <row r="321" spans="1:10" x14ac:dyDescent="0.25">
      <c r="A321">
        <v>546</v>
      </c>
      <c r="B321" t="str">
        <f>Lembar2!L320</f>
        <v>EBTAQ25-05.037</v>
      </c>
      <c r="C321" t="str">
        <f>Lembar2!D320</f>
        <v>Farida layalil mahya</v>
      </c>
      <c r="D321" t="str">
        <f>Lembar2!I320</f>
        <v>Perempuan</v>
      </c>
      <c r="E321" t="str">
        <f>Lembar2!E320</f>
        <v>GROBOGAN</v>
      </c>
      <c r="F321" s="21">
        <f>Lembar2!F320</f>
        <v>40708</v>
      </c>
      <c r="G321" t="str">
        <f>Lembar2!G320</f>
        <v>TIMIN</v>
      </c>
      <c r="H321" t="str">
        <f>Lembar2!H320</f>
        <v>SUDARSIH</v>
      </c>
      <c r="I321" t="e">
        <f>VLOOKUP(B321,Lembar1!A$4:H$175,8,FALSE)</f>
        <v>#N/A</v>
      </c>
      <c r="J321" t="str">
        <f>Lembar2!C320</f>
        <v>Karbon - Hidayatul Mubtadi'in</v>
      </c>
    </row>
    <row r="322" spans="1:10" x14ac:dyDescent="0.25">
      <c r="A322">
        <v>547</v>
      </c>
      <c r="B322" t="str">
        <f>Lembar2!L321</f>
        <v>EBTAQ25-05.038</v>
      </c>
      <c r="C322" t="str">
        <f>Lembar2!D321</f>
        <v>danisha naira najmi</v>
      </c>
      <c r="D322" t="str">
        <f>Lembar2!I321</f>
        <v>Perempuan</v>
      </c>
      <c r="E322" t="str">
        <f>Lembar2!E321</f>
        <v>demak</v>
      </c>
      <c r="F322" s="21">
        <f>Lembar2!F321</f>
        <v>42546</v>
      </c>
      <c r="G322" t="str">
        <f>Lembar2!G321</f>
        <v>moh agus salim</v>
      </c>
      <c r="H322" t="str">
        <f>Lembar2!H321</f>
        <v>nurul khoiriyah</v>
      </c>
      <c r="I322" t="e">
        <f>VLOOKUP(B322,Lembar1!A$4:H$175,8,FALSE)</f>
        <v>#N/A</v>
      </c>
      <c r="J322" t="str">
        <f>Lembar2!C321</f>
        <v>Karbon - TPQ Nahdlotul Qur'an</v>
      </c>
    </row>
    <row r="323" spans="1:10" x14ac:dyDescent="0.25">
      <c r="A323">
        <v>548</v>
      </c>
      <c r="B323" t="str">
        <f>Lembar2!L322</f>
        <v>EBTAQ25-05.039</v>
      </c>
      <c r="C323" t="str">
        <f>Lembar2!D322</f>
        <v>talitha mutia azzahra</v>
      </c>
      <c r="D323" t="str">
        <f>Lembar2!I322</f>
        <v>Perempuan</v>
      </c>
      <c r="E323" t="str">
        <f>Lembar2!E322</f>
        <v>demak</v>
      </c>
      <c r="F323" s="21">
        <f>Lembar2!F322</f>
        <v>42668</v>
      </c>
      <c r="G323" t="str">
        <f>Lembar2!G322</f>
        <v>akhid iriadi</v>
      </c>
      <c r="H323" t="str">
        <f>Lembar2!H322</f>
        <v>ika silvia martania</v>
      </c>
      <c r="I323" t="e">
        <f>VLOOKUP(B323,Lembar1!A$4:H$175,8,FALSE)</f>
        <v>#N/A</v>
      </c>
      <c r="J323" t="str">
        <f>Lembar2!C322</f>
        <v>Karbon - TPQ Nahdlotul Qur'an</v>
      </c>
    </row>
    <row r="324" spans="1:10" x14ac:dyDescent="0.25">
      <c r="A324">
        <v>549</v>
      </c>
      <c r="B324" t="str">
        <f>Lembar2!L323</f>
        <v>EBTAQ25-05.040</v>
      </c>
      <c r="C324" t="str">
        <f>Lembar2!D323</f>
        <v>AZZURA GIRI SAPUTRA</v>
      </c>
      <c r="D324" t="str">
        <f>Lembar2!I323</f>
        <v>Laki-laki</v>
      </c>
      <c r="E324" t="str">
        <f>Lembar2!E323</f>
        <v>DEMAK</v>
      </c>
      <c r="F324" s="21">
        <f>Lembar2!F323</f>
        <v>40902</v>
      </c>
      <c r="G324" t="str">
        <f>Lembar2!G323</f>
        <v>BAMBANG SUDARMAJI</v>
      </c>
      <c r="H324" t="str">
        <f>Lembar2!H323</f>
        <v>DARMIYATI</v>
      </c>
      <c r="I324" t="e">
        <f>VLOOKUP(B324,Lembar1!A$4:H$175,8,FALSE)</f>
        <v>#N/A</v>
      </c>
      <c r="J324" t="str">
        <f>Lembar2!C323</f>
        <v>Karbon - Hidayatul Mubtadi'in</v>
      </c>
    </row>
    <row r="325" spans="1:10" x14ac:dyDescent="0.25">
      <c r="A325">
        <v>550</v>
      </c>
      <c r="B325" t="str">
        <f>Lembar2!L324</f>
        <v>EBTAQ25-05.041</v>
      </c>
      <c r="C325" t="str">
        <f>Lembar2!D324</f>
        <v>Putri wulandari</v>
      </c>
      <c r="D325" t="str">
        <f>Lembar2!I324</f>
        <v>Perempuan</v>
      </c>
      <c r="E325" t="str">
        <f>Lembar2!E324</f>
        <v>Grobogan</v>
      </c>
      <c r="F325" s="21">
        <f>Lembar2!F324</f>
        <v>40618</v>
      </c>
      <c r="G325" t="str">
        <f>Lembar2!G324</f>
        <v>ABDUL QODIR</v>
      </c>
      <c r="H325" t="str">
        <f>Lembar2!H324</f>
        <v>SRI WAHYUNI</v>
      </c>
      <c r="I325" t="e">
        <f>VLOOKUP(B325,Lembar1!A$4:H$175,8,FALSE)</f>
        <v>#N/A</v>
      </c>
      <c r="J325" t="str">
        <f>Lembar2!C324</f>
        <v>Karbon - Hidayatul Mubtadi'in</v>
      </c>
    </row>
    <row r="326" spans="1:10" x14ac:dyDescent="0.25">
      <c r="A326">
        <v>551</v>
      </c>
      <c r="B326" t="str">
        <f>Lembar2!L325</f>
        <v>EBTAQ25-04.058</v>
      </c>
      <c r="C326" t="str">
        <f>Lembar2!D325</f>
        <v>Nadhif Ali Sya'ban</v>
      </c>
      <c r="D326" t="str">
        <f>Lembar2!I325</f>
        <v>Laki-laki</v>
      </c>
      <c r="E326" t="str">
        <f>Lembar2!E325</f>
        <v>Demak</v>
      </c>
      <c r="F326" s="21">
        <f>Lembar2!F325</f>
        <v>42145</v>
      </c>
      <c r="G326" t="str">
        <f>Lembar2!G325</f>
        <v>Fuadi Anwar</v>
      </c>
      <c r="H326" t="str">
        <f>Lembar2!H325</f>
        <v>Mustofiyah</v>
      </c>
      <c r="I326" t="e">
        <f>VLOOKUP(B326,Lembar1!A$4:H$175,8,FALSE)</f>
        <v>#N/A</v>
      </c>
      <c r="J326" t="str">
        <f>Lembar2!C325</f>
        <v>Karangga - Mubarokah</v>
      </c>
    </row>
    <row r="327" spans="1:10" x14ac:dyDescent="0.25">
      <c r="A327">
        <v>552</v>
      </c>
      <c r="B327" t="str">
        <f>Lembar2!L326</f>
        <v>EBTAQ25-03.046</v>
      </c>
      <c r="C327" t="str">
        <f>Lembar2!D326</f>
        <v>Rahma Ardi ramadhani</v>
      </c>
      <c r="D327" t="str">
        <f>Lembar2!I326</f>
        <v>Perempuan</v>
      </c>
      <c r="E327" t="str">
        <f>Lembar2!E326</f>
        <v>Demak</v>
      </c>
      <c r="F327" s="21">
        <f>Lembar2!F326</f>
        <v>41824</v>
      </c>
      <c r="G327" t="str">
        <f>Lembar2!G326</f>
        <v>Suhardi</v>
      </c>
      <c r="H327" t="str">
        <f>Lembar2!H326</f>
        <v>Rofiah</v>
      </c>
      <c r="I327" t="e">
        <f>VLOOKUP(B327,Lembar1!A$4:H$175,8,FALSE)</f>
        <v>#N/A</v>
      </c>
      <c r="J327" t="str">
        <f>Lembar2!C326</f>
        <v>BMW - Yanbu'ul Qur'an</v>
      </c>
    </row>
    <row r="328" spans="1:10" x14ac:dyDescent="0.25">
      <c r="A328">
        <v>553</v>
      </c>
      <c r="B328" t="str">
        <f>Lembar2!L327</f>
        <v>EBTAQ25-04.059</v>
      </c>
      <c r="C328" t="str">
        <f>Lembar2!D327</f>
        <v>Sabrina Assyva</v>
      </c>
      <c r="D328" t="str">
        <f>Lembar2!I327</f>
        <v>Perempuan</v>
      </c>
      <c r="E328" t="str">
        <f>Lembar2!E327</f>
        <v>Demak</v>
      </c>
      <c r="F328" s="21">
        <f>Lembar2!F327</f>
        <v>41608</v>
      </c>
      <c r="G328" t="str">
        <f>Lembar2!G327</f>
        <v>Akhmat Amin</v>
      </c>
      <c r="H328" t="str">
        <f>Lembar2!H327</f>
        <v>Ami Anisah</v>
      </c>
      <c r="I328" t="e">
        <f>VLOOKUP(B328,Lembar1!A$4:H$175,8,FALSE)</f>
        <v>#N/A</v>
      </c>
      <c r="J328" t="str">
        <f>Lembar2!C327</f>
        <v>Karangga - Mubarokah</v>
      </c>
    </row>
    <row r="329" spans="1:10" x14ac:dyDescent="0.25">
      <c r="A329">
        <v>554</v>
      </c>
      <c r="B329" t="str">
        <f>Lembar2!L328</f>
        <v>EBTAQ25-04.060</v>
      </c>
      <c r="C329" t="str">
        <f>Lembar2!D328</f>
        <v>Muhammad Al Aqilul Muttaqi</v>
      </c>
      <c r="D329" t="str">
        <f>Lembar2!I328</f>
        <v>Laki-laki</v>
      </c>
      <c r="E329" t="str">
        <f>Lembar2!E328</f>
        <v>Demak</v>
      </c>
      <c r="F329" s="21">
        <f>Lembar2!F328</f>
        <v>41985</v>
      </c>
      <c r="G329" t="str">
        <f>Lembar2!G328</f>
        <v>Siswantoro</v>
      </c>
      <c r="H329" t="str">
        <f>Lembar2!H328</f>
        <v>Izatur Rohmah</v>
      </c>
      <c r="I329" t="e">
        <f>VLOOKUP(B329,Lembar1!A$4:H$175,8,FALSE)</f>
        <v>#N/A</v>
      </c>
      <c r="J329" t="str">
        <f>Lembar2!C328</f>
        <v>Karangga - Mubarokah</v>
      </c>
    </row>
    <row r="330" spans="1:10" x14ac:dyDescent="0.25">
      <c r="A330">
        <v>555</v>
      </c>
      <c r="B330" t="str">
        <f>Lembar2!L329</f>
        <v>EBTAQ25-03.047</v>
      </c>
      <c r="C330" t="str">
        <f>Lembar2!D329</f>
        <v>Muhammad Ata Bahrul Labib</v>
      </c>
      <c r="D330" t="str">
        <f>Lembar2!I329</f>
        <v>Laki-laki</v>
      </c>
      <c r="E330" t="str">
        <f>Lembar2!E329</f>
        <v>Demak</v>
      </c>
      <c r="F330" s="21">
        <f>Lembar2!F329</f>
        <v>42015</v>
      </c>
      <c r="G330" t="str">
        <f>Lembar2!G329</f>
        <v>Ali Fachrudin</v>
      </c>
      <c r="H330" t="str">
        <f>Lembar2!H329</f>
        <v>Siti Khotijah</v>
      </c>
      <c r="I330" t="e">
        <f>VLOOKUP(B330,Lembar1!A$4:H$175,8,FALSE)</f>
        <v>#N/A</v>
      </c>
      <c r="J330" t="str">
        <f>Lembar2!C329</f>
        <v>BMW - Roudhotut Tholibin</v>
      </c>
    </row>
    <row r="331" spans="1:10" x14ac:dyDescent="0.25">
      <c r="A331">
        <v>556</v>
      </c>
      <c r="B331" t="str">
        <f>Lembar2!L330</f>
        <v>EBTAQ25-03.048</v>
      </c>
      <c r="C331" t="str">
        <f>Lembar2!D330</f>
        <v>ARNAWA BAHIROTUN NAZIKHA</v>
      </c>
      <c r="D331" t="str">
        <f>Lembar2!I330</f>
        <v>Perempuan</v>
      </c>
      <c r="E331" t="str">
        <f>Lembar2!E330</f>
        <v>Demak</v>
      </c>
      <c r="F331" s="21">
        <f>Lembar2!F330</f>
        <v>43091</v>
      </c>
      <c r="G331" t="str">
        <f>Lembar2!G330</f>
        <v>RINDIN ULIN NUHA</v>
      </c>
      <c r="H331" t="str">
        <f>Lembar2!H330</f>
        <v>MUSTAINAH</v>
      </c>
      <c r="I331" t="e">
        <f>VLOOKUP(B331,Lembar1!A$4:H$175,8,FALSE)</f>
        <v>#N/A</v>
      </c>
      <c r="J331" t="str">
        <f>Lembar2!C330</f>
        <v>BMW - Yanbu'ul Qur'an</v>
      </c>
    </row>
    <row r="332" spans="1:10" x14ac:dyDescent="0.25">
      <c r="A332">
        <v>557</v>
      </c>
      <c r="B332" t="str">
        <f>Lembar2!L331</f>
        <v>EBTAQ25-03.049</v>
      </c>
      <c r="C332" t="str">
        <f>Lembar2!D331</f>
        <v>Ida Ariful Jannah</v>
      </c>
      <c r="D332" t="str">
        <f>Lembar2!I331</f>
        <v>Perempuan</v>
      </c>
      <c r="E332" t="str">
        <f>Lembar2!E331</f>
        <v>Demak</v>
      </c>
      <c r="F332" s="21">
        <f>Lembar2!F331</f>
        <v>42632</v>
      </c>
      <c r="G332" t="str">
        <f>Lembar2!G331</f>
        <v>Ali Fatkan</v>
      </c>
      <c r="H332" t="str">
        <f>Lembar2!H331</f>
        <v>Nasroh</v>
      </c>
      <c r="I332" t="e">
        <f>VLOOKUP(B332,Lembar1!A$4:H$175,8,FALSE)</f>
        <v>#N/A</v>
      </c>
      <c r="J332" t="str">
        <f>Lembar2!C331</f>
        <v>BMW - Roudhotut Tholibin</v>
      </c>
    </row>
    <row r="333" spans="1:10" x14ac:dyDescent="0.25">
      <c r="A333">
        <v>558</v>
      </c>
      <c r="B333" t="str">
        <f>Lembar2!L332</f>
        <v>EBTAQ25-01.249</v>
      </c>
      <c r="C333" t="str">
        <f>Lembar2!D332</f>
        <v>MARCHELIO PUTRA ARFANO</v>
      </c>
      <c r="D333" t="str">
        <f>Lembar2!I332</f>
        <v>Laki-laki</v>
      </c>
      <c r="E333" t="str">
        <f>Lembar2!E332</f>
        <v>DEMAK</v>
      </c>
      <c r="F333" s="21">
        <f>Lembar2!F332</f>
        <v>42203</v>
      </c>
      <c r="G333" t="str">
        <f>Lembar2!G332</f>
        <v>BILAL ADTYA KRISNA PUTRA</v>
      </c>
      <c r="H333" t="str">
        <f>Lembar2!H332</f>
        <v>IMELIA FATMA SATYA</v>
      </c>
      <c r="I333" t="e">
        <f>VLOOKUP(B333,Lembar1!A$4:H$175,8,FALSE)</f>
        <v>#N/A</v>
      </c>
      <c r="J333" t="str">
        <f>Lembar2!C332</f>
        <v>Demak - TPQ ALHUSNA (MI)</v>
      </c>
    </row>
    <row r="334" spans="1:10" x14ac:dyDescent="0.25">
      <c r="A334">
        <v>559</v>
      </c>
      <c r="B334" t="str">
        <f>Lembar2!L333</f>
        <v>EBTAQ25-01.250</v>
      </c>
      <c r="C334" t="str">
        <f>Lembar2!D333</f>
        <v>Nabillah Damara Najmy Kallani</v>
      </c>
      <c r="D334" t="str">
        <f>Lembar2!I333</f>
        <v>Perempuan</v>
      </c>
      <c r="E334" t="str">
        <f>Lembar2!E333</f>
        <v>Demak</v>
      </c>
      <c r="F334" s="21">
        <f>Lembar2!F333</f>
        <v>42733</v>
      </c>
      <c r="G334" t="str">
        <f>Lembar2!G333</f>
        <v>Achmadi</v>
      </c>
      <c r="H334" t="str">
        <f>Lembar2!H333</f>
        <v>Dwi Puji Asmorodewi</v>
      </c>
      <c r="I334" t="e">
        <f>VLOOKUP(B334,Lembar1!A$4:H$175,8,FALSE)</f>
        <v>#N/A</v>
      </c>
      <c r="J334" t="str">
        <f>Lembar2!C333</f>
        <v>Demak - TPQ ALHUSNA (MI)</v>
      </c>
    </row>
    <row r="335" spans="1:10" x14ac:dyDescent="0.25">
      <c r="A335">
        <v>560</v>
      </c>
      <c r="B335" t="str">
        <f>Lembar2!L334</f>
        <v>EBTAQ25-03.050</v>
      </c>
      <c r="C335" t="str">
        <f>Lembar2!D334</f>
        <v>Galeh Akmalul Albab</v>
      </c>
      <c r="D335" t="str">
        <f>Lembar2!I334</f>
        <v>Laki-laki</v>
      </c>
      <c r="E335" t="str">
        <f>Lembar2!E334</f>
        <v>Demak</v>
      </c>
      <c r="F335" s="21">
        <f>Lembar2!F334</f>
        <v>42645</v>
      </c>
      <c r="G335" t="str">
        <f>Lembar2!G334</f>
        <v>Ahmad Malik</v>
      </c>
      <c r="H335" t="str">
        <f>Lembar2!H334</f>
        <v>Siti Khoiriyah</v>
      </c>
      <c r="I335" t="e">
        <f>VLOOKUP(B335,Lembar1!A$4:H$175,8,FALSE)</f>
        <v>#N/A</v>
      </c>
      <c r="J335" t="str">
        <f>Lembar2!C334</f>
        <v>BMW - Roudhotut Tholibin</v>
      </c>
    </row>
    <row r="336" spans="1:10" x14ac:dyDescent="0.25">
      <c r="A336">
        <v>561</v>
      </c>
      <c r="B336" t="str">
        <f>Lembar2!L335</f>
        <v>EBTAQ25-03.051</v>
      </c>
      <c r="C336" t="str">
        <f>Lembar2!D335</f>
        <v>AQILA ZAKIYATUL KHUSNAH</v>
      </c>
      <c r="D336" t="str">
        <f>Lembar2!I335</f>
        <v>Perempuan</v>
      </c>
      <c r="E336" t="str">
        <f>Lembar2!E335</f>
        <v>Demak</v>
      </c>
      <c r="F336" s="21">
        <f>Lembar2!F335</f>
        <v>42422</v>
      </c>
      <c r="G336" t="str">
        <f>Lembar2!G335</f>
        <v>SAIFUL MUAJAB</v>
      </c>
      <c r="H336" t="str">
        <f>Lembar2!H335</f>
        <v>ISTIANAH</v>
      </c>
      <c r="I336" t="e">
        <f>VLOOKUP(B336,Lembar1!A$4:H$175,8,FALSE)</f>
        <v>#N/A</v>
      </c>
      <c r="J336" t="str">
        <f>Lembar2!C335</f>
        <v>BMW - Yanbu'ul Qur'an</v>
      </c>
    </row>
    <row r="337" spans="1:10" x14ac:dyDescent="0.25">
      <c r="A337">
        <v>562</v>
      </c>
      <c r="B337" t="str">
        <f>Lembar2!L336</f>
        <v>EBTAQ25-03.052</v>
      </c>
      <c r="C337" t="str">
        <f>Lembar2!D336</f>
        <v>Muhammad Farid Hidayatulloh</v>
      </c>
      <c r="D337" t="str">
        <f>Lembar2!I336</f>
        <v>Laki-laki</v>
      </c>
      <c r="E337" t="str">
        <f>Lembar2!E336</f>
        <v>Demak</v>
      </c>
      <c r="F337" s="21">
        <f>Lembar2!F336</f>
        <v>42034</v>
      </c>
      <c r="G337" t="str">
        <f>Lembar2!G336</f>
        <v>Sri Tarmuji</v>
      </c>
      <c r="H337" t="str">
        <f>Lembar2!H336</f>
        <v>Sofiyah</v>
      </c>
      <c r="I337" t="e">
        <f>VLOOKUP(B337,Lembar1!A$4:H$175,8,FALSE)</f>
        <v>#N/A</v>
      </c>
      <c r="J337" t="str">
        <f>Lembar2!C336</f>
        <v>BMW - Roudhotut Tholibin</v>
      </c>
    </row>
    <row r="338" spans="1:10" x14ac:dyDescent="0.25">
      <c r="A338">
        <v>563</v>
      </c>
      <c r="B338" t="str">
        <f>Lembar2!L337</f>
        <v>EBTAQ25-01.251</v>
      </c>
      <c r="C338" t="str">
        <f>Lembar2!D337</f>
        <v>Ahmad Naufal Nabih</v>
      </c>
      <c r="D338" t="str">
        <f>Lembar2!I337</f>
        <v>Laki-laki</v>
      </c>
      <c r="E338" t="str">
        <f>Lembar2!E337</f>
        <v>Demak</v>
      </c>
      <c r="F338" s="21">
        <f>Lembar2!F337</f>
        <v>41418</v>
      </c>
      <c r="G338" t="str">
        <f>Lembar2!G337</f>
        <v>Akhmad Solikin</v>
      </c>
      <c r="H338" t="str">
        <f>Lembar2!H337</f>
        <v>Siti Lestari</v>
      </c>
      <c r="I338" t="e">
        <f>VLOOKUP(B338,Lembar1!A$4:H$175,8,FALSE)</f>
        <v>#N/A</v>
      </c>
      <c r="J338" t="str">
        <f>Lembar2!C337</f>
        <v>Demak - TPQ ALHUSNA (MI)</v>
      </c>
    </row>
    <row r="339" spans="1:10" x14ac:dyDescent="0.25">
      <c r="A339">
        <v>564</v>
      </c>
      <c r="B339" t="str">
        <f>Lembar2!L338</f>
        <v>EBTAQ25-01.252</v>
      </c>
      <c r="C339" t="str">
        <f>Lembar2!D338</f>
        <v>Rakha Alhafeezy Putra Setiawan</v>
      </c>
      <c r="D339" t="str">
        <f>Lembar2!I338</f>
        <v>Laki-laki</v>
      </c>
      <c r="E339" t="str">
        <f>Lembar2!E338</f>
        <v>Demak</v>
      </c>
      <c r="F339" s="21">
        <f>Lembar2!F338</f>
        <v>41907</v>
      </c>
      <c r="G339" t="str">
        <f>Lembar2!G338</f>
        <v>Andika Yoan Setiawan</v>
      </c>
      <c r="H339" t="str">
        <f>Lembar2!H338</f>
        <v>Endang Setyowati</v>
      </c>
      <c r="I339" t="e">
        <f>VLOOKUP(B339,Lembar1!A$4:H$175,8,FALSE)</f>
        <v>#N/A</v>
      </c>
      <c r="J339" t="str">
        <f>Lembar2!C338</f>
        <v>Demak - TPQ ALHUSNA (MI)</v>
      </c>
    </row>
    <row r="340" spans="1:10" x14ac:dyDescent="0.25">
      <c r="A340">
        <v>565</v>
      </c>
      <c r="B340" t="str">
        <f>Lembar2!L339</f>
        <v>EBTAQ25-03.053</v>
      </c>
      <c r="C340" t="str">
        <f>Lembar2!D339</f>
        <v>Muhammad Idham Kholid</v>
      </c>
      <c r="D340" t="str">
        <f>Lembar2!I339</f>
        <v>Laki-laki</v>
      </c>
      <c r="E340" t="str">
        <f>Lembar2!E339</f>
        <v>Demak</v>
      </c>
      <c r="F340" s="21">
        <f>Lembar2!F339</f>
        <v>41983</v>
      </c>
      <c r="G340" t="str">
        <f>Lembar2!G339</f>
        <v>Nur Taufiq</v>
      </c>
      <c r="H340" t="str">
        <f>Lembar2!H339</f>
        <v>Purwati</v>
      </c>
      <c r="I340" t="e">
        <f>VLOOKUP(B340,Lembar1!A$4:H$175,8,FALSE)</f>
        <v>#N/A</v>
      </c>
      <c r="J340" t="str">
        <f>Lembar2!C339</f>
        <v>BMW - Roudhotut Tholibin</v>
      </c>
    </row>
    <row r="341" spans="1:10" x14ac:dyDescent="0.25">
      <c r="A341">
        <v>566</v>
      </c>
      <c r="B341" t="str">
        <f>Lembar2!L340</f>
        <v>EBTAQ25-03.054</v>
      </c>
      <c r="C341" t="str">
        <f>Lembar2!D340</f>
        <v>Azfi Adibatuz zahra</v>
      </c>
      <c r="D341" t="str">
        <f>Lembar2!I340</f>
        <v>Perempuan</v>
      </c>
      <c r="E341" t="str">
        <f>Lembar2!E340</f>
        <v>Demak</v>
      </c>
      <c r="F341" s="21">
        <f>Lembar2!F340</f>
        <v>42250</v>
      </c>
      <c r="G341" t="str">
        <f>Lembar2!G340</f>
        <v>Abdul Aziz</v>
      </c>
      <c r="H341" t="str">
        <f>Lembar2!H340</f>
        <v>Nur Alfiatur Rohmaniah</v>
      </c>
      <c r="I341" t="e">
        <f>VLOOKUP(B341,Lembar1!A$4:H$175,8,FALSE)</f>
        <v>#N/A</v>
      </c>
      <c r="J341" t="str">
        <f>Lembar2!C340</f>
        <v>BMW - Roudhotut Tholibin</v>
      </c>
    </row>
    <row r="342" spans="1:10" x14ac:dyDescent="0.25">
      <c r="A342">
        <v>567</v>
      </c>
      <c r="B342" t="str">
        <f>Lembar2!L341</f>
        <v>EBTAQ25-01.253</v>
      </c>
      <c r="C342" t="str">
        <f>Lembar2!D341</f>
        <v>BATRISYA BASHASHA</v>
      </c>
      <c r="D342" t="str">
        <f>Lembar2!I341</f>
        <v>Perempuan</v>
      </c>
      <c r="E342" t="str">
        <f>Lembar2!E341</f>
        <v>DEMAK</v>
      </c>
      <c r="F342" s="21">
        <f>Lembar2!F341</f>
        <v>41920</v>
      </c>
      <c r="G342" t="str">
        <f>Lembar2!G341</f>
        <v>SUHARJO</v>
      </c>
      <c r="H342" t="str">
        <f>Lembar2!H341</f>
        <v>EVA YUNI RAHMAWATI</v>
      </c>
      <c r="I342" t="e">
        <f>VLOOKUP(B342,Lembar1!A$4:H$175,8,FALSE)</f>
        <v>#N/A</v>
      </c>
      <c r="J342" t="str">
        <f>Lembar2!C341</f>
        <v>Demak - TPQ ALHUSNA (MI)</v>
      </c>
    </row>
    <row r="343" spans="1:10" x14ac:dyDescent="0.25">
      <c r="A343">
        <v>568</v>
      </c>
      <c r="B343" t="str">
        <f>Lembar2!L342</f>
        <v>EBTAQ25-01.254</v>
      </c>
      <c r="C343" t="str">
        <f>Lembar2!D342</f>
        <v>Maudya Zianka Arzaq</v>
      </c>
      <c r="D343" t="str">
        <f>Lembar2!I342</f>
        <v>Perempuan</v>
      </c>
      <c r="E343" t="str">
        <f>Lembar2!E342</f>
        <v>Semarang</v>
      </c>
      <c r="F343" s="21">
        <f>Lembar2!F342</f>
        <v>42196</v>
      </c>
      <c r="G343" t="str">
        <f>Lembar2!G342</f>
        <v>Muhammad Ali Maskun</v>
      </c>
      <c r="H343" t="str">
        <f>Lembar2!H342</f>
        <v>Uditya Yayang Wulandari</v>
      </c>
      <c r="I343" t="e">
        <f>VLOOKUP(B343,Lembar1!A$4:H$175,8,FALSE)</f>
        <v>#N/A</v>
      </c>
      <c r="J343" t="str">
        <f>Lembar2!C342</f>
        <v>Demak - TPQ ALHUSNA (MI)</v>
      </c>
    </row>
    <row r="344" spans="1:10" x14ac:dyDescent="0.25">
      <c r="A344">
        <v>569</v>
      </c>
      <c r="B344" t="str">
        <f>Lembar2!L343</f>
        <v>EBTAQ25-01.255</v>
      </c>
      <c r="C344" t="str">
        <f>Lembar2!D343</f>
        <v>Afra Hanan Fatin Nurullah</v>
      </c>
      <c r="D344" t="str">
        <f>Lembar2!I343</f>
        <v>Perempuan</v>
      </c>
      <c r="E344" t="str">
        <f>Lembar2!E343</f>
        <v>Pemalang</v>
      </c>
      <c r="F344" s="21">
        <f>Lembar2!F343</f>
        <v>41547</v>
      </c>
      <c r="G344" t="str">
        <f>Lembar2!G343</f>
        <v>Mohamad Nurulloh</v>
      </c>
      <c r="H344" t="str">
        <f>Lembar2!H343</f>
        <v>Khomsatul Hidayati</v>
      </c>
      <c r="I344" t="e">
        <f>VLOOKUP(B344,Lembar1!A$4:H$175,8,FALSE)</f>
        <v>#N/A</v>
      </c>
      <c r="J344" t="str">
        <f>Lembar2!C343</f>
        <v>Demak - TPQ ALHUSNA (MI)</v>
      </c>
    </row>
    <row r="345" spans="1:10" x14ac:dyDescent="0.25">
      <c r="A345">
        <v>570</v>
      </c>
      <c r="B345" t="str">
        <f>Lembar2!L344</f>
        <v>EBTAQ25-03.055</v>
      </c>
      <c r="C345" t="str">
        <f>Lembar2!D344</f>
        <v>Farikha Hubbina Ilya</v>
      </c>
      <c r="D345" t="str">
        <f>Lembar2!I344</f>
        <v>Perempuan</v>
      </c>
      <c r="E345" t="str">
        <f>Lembar2!E344</f>
        <v>Demak</v>
      </c>
      <c r="F345" s="21">
        <f>Lembar2!F344</f>
        <v>42770</v>
      </c>
      <c r="G345" t="str">
        <f>Lembar2!G344</f>
        <v>Sobirin</v>
      </c>
      <c r="H345" t="str">
        <f>Lembar2!H344</f>
        <v>Siti Ainun</v>
      </c>
      <c r="I345" t="e">
        <f>VLOOKUP(B345,Lembar1!A$4:H$175,8,FALSE)</f>
        <v>#N/A</v>
      </c>
      <c r="J345" t="str">
        <f>Lembar2!C344</f>
        <v>BMW - Roudhotut Tholibin</v>
      </c>
    </row>
    <row r="346" spans="1:10" x14ac:dyDescent="0.25">
      <c r="A346">
        <v>571</v>
      </c>
      <c r="B346" t="str">
        <f>Lembar2!L345</f>
        <v>EBTAQ25-01.256</v>
      </c>
      <c r="C346" t="str">
        <f>Lembar2!D345</f>
        <v>Nadine Aulia Firdaus</v>
      </c>
      <c r="D346" t="str">
        <f>Lembar2!I345</f>
        <v>Perempuan</v>
      </c>
      <c r="E346" t="str">
        <f>Lembar2!E345</f>
        <v>Demak</v>
      </c>
      <c r="F346" s="21">
        <f>Lembar2!F345</f>
        <v>42272</v>
      </c>
      <c r="G346" t="str">
        <f>Lembar2!G345</f>
        <v>Ali Firdaus</v>
      </c>
      <c r="H346" t="str">
        <f>Lembar2!H345</f>
        <v>Mujiyatun</v>
      </c>
      <c r="I346" t="e">
        <f>VLOOKUP(B346,Lembar1!A$4:H$175,8,FALSE)</f>
        <v>#N/A</v>
      </c>
      <c r="J346" t="str">
        <f>Lembar2!C345</f>
        <v>Demak - TPQ ALHUSNA (MI)</v>
      </c>
    </row>
    <row r="347" spans="1:10" x14ac:dyDescent="0.25">
      <c r="A347">
        <v>572</v>
      </c>
      <c r="B347" t="str">
        <f>Lembar2!L346</f>
        <v>EBTAQ25-01.257</v>
      </c>
      <c r="C347" t="str">
        <f>Lembar2!D346</f>
        <v>Muhammad Fairuz Dzulfadhly</v>
      </c>
      <c r="D347" t="str">
        <f>Lembar2!I346</f>
        <v>Laki-laki</v>
      </c>
      <c r="E347" t="str">
        <f>Lembar2!E346</f>
        <v>Demak</v>
      </c>
      <c r="F347" s="21">
        <f>Lembar2!F346</f>
        <v>41925</v>
      </c>
      <c r="G347" t="str">
        <f>Lembar2!G346</f>
        <v>Imamul Muttaqin</v>
      </c>
      <c r="H347" t="str">
        <f>Lembar2!H346</f>
        <v>Nasikhah</v>
      </c>
      <c r="I347" t="e">
        <f>VLOOKUP(B347,Lembar1!A$4:H$175,8,FALSE)</f>
        <v>#N/A</v>
      </c>
      <c r="J347" t="str">
        <f>Lembar2!C346</f>
        <v>Demak - TPQ ALHUSNA (MI)</v>
      </c>
    </row>
    <row r="348" spans="1:10" x14ac:dyDescent="0.25">
      <c r="A348">
        <v>573</v>
      </c>
      <c r="B348" t="str">
        <f>Lembar2!L347</f>
        <v>EBTAQ25-01.258</v>
      </c>
      <c r="C348" t="str">
        <f>Lembar2!D347</f>
        <v>AMAR AKBAR NUR AHMAD</v>
      </c>
      <c r="D348" t="str">
        <f>Lembar2!I347</f>
        <v>Laki-laki</v>
      </c>
      <c r="E348" t="str">
        <f>Lembar2!E347</f>
        <v>Demak</v>
      </c>
      <c r="F348" s="21">
        <f>Lembar2!F347</f>
        <v>42385</v>
      </c>
      <c r="G348" t="str">
        <f>Lembar2!G347</f>
        <v>NUR KHAMID</v>
      </c>
      <c r="H348" t="str">
        <f>Lembar2!H347</f>
        <v>Risna Yuli Astuti</v>
      </c>
      <c r="I348" t="e">
        <f>VLOOKUP(B348,Lembar1!A$4:H$175,8,FALSE)</f>
        <v>#N/A</v>
      </c>
      <c r="J348" t="str">
        <f>Lembar2!C347</f>
        <v>Demak - TPQ ALHUSNA (MI)</v>
      </c>
    </row>
    <row r="349" spans="1:10" x14ac:dyDescent="0.25">
      <c r="A349">
        <v>574</v>
      </c>
      <c r="B349" t="str">
        <f>Lembar2!L348</f>
        <v>EBTAQ25-01.259</v>
      </c>
      <c r="C349" t="str">
        <f>Lembar2!D348</f>
        <v>Muhammad Abyakta Annur</v>
      </c>
      <c r="D349" t="str">
        <f>Lembar2!I348</f>
        <v>Laki-laki</v>
      </c>
      <c r="E349" t="str">
        <f>Lembar2!E348</f>
        <v>Semarang</v>
      </c>
      <c r="F349" s="21">
        <f>Lembar2!F348</f>
        <v>42030</v>
      </c>
      <c r="G349" t="str">
        <f>Lembar2!G348</f>
        <v>Andi Mas Andi</v>
      </c>
      <c r="H349" t="str">
        <f>Lembar2!H348</f>
        <v>Nur Hamidah</v>
      </c>
      <c r="I349" t="e">
        <f>VLOOKUP(B349,Lembar1!A$4:H$175,8,FALSE)</f>
        <v>#N/A</v>
      </c>
      <c r="J349" t="str">
        <f>Lembar2!C348</f>
        <v>Demak - TPQ ALHUSNA (MI)</v>
      </c>
    </row>
    <row r="350" spans="1:10" x14ac:dyDescent="0.25">
      <c r="A350">
        <v>575</v>
      </c>
      <c r="B350" t="str">
        <f>Lembar2!L349</f>
        <v>EBTAQ25-01.260</v>
      </c>
      <c r="C350" t="str">
        <f>Lembar2!D349</f>
        <v>Bilqis Najwa Khaira Anandari</v>
      </c>
      <c r="D350" t="str">
        <f>Lembar2!I349</f>
        <v>Perempuan</v>
      </c>
      <c r="E350" t="str">
        <f>Lembar2!E349</f>
        <v>Demak</v>
      </c>
      <c r="F350" s="21">
        <f>Lembar2!F349</f>
        <v>41742</v>
      </c>
      <c r="G350" t="str">
        <f>Lembar2!G349</f>
        <v>Alm. Makmun Hidayat</v>
      </c>
      <c r="H350" t="str">
        <f>Lembar2!H349</f>
        <v>Devi Riandari</v>
      </c>
      <c r="I350" t="e">
        <f>VLOOKUP(B350,Lembar1!A$4:H$175,8,FALSE)</f>
        <v>#N/A</v>
      </c>
      <c r="J350" t="str">
        <f>Lembar2!C349</f>
        <v>Demak - TPQ ALHUSNA (MI)</v>
      </c>
    </row>
    <row r="351" spans="1:10" x14ac:dyDescent="0.25">
      <c r="A351">
        <v>576</v>
      </c>
      <c r="B351" t="str">
        <f>Lembar2!L350</f>
        <v>EBTAQ25-01.261</v>
      </c>
      <c r="C351" t="str">
        <f>Lembar2!D350</f>
        <v>Muhammad Syakir Rizqullah</v>
      </c>
      <c r="D351" t="str">
        <f>Lembar2!I350</f>
        <v>Laki-laki</v>
      </c>
      <c r="E351" t="str">
        <f>Lembar2!E350</f>
        <v>Sidoarjo</v>
      </c>
      <c r="F351" s="21">
        <f>Lembar2!F350</f>
        <v>42283</v>
      </c>
      <c r="G351" t="str">
        <f>Lembar2!G350</f>
        <v>Imamul Muttaqin</v>
      </c>
      <c r="H351" t="str">
        <f>Lembar2!H350</f>
        <v>Nasikhah</v>
      </c>
      <c r="I351" t="e">
        <f>VLOOKUP(B351,Lembar1!A$4:H$175,8,FALSE)</f>
        <v>#N/A</v>
      </c>
      <c r="J351" t="str">
        <f>Lembar2!C350</f>
        <v>Demak - TPQ ALHUSNA (MI)</v>
      </c>
    </row>
    <row r="352" spans="1:10" x14ac:dyDescent="0.25">
      <c r="A352">
        <v>577</v>
      </c>
      <c r="B352" t="str">
        <f>Lembar2!L351</f>
        <v>EBTAQ25-01.262</v>
      </c>
      <c r="C352" t="str">
        <f>Lembar2!D351</f>
        <v>HAYKAL ABID HIDAYATULLAH</v>
      </c>
      <c r="D352" t="str">
        <f>Lembar2!I351</f>
        <v>Laki-laki</v>
      </c>
      <c r="E352" t="str">
        <f>Lembar2!E351</f>
        <v>DEMAK</v>
      </c>
      <c r="F352" s="21">
        <f>Lembar2!F351</f>
        <v>42118</v>
      </c>
      <c r="G352" t="str">
        <f>Lembar2!G351</f>
        <v>ANDIK SETIYA</v>
      </c>
      <c r="H352" t="str">
        <f>Lembar2!H351</f>
        <v>MARIA ULFA</v>
      </c>
      <c r="I352" t="e">
        <f>VLOOKUP(B352,Lembar1!A$4:H$175,8,FALSE)</f>
        <v>#N/A</v>
      </c>
      <c r="J352" t="str">
        <f>Lembar2!C351</f>
        <v>Demak - TPQ ALHUSNA (MI)</v>
      </c>
    </row>
    <row r="353" spans="1:10" x14ac:dyDescent="0.25">
      <c r="A353">
        <v>578</v>
      </c>
      <c r="B353" t="str">
        <f>Lembar2!L352</f>
        <v>EBTAQ25-03.056</v>
      </c>
      <c r="C353" t="str">
        <f>Lembar2!D352</f>
        <v>Zakaria Ahmad</v>
      </c>
      <c r="D353" t="str">
        <f>Lembar2!I352</f>
        <v>Laki-laki</v>
      </c>
      <c r="E353" t="str">
        <f>Lembar2!E352</f>
        <v>Demak</v>
      </c>
      <c r="F353" s="21">
        <f>Lembar2!F352</f>
        <v>41968</v>
      </c>
      <c r="G353" t="str">
        <f>Lembar2!G352</f>
        <v>Musafak</v>
      </c>
      <c r="H353" t="str">
        <f>Lembar2!H352</f>
        <v>Siti Rukayah</v>
      </c>
      <c r="I353" t="e">
        <f>VLOOKUP(B353,Lembar1!A$4:H$175,8,FALSE)</f>
        <v>#N/A</v>
      </c>
      <c r="J353" t="str">
        <f>Lembar2!C352</f>
        <v>BMW - Roudhotut Tholibin</v>
      </c>
    </row>
    <row r="354" spans="1:10" x14ac:dyDescent="0.25">
      <c r="A354">
        <v>579</v>
      </c>
      <c r="B354" t="str">
        <f>Lembar2!L353</f>
        <v>EBTAQ25-01.263</v>
      </c>
      <c r="C354" t="str">
        <f>Lembar2!D353</f>
        <v>BATRISYA BASHASHA</v>
      </c>
      <c r="D354" t="str">
        <f>Lembar2!I353</f>
        <v>Perempuan</v>
      </c>
      <c r="E354" t="str">
        <f>Lembar2!E353</f>
        <v>DEMAK</v>
      </c>
      <c r="F354" s="21">
        <f>Lembar2!F353</f>
        <v>41861</v>
      </c>
      <c r="G354" t="str">
        <f>Lembar2!G353</f>
        <v>SUHARJO</v>
      </c>
      <c r="H354" t="str">
        <f>Lembar2!H353</f>
        <v>EVA YUNI RAHMAWATI</v>
      </c>
      <c r="I354" t="e">
        <f>VLOOKUP(B354,Lembar1!A$4:H$175,8,FALSE)</f>
        <v>#N/A</v>
      </c>
      <c r="J354" t="str">
        <f>Lembar2!C353</f>
        <v>Demak - TPQ ALHUSNA (MI)</v>
      </c>
    </row>
    <row r="355" spans="1:10" x14ac:dyDescent="0.25">
      <c r="A355">
        <v>580</v>
      </c>
      <c r="B355" t="str">
        <f>Lembar2!L354</f>
        <v>EBTAQ25-04.061</v>
      </c>
      <c r="C355" t="str">
        <f>Lembar2!D354</f>
        <v>NAUFAL VIDI APRILIO</v>
      </c>
      <c r="D355" t="str">
        <f>Lembar2!I354</f>
        <v>Laki-laki</v>
      </c>
      <c r="E355" t="str">
        <f>Lembar2!E354</f>
        <v>GROBOGAN</v>
      </c>
      <c r="F355" s="21">
        <f>Lembar2!F354</f>
        <v>41734</v>
      </c>
      <c r="G355" t="str">
        <f>Lembar2!G354</f>
        <v>BUDI PRASETYO</v>
      </c>
      <c r="H355" t="str">
        <f>Lembar2!H354</f>
        <v>FIFI HANDAYANTI</v>
      </c>
      <c r="I355" t="e">
        <f>VLOOKUP(B355,Lembar1!A$4:H$175,8,FALSE)</f>
        <v>#N/A</v>
      </c>
      <c r="J355" t="str">
        <f>Lembar2!C354</f>
        <v>Karangga - Miftahul Ulum</v>
      </c>
    </row>
    <row r="356" spans="1:10" x14ac:dyDescent="0.25">
      <c r="A356">
        <v>581</v>
      </c>
      <c r="B356" t="str">
        <f>Lembar2!L355</f>
        <v>EBTAQ25-03.057</v>
      </c>
      <c r="C356" t="str">
        <f>Lembar2!D355</f>
        <v>Kosidah</v>
      </c>
      <c r="D356" t="str">
        <f>Lembar2!I355</f>
        <v>Perempuan</v>
      </c>
      <c r="E356" t="str">
        <f>Lembar2!E355</f>
        <v>Demak</v>
      </c>
      <c r="F356" s="21">
        <f>Lembar2!F355</f>
        <v>41935</v>
      </c>
      <c r="G356" t="str">
        <f>Lembar2!G355</f>
        <v>Kasmiran</v>
      </c>
      <c r="H356" t="str">
        <f>Lembar2!H355</f>
        <v>Muniah</v>
      </c>
      <c r="I356" t="e">
        <f>VLOOKUP(B356,Lembar1!A$4:H$175,8,FALSE)</f>
        <v>#N/A</v>
      </c>
      <c r="J356" t="str">
        <f>Lembar2!C355</f>
        <v>BMW - Roudhotut Tholibin</v>
      </c>
    </row>
    <row r="357" spans="1:10" x14ac:dyDescent="0.25">
      <c r="A357">
        <v>582</v>
      </c>
      <c r="B357" t="str">
        <f>Lembar2!L356</f>
        <v>EBTAQ25-03.058</v>
      </c>
      <c r="C357" t="str">
        <f>Lembar2!D356</f>
        <v>Aqila Farisa Mufia</v>
      </c>
      <c r="D357" t="str">
        <f>Lembar2!I356</f>
        <v>Perempuan</v>
      </c>
      <c r="E357" t="str">
        <f>Lembar2!E356</f>
        <v>Kotabumi</v>
      </c>
      <c r="F357" s="21">
        <f>Lembar2!F356</f>
        <v>42626</v>
      </c>
      <c r="G357" t="str">
        <f>Lembar2!G356</f>
        <v>Abdul Rokhim</v>
      </c>
      <c r="H357" t="str">
        <f>Lembar2!H356</f>
        <v>Fauziyah</v>
      </c>
      <c r="I357" t="e">
        <f>VLOOKUP(B357,Lembar1!A$4:H$175,8,FALSE)</f>
        <v>#N/A</v>
      </c>
      <c r="J357" t="str">
        <f>Lembar2!C356</f>
        <v>BMW - Roudhotut Tholibin</v>
      </c>
    </row>
    <row r="358" spans="1:10" x14ac:dyDescent="0.25">
      <c r="A358">
        <v>583</v>
      </c>
      <c r="B358" t="str">
        <f>Lembar2!L357</f>
        <v>EBTAQ25-04.062</v>
      </c>
      <c r="C358" t="str">
        <f>Lembar2!D357</f>
        <v>Putri Yumna Faricha</v>
      </c>
      <c r="D358" t="str">
        <f>Lembar2!I357</f>
        <v>Perempuan</v>
      </c>
      <c r="E358" t="str">
        <f>Lembar2!E357</f>
        <v>Demak</v>
      </c>
      <c r="F358" s="21">
        <f>Lembar2!F357</f>
        <v>41555</v>
      </c>
      <c r="G358" t="str">
        <f>Lembar2!G357</f>
        <v>Chusnil Mubarok</v>
      </c>
      <c r="H358" t="str">
        <f>Lembar2!H357</f>
        <v>Ainur Rohmah</v>
      </c>
      <c r="I358" t="e">
        <f>VLOOKUP(B358,Lembar1!A$4:H$175,8,FALSE)</f>
        <v>#N/A</v>
      </c>
      <c r="J358" t="str">
        <f>Lembar2!C357</f>
        <v>Karangga - Mubarokah</v>
      </c>
    </row>
    <row r="359" spans="1:10" x14ac:dyDescent="0.25">
      <c r="A359">
        <v>584</v>
      </c>
      <c r="B359" t="str">
        <f>Lembar2!L358</f>
        <v>EBTAQ25-03.059</v>
      </c>
      <c r="C359" t="str">
        <f>Lembar2!D358</f>
        <v>KHANZA AZZAHRA SAID</v>
      </c>
      <c r="D359" t="str">
        <f>Lembar2!I358</f>
        <v>Perempuan</v>
      </c>
      <c r="E359" t="str">
        <f>Lembar2!E358</f>
        <v>SEMARANG</v>
      </c>
      <c r="F359" s="21">
        <f>Lembar2!F358</f>
        <v>42456</v>
      </c>
      <c r="G359" t="str">
        <f>Lembar2!G358</f>
        <v>ANWAR SAID</v>
      </c>
      <c r="H359" t="str">
        <f>Lembar2!H358</f>
        <v>ROIKHATIN NI'MAH</v>
      </c>
      <c r="I359" t="e">
        <f>VLOOKUP(B359,Lembar1!A$4:H$175,8,FALSE)</f>
        <v>#N/A</v>
      </c>
      <c r="J359" t="str">
        <f>Lembar2!C358</f>
        <v>BMW - Yanbu'ul Qur'an</v>
      </c>
    </row>
    <row r="360" spans="1:10" x14ac:dyDescent="0.25">
      <c r="A360">
        <v>585</v>
      </c>
      <c r="B360" t="str">
        <f>Lembar2!L359</f>
        <v>EBTAQ25-01.266</v>
      </c>
      <c r="C360" t="str">
        <f>Lembar2!D359</f>
        <v>INDIRA DWIKANIYA</v>
      </c>
      <c r="D360" t="str">
        <f>Lembar2!I359</f>
        <v>Perempuan</v>
      </c>
      <c r="E360" t="str">
        <f>Lembar2!E359</f>
        <v>DEMAK</v>
      </c>
      <c r="F360" s="21">
        <f>Lembar2!F359</f>
        <v>42674</v>
      </c>
      <c r="G360" t="str">
        <f>Lembar2!G359</f>
        <v>SUPRIYATNO</v>
      </c>
      <c r="H360" t="str">
        <f>Lembar2!H359</f>
        <v>WULAN INDRAYANI</v>
      </c>
      <c r="I360" t="e">
        <f>VLOOKUP(B360,Lembar1!A$4:H$175,8,FALSE)</f>
        <v>#N/A</v>
      </c>
      <c r="J360" t="str">
        <f>Lembar2!C359</f>
        <v>Demak - TPQ ALHUSNA (MI)</v>
      </c>
    </row>
    <row r="361" spans="1:10" x14ac:dyDescent="0.25">
      <c r="A361">
        <v>586</v>
      </c>
      <c r="B361" t="str">
        <f>Lembar2!L360</f>
        <v>EBTAQ25-01.265</v>
      </c>
      <c r="C361" t="str">
        <f>Lembar2!D360</f>
        <v>ADZKA MAULANA YUSUF</v>
      </c>
      <c r="D361" t="str">
        <f>Lembar2!I360</f>
        <v>Laki-laki</v>
      </c>
      <c r="E361" t="str">
        <f>Lembar2!E360</f>
        <v>Demak</v>
      </c>
      <c r="F361" s="21">
        <f>Lembar2!F360</f>
        <v>41492</v>
      </c>
      <c r="G361" t="str">
        <f>Lembar2!G360</f>
        <v>ASEP KURNIAWAN</v>
      </c>
      <c r="H361" t="str">
        <f>Lembar2!H360</f>
        <v>ELISNA SEPTIANI</v>
      </c>
      <c r="I361" t="e">
        <f>VLOOKUP(B361,Lembar1!A$4:H$175,8,FALSE)</f>
        <v>#N/A</v>
      </c>
      <c r="J361" t="str">
        <f>Lembar2!C360</f>
        <v>Demak - TPQ ALHUSNA (MI)</v>
      </c>
    </row>
    <row r="362" spans="1:10" x14ac:dyDescent="0.25">
      <c r="A362">
        <v>587</v>
      </c>
      <c r="B362" t="str">
        <f>Lembar2!L361</f>
        <v>EBTAQ25-01.267</v>
      </c>
      <c r="C362" t="str">
        <f>Lembar2!D361</f>
        <v>ADZKA MAULANA YUSUF</v>
      </c>
      <c r="D362" t="str">
        <f>Lembar2!I361</f>
        <v>Laki-laki</v>
      </c>
      <c r="E362" t="str">
        <f>Lembar2!E361</f>
        <v>Demak</v>
      </c>
      <c r="F362" s="21">
        <f>Lembar2!F361</f>
        <v>41492</v>
      </c>
      <c r="G362" t="str">
        <f>Lembar2!G361</f>
        <v>ASEP KURNIAWAN</v>
      </c>
      <c r="H362" t="str">
        <f>Lembar2!H361</f>
        <v>ELISNA SEPTIANI</v>
      </c>
      <c r="I362" t="e">
        <f>VLOOKUP(B362,Lembar1!A$4:H$175,8,FALSE)</f>
        <v>#N/A</v>
      </c>
      <c r="J362" t="str">
        <f>Lembar2!C361</f>
        <v>Demak - TPQ ALHUSNA (MI)</v>
      </c>
    </row>
    <row r="363" spans="1:10" x14ac:dyDescent="0.25">
      <c r="A363">
        <v>588</v>
      </c>
      <c r="B363" t="str">
        <f>Lembar2!L362</f>
        <v>EBTAQ25-01.268</v>
      </c>
      <c r="C363" t="str">
        <f>Lembar2!D362</f>
        <v>RIFKI RIDHO</v>
      </c>
      <c r="D363" t="str">
        <f>Lembar2!I362</f>
        <v>Laki-laki</v>
      </c>
      <c r="E363" t="str">
        <f>Lembar2!E362</f>
        <v>Demak</v>
      </c>
      <c r="F363" s="21">
        <f>Lembar2!F362</f>
        <v>42307</v>
      </c>
      <c r="G363" t="str">
        <f>Lembar2!G362</f>
        <v>MUHIBBIN</v>
      </c>
      <c r="H363" t="str">
        <f>Lembar2!H362</f>
        <v>SUMIYATI</v>
      </c>
      <c r="I363" t="e">
        <f>VLOOKUP(B363,Lembar1!A$4:H$175,8,FALSE)</f>
        <v>#N/A</v>
      </c>
      <c r="J363" t="str">
        <f>Lembar2!C362</f>
        <v>Demak - TPQ ALHUSNA (MI)</v>
      </c>
    </row>
    <row r="364" spans="1:10" x14ac:dyDescent="0.25">
      <c r="A364">
        <v>589</v>
      </c>
      <c r="B364" t="str">
        <f>Lembar2!L363</f>
        <v>EBTAQ25-03.060</v>
      </c>
      <c r="C364" t="str">
        <f>Lembar2!D363</f>
        <v>Ahmad Sultan Syamsuddin</v>
      </c>
      <c r="D364" t="str">
        <f>Lembar2!I363</f>
        <v>Laki-laki</v>
      </c>
      <c r="E364" t="str">
        <f>Lembar2!E363</f>
        <v>Demak</v>
      </c>
      <c r="F364" s="21">
        <f>Lembar2!F363</f>
        <v>42128</v>
      </c>
      <c r="G364" t="str">
        <f>Lembar2!G363</f>
        <v>Rio Abdul Sodik</v>
      </c>
      <c r="H364" t="str">
        <f>Lembar2!H363</f>
        <v>Masluroh</v>
      </c>
      <c r="I364" t="e">
        <f>VLOOKUP(B364,Lembar1!A$4:H$175,8,FALSE)</f>
        <v>#N/A</v>
      </c>
      <c r="J364" t="str">
        <f>Lembar2!C363</f>
        <v>BMW - Roudhotut Tholibin</v>
      </c>
    </row>
    <row r="365" spans="1:10" x14ac:dyDescent="0.25">
      <c r="A365">
        <v>590</v>
      </c>
      <c r="B365" t="str">
        <f>Lembar2!L364</f>
        <v>EBTAQ25-01.264</v>
      </c>
      <c r="C365" t="str">
        <f>Lembar2!D364</f>
        <v>Shakila Adzkiya Sakhi Hayza</v>
      </c>
      <c r="D365" t="str">
        <f>Lembar2!I364</f>
        <v>Perempuan</v>
      </c>
      <c r="E365" t="str">
        <f>Lembar2!E364</f>
        <v>Semarang</v>
      </c>
      <c r="F365" s="21">
        <f>Lembar2!F364</f>
        <v>42929</v>
      </c>
      <c r="G365" t="str">
        <f>Lembar2!G364</f>
        <v>M. Satria Indra Purnama Sakti</v>
      </c>
      <c r="H365" t="str">
        <f>Lembar2!H364</f>
        <v>Nur Chamidah</v>
      </c>
      <c r="I365" t="e">
        <f>VLOOKUP(B365,Lembar1!A$4:H$175,8,FALSE)</f>
        <v>#N/A</v>
      </c>
      <c r="J365" t="str">
        <f>Lembar2!C364</f>
        <v>Demak - TPQ ALHUSNA (MI)</v>
      </c>
    </row>
    <row r="366" spans="1:10" x14ac:dyDescent="0.25">
      <c r="A366">
        <v>591</v>
      </c>
      <c r="B366" t="str">
        <f>Lembar2!L365</f>
        <v>EBTAQ25-01.270</v>
      </c>
      <c r="C366" t="str">
        <f>Lembar2!D365</f>
        <v>LISANA SHIDQIN 'ALIYYA</v>
      </c>
      <c r="D366" t="str">
        <f>Lembar2!I365</f>
        <v>Perempuan</v>
      </c>
      <c r="E366" t="str">
        <f>Lembar2!E365</f>
        <v>DEMAK</v>
      </c>
      <c r="F366" s="21">
        <f>Lembar2!F365</f>
        <v>42388</v>
      </c>
      <c r="G366" t="str">
        <f>Lembar2!G365</f>
        <v>SLAMET WALUYO</v>
      </c>
      <c r="H366" t="str">
        <f>Lembar2!H365</f>
        <v>JAMILATUN NAFIAH</v>
      </c>
      <c r="I366" t="e">
        <f>VLOOKUP(B366,Lembar1!A$4:H$175,8,FALSE)</f>
        <v>#N/A</v>
      </c>
      <c r="J366" t="str">
        <f>Lembar2!C365</f>
        <v>Karangga - Darul Arqom V</v>
      </c>
    </row>
    <row r="367" spans="1:10" x14ac:dyDescent="0.25">
      <c r="A367">
        <v>592</v>
      </c>
      <c r="B367" t="str">
        <f>Lembar2!L366</f>
        <v>EBTAQ25-01.271</v>
      </c>
      <c r="C367" t="str">
        <f>Lembar2!D366</f>
        <v>Fadhil Yaqdan Nasrullah</v>
      </c>
      <c r="D367" t="str">
        <f>Lembar2!I366</f>
        <v>Laki-laki</v>
      </c>
      <c r="E367" t="str">
        <f>Lembar2!E366</f>
        <v>Pati</v>
      </c>
      <c r="F367" s="21">
        <f>Lembar2!F366</f>
        <v>42002</v>
      </c>
      <c r="G367" t="str">
        <f>Lembar2!G366</f>
        <v>Sarjito</v>
      </c>
      <c r="H367" t="str">
        <f>Lembar2!H366</f>
        <v>Irna Muida</v>
      </c>
      <c r="I367" t="e">
        <f>VLOOKUP(B367,Lembar1!A$4:H$175,8,FALSE)</f>
        <v>#N/A</v>
      </c>
      <c r="J367" t="str">
        <f>Lembar2!C366</f>
        <v>Demak - TPQ ALHUSNA (MI)</v>
      </c>
    </row>
    <row r="368" spans="1:10" x14ac:dyDescent="0.25">
      <c r="A368">
        <v>593</v>
      </c>
      <c r="B368" t="str">
        <f>Lembar2!L367</f>
        <v>EBTAQ25-03.061</v>
      </c>
      <c r="C368" t="str">
        <f>Lembar2!D367</f>
        <v>DWI RETNO ARUM</v>
      </c>
      <c r="D368" t="str">
        <f>Lembar2!I367</f>
        <v>Perempuan</v>
      </c>
      <c r="E368" t="str">
        <f>Lembar2!E367</f>
        <v>DEMAK</v>
      </c>
      <c r="F368" s="21">
        <f>Lembar2!F367</f>
        <v>41682</v>
      </c>
      <c r="G368" t="str">
        <f>Lembar2!G367</f>
        <v>MURTADHO</v>
      </c>
      <c r="H368" t="str">
        <f>Lembar2!H367</f>
        <v>MUKAYAROH</v>
      </c>
      <c r="I368" t="e">
        <f>VLOOKUP(B368,Lembar1!A$4:H$175,8,FALSE)</f>
        <v>#N/A</v>
      </c>
      <c r="J368" t="str">
        <f>Lembar2!C367</f>
        <v>BMW - Yanbu'ul Qur'an</v>
      </c>
    </row>
    <row r="369" spans="1:10" x14ac:dyDescent="0.25">
      <c r="A369">
        <v>594</v>
      </c>
      <c r="B369" t="str">
        <f>Lembar2!L368</f>
        <v>EBTAQ25-03.062</v>
      </c>
      <c r="C369" t="str">
        <f>Lembar2!D368</f>
        <v>Muhammad Iqbal Wildan</v>
      </c>
      <c r="D369" t="str">
        <f>Lembar2!I368</f>
        <v>Laki-laki</v>
      </c>
      <c r="E369" t="str">
        <f>Lembar2!E368</f>
        <v>Demak</v>
      </c>
      <c r="F369" s="21">
        <f>Lembar2!F368</f>
        <v>41978</v>
      </c>
      <c r="G369" t="str">
        <f>Lembar2!G368</f>
        <v>Nur Khamid</v>
      </c>
      <c r="H369" t="str">
        <f>Lembar2!H368</f>
        <v>Jaryati</v>
      </c>
      <c r="I369" t="e">
        <f>VLOOKUP(B369,Lembar1!A$4:H$175,8,FALSE)</f>
        <v>#N/A</v>
      </c>
      <c r="J369" t="str">
        <f>Lembar2!C368</f>
        <v>BMW - Roudhotut Tholibin</v>
      </c>
    </row>
    <row r="370" spans="1:10" x14ac:dyDescent="0.25">
      <c r="A370">
        <v>595</v>
      </c>
      <c r="B370" t="str">
        <f>Lembar2!L369</f>
        <v>EBTAQ25-01.269</v>
      </c>
      <c r="C370" t="str">
        <f>Lembar2!D369</f>
        <v>Muhammad Yasiin</v>
      </c>
      <c r="D370" t="str">
        <f>Lembar2!I369</f>
        <v>Laki-laki</v>
      </c>
      <c r="E370" t="str">
        <f>Lembar2!E369</f>
        <v>Demak</v>
      </c>
      <c r="F370" s="21">
        <f>Lembar2!F369</f>
        <v>42299</v>
      </c>
      <c r="G370" t="str">
        <f>Lembar2!G369</f>
        <v>Suhartono</v>
      </c>
      <c r="H370" t="str">
        <f>Lembar2!H369</f>
        <v>Tutik Subiyanti</v>
      </c>
      <c r="I370" t="e">
        <f>VLOOKUP(B370,Lembar1!A$4:H$175,8,FALSE)</f>
        <v>#N/A</v>
      </c>
      <c r="J370" t="str">
        <f>Lembar2!C369</f>
        <v>Demak - TPQ ALHUSNA (MI)</v>
      </c>
    </row>
    <row r="371" spans="1:10" x14ac:dyDescent="0.25">
      <c r="A371">
        <v>596</v>
      </c>
      <c r="B371" t="str">
        <f>Lembar2!L370</f>
        <v>EBTAQ25-01.272</v>
      </c>
      <c r="C371" t="str">
        <f>Lembar2!D370</f>
        <v>Muhammad Yasiin</v>
      </c>
      <c r="D371" t="str">
        <f>Lembar2!I370</f>
        <v>Laki-laki</v>
      </c>
      <c r="E371" t="str">
        <f>Lembar2!E370</f>
        <v>Demak</v>
      </c>
      <c r="F371" s="21">
        <f>Lembar2!F370</f>
        <v>42299</v>
      </c>
      <c r="G371" t="str">
        <f>Lembar2!G370</f>
        <v>SUHARTONO</v>
      </c>
      <c r="H371" t="str">
        <f>Lembar2!H370</f>
        <v>TUTIK SUBIYANTI</v>
      </c>
      <c r="I371" t="e">
        <f>VLOOKUP(B371,Lembar1!A$4:H$175,8,FALSE)</f>
        <v>#N/A</v>
      </c>
      <c r="J371" t="str">
        <f>Lembar2!C370</f>
        <v>Demak - TPQ ALHUSNA (MI)</v>
      </c>
    </row>
    <row r="372" spans="1:10" x14ac:dyDescent="0.25">
      <c r="A372">
        <v>597</v>
      </c>
      <c r="B372" t="str">
        <f>Lembar2!L371</f>
        <v>EBTAQ25-01.273</v>
      </c>
      <c r="C372" t="str">
        <f>Lembar2!D371</f>
        <v>Fadhil Yaqdan Nasrullah</v>
      </c>
      <c r="D372" t="str">
        <f>Lembar2!I371</f>
        <v>Laki-laki</v>
      </c>
      <c r="E372" t="str">
        <f>Lembar2!E371</f>
        <v>Pati,29 Desember 2014</v>
      </c>
      <c r="F372" s="21">
        <f>Lembar2!F371</f>
        <v>42002</v>
      </c>
      <c r="G372" t="str">
        <f>Lembar2!G371</f>
        <v>Sarjito</v>
      </c>
      <c r="H372" t="str">
        <f>Lembar2!H371</f>
        <v>Irna Muida</v>
      </c>
      <c r="I372" t="e">
        <f>VLOOKUP(B372,Lembar1!A$4:H$175,8,FALSE)</f>
        <v>#N/A</v>
      </c>
      <c r="J372" t="str">
        <f>Lembar2!C371</f>
        <v>Demak - TPQ ALHUSNA (MI)</v>
      </c>
    </row>
    <row r="373" spans="1:10" x14ac:dyDescent="0.25">
      <c r="A373">
        <v>598</v>
      </c>
      <c r="B373" t="str">
        <f>Lembar2!L372</f>
        <v>EBTAQ25-01.274</v>
      </c>
      <c r="C373" t="str">
        <f>Lembar2!D372</f>
        <v>ADZKA MAULANA YUSUF</v>
      </c>
      <c r="D373" t="str">
        <f>Lembar2!I372</f>
        <v>Laki-laki</v>
      </c>
      <c r="E373" t="str">
        <f>Lembar2!E372</f>
        <v>DEMAK</v>
      </c>
      <c r="F373" s="21">
        <f>Lembar2!F372</f>
        <v>41433</v>
      </c>
      <c r="G373" t="str">
        <f>Lembar2!G372</f>
        <v>ASEP KURNIAWAN</v>
      </c>
      <c r="H373" t="str">
        <f>Lembar2!H372</f>
        <v>ELISNA SEPTIANI</v>
      </c>
      <c r="I373" t="e">
        <f>VLOOKUP(B373,Lembar1!A$4:H$175,8,FALSE)</f>
        <v>#N/A</v>
      </c>
      <c r="J373" t="str">
        <f>Lembar2!C372</f>
        <v>Demak - TPQ ALHUSNA (MI)</v>
      </c>
    </row>
    <row r="374" spans="1:10" x14ac:dyDescent="0.25">
      <c r="A374">
        <v>599</v>
      </c>
      <c r="B374" t="str">
        <f>Lembar2!L373</f>
        <v>EBTAQ25-03.063</v>
      </c>
      <c r="C374" t="str">
        <f>Lembar2!D373</f>
        <v>Rahayu Nia Ramadhani</v>
      </c>
      <c r="D374" t="str">
        <f>Lembar2!I373</f>
        <v>Perempuan</v>
      </c>
      <c r="E374" t="str">
        <f>Lembar2!E373</f>
        <v>Demak</v>
      </c>
      <c r="F374" s="21">
        <f>Lembar2!F373</f>
        <v>41843</v>
      </c>
      <c r="G374" t="str">
        <f>Lembar2!G373</f>
        <v>Zaenudin</v>
      </c>
      <c r="H374" t="str">
        <f>Lembar2!H373</f>
        <v>Yumroah</v>
      </c>
      <c r="I374" t="e">
        <f>VLOOKUP(B374,Lembar1!A$4:H$175,8,FALSE)</f>
        <v>#N/A</v>
      </c>
      <c r="J374" t="str">
        <f>Lembar2!C373</f>
        <v>BMW - Roudhotut Tholibin</v>
      </c>
    </row>
    <row r="375" spans="1:10" x14ac:dyDescent="0.25">
      <c r="A375">
        <v>600</v>
      </c>
      <c r="B375" t="str">
        <f>Lembar2!L374</f>
        <v>EBTAQ25-01.275</v>
      </c>
      <c r="C375" t="str">
        <f>Lembar2!D374</f>
        <v>Muhammad Yasiin</v>
      </c>
      <c r="D375" t="str">
        <f>Lembar2!I374</f>
        <v>Laki-laki</v>
      </c>
      <c r="E375" t="str">
        <f>Lembar2!E374</f>
        <v>DEMAK</v>
      </c>
      <c r="F375" s="21">
        <f>Lembar2!F374</f>
        <v>42299</v>
      </c>
      <c r="G375" t="str">
        <f>Lembar2!G374</f>
        <v>Suhartono</v>
      </c>
      <c r="H375" t="str">
        <f>Lembar2!H374</f>
        <v>Tutik Subiyanti</v>
      </c>
      <c r="I375" t="e">
        <f>VLOOKUP(B375,Lembar1!A$4:H$175,8,FALSE)</f>
        <v>#N/A</v>
      </c>
      <c r="J375" t="str">
        <f>Lembar2!C374</f>
        <v>Demak - TPQ ALHUSNA (MI)</v>
      </c>
    </row>
    <row r="376" spans="1:10" x14ac:dyDescent="0.25">
      <c r="A376">
        <v>601</v>
      </c>
      <c r="B376" t="str">
        <f>Lembar2!L375</f>
        <v>EBTAQ25-03.064</v>
      </c>
      <c r="C376" t="str">
        <f>Lembar2!D375</f>
        <v>MIKHAYLA KHANZA MURRASID</v>
      </c>
      <c r="D376" t="str">
        <f>Lembar2!I375</f>
        <v>Perempuan</v>
      </c>
      <c r="E376" t="str">
        <f>Lembar2!E375</f>
        <v>BALIKPAPAN</v>
      </c>
      <c r="F376" s="21">
        <f>Lembar2!F375</f>
        <v>42364</v>
      </c>
      <c r="G376" t="str">
        <f>Lembar2!G375</f>
        <v>HALIM MURRASID</v>
      </c>
      <c r="H376" t="str">
        <f>Lembar2!H375</f>
        <v>MARIA ULFA</v>
      </c>
      <c r="I376" t="e">
        <f>VLOOKUP(B376,Lembar1!A$4:H$175,8,FALSE)</f>
        <v>#N/A</v>
      </c>
      <c r="J376" t="str">
        <f>Lembar2!C375</f>
        <v>BMW - Yanbu'ul Qur'an</v>
      </c>
    </row>
    <row r="377" spans="1:10" x14ac:dyDescent="0.25">
      <c r="A377">
        <v>602</v>
      </c>
      <c r="B377" t="str">
        <f>Lembar2!L376</f>
        <v>EBTAQ25-01.276</v>
      </c>
      <c r="C377" t="str">
        <f>Lembar2!D376</f>
        <v>NAZZAHRA FLORENZIA HAQQI</v>
      </c>
      <c r="D377" t="str">
        <f>Lembar2!I376</f>
        <v>Perempuan</v>
      </c>
      <c r="E377" t="str">
        <f>Lembar2!E376</f>
        <v>DEMAK</v>
      </c>
      <c r="F377" s="21">
        <f>Lembar2!F376</f>
        <v>42553</v>
      </c>
      <c r="G377" t="str">
        <f>Lembar2!G376</f>
        <v>BARKAH ULHAQ ARI WIDODO</v>
      </c>
      <c r="H377" t="str">
        <f>Lembar2!H376</f>
        <v>CITRAYOGI CAHYO SUNDARI</v>
      </c>
      <c r="I377" t="e">
        <f>VLOOKUP(B377,Lembar1!A$4:H$175,8,FALSE)</f>
        <v>#N/A</v>
      </c>
      <c r="J377" t="str">
        <f>Lembar2!C376</f>
        <v>Demak - TPQ ALHUSNA (MI)</v>
      </c>
    </row>
    <row r="378" spans="1:10" x14ac:dyDescent="0.25">
      <c r="A378">
        <v>603</v>
      </c>
      <c r="B378" t="str">
        <f>Lembar2!L377</f>
        <v>EBTAQ25-01.277</v>
      </c>
      <c r="C378" t="str">
        <f>Lembar2!D377</f>
        <v>Muhammad Nazzala Furqon Aly</v>
      </c>
      <c r="D378" t="str">
        <f>Lembar2!I377</f>
        <v>Laki-laki</v>
      </c>
      <c r="E378" t="str">
        <f>Lembar2!E377</f>
        <v>Demak</v>
      </c>
      <c r="F378" s="21">
        <f>Lembar2!F377</f>
        <v>42543</v>
      </c>
      <c r="G378" t="str">
        <f>Lembar2!G377</f>
        <v>Ali Chamdan</v>
      </c>
      <c r="H378" t="str">
        <f>Lembar2!H377</f>
        <v>Fatimah</v>
      </c>
      <c r="I378" t="e">
        <f>VLOOKUP(B378,Lembar1!A$4:H$175,8,FALSE)</f>
        <v>#N/A</v>
      </c>
      <c r="J378" t="str">
        <f>Lembar2!C377</f>
        <v>Demak - TPQ ALHUSNA (MI)</v>
      </c>
    </row>
    <row r="379" spans="1:10" x14ac:dyDescent="0.25">
      <c r="A379">
        <v>604</v>
      </c>
      <c r="B379" t="str">
        <f>Lembar2!L378</f>
        <v>EBTAQ25-01.278</v>
      </c>
      <c r="C379" t="str">
        <f>Lembar2!D378</f>
        <v>JENY KARTIN APRILIA</v>
      </c>
      <c r="D379" t="str">
        <f>Lembar2!I378</f>
        <v>Perempuan</v>
      </c>
      <c r="E379" t="str">
        <f>Lembar2!E378</f>
        <v>Demak</v>
      </c>
      <c r="F379" s="21">
        <f>Lembar2!F378</f>
        <v>42481</v>
      </c>
      <c r="G379" t="str">
        <f>Lembar2!G378</f>
        <v>Bejo</v>
      </c>
      <c r="H379" t="str">
        <f>Lembar2!H378</f>
        <v>Siti Atminah</v>
      </c>
      <c r="I379" t="e">
        <f>VLOOKUP(B379,Lembar1!A$4:H$175,8,FALSE)</f>
        <v>#N/A</v>
      </c>
      <c r="J379" t="str">
        <f>Lembar2!C378</f>
        <v>Demak - TPQ NURUL IMAN</v>
      </c>
    </row>
    <row r="380" spans="1:10" x14ac:dyDescent="0.25">
      <c r="A380">
        <v>605</v>
      </c>
      <c r="B380" t="str">
        <f>Lembar2!L379</f>
        <v>EBTAQ25-01.279</v>
      </c>
      <c r="C380" t="str">
        <f>Lembar2!D379</f>
        <v>Muhammad Yasiin</v>
      </c>
      <c r="D380" t="str">
        <f>Lembar2!I379</f>
        <v>Laki-laki</v>
      </c>
      <c r="E380" t="str">
        <f>Lembar2!E379</f>
        <v>Demak, 22-Oktober-2015</v>
      </c>
      <c r="F380" s="21">
        <f>Lembar2!F379</f>
        <v>42299</v>
      </c>
      <c r="G380" t="str">
        <f>Lembar2!G379</f>
        <v>SUHARTONO</v>
      </c>
      <c r="H380" t="str">
        <f>Lembar2!H379</f>
        <v>TUTIK SUBIYANTI</v>
      </c>
      <c r="I380" t="e">
        <f>VLOOKUP(B380,Lembar1!A$4:H$175,8,FALSE)</f>
        <v>#N/A</v>
      </c>
      <c r="J380" t="str">
        <f>Lembar2!C379</f>
        <v>Demak - TPQ ALHUSNA (MI)</v>
      </c>
    </row>
    <row r="381" spans="1:10" x14ac:dyDescent="0.25">
      <c r="A381">
        <v>606</v>
      </c>
      <c r="B381" t="str">
        <f>Lembar2!L380</f>
        <v>EBTAQ25-01.280</v>
      </c>
      <c r="C381" t="str">
        <f>Lembar2!D380</f>
        <v>Anggie renata lokeswari</v>
      </c>
      <c r="D381" t="str">
        <f>Lembar2!I380</f>
        <v>Perempuan</v>
      </c>
      <c r="E381" t="str">
        <f>Lembar2!E380</f>
        <v>Demak</v>
      </c>
      <c r="F381" s="21">
        <f>Lembar2!F380</f>
        <v>42788</v>
      </c>
      <c r="G381" t="str">
        <f>Lembar2!G380</f>
        <v>Qomari</v>
      </c>
      <c r="H381" t="str">
        <f>Lembar2!H380</f>
        <v>Hening pratiwi</v>
      </c>
      <c r="I381" t="e">
        <f>VLOOKUP(B381,Lembar1!A$4:H$175,8,FALSE)</f>
        <v>#N/A</v>
      </c>
      <c r="J381" t="str">
        <f>Lembar2!C380</f>
        <v>Demak - TPQ ALHUSNA (MI)</v>
      </c>
    </row>
    <row r="382" spans="1:10" x14ac:dyDescent="0.25">
      <c r="A382">
        <v>607</v>
      </c>
      <c r="B382" t="str">
        <f>Lembar2!L381</f>
        <v>EBTAQ25-03.065</v>
      </c>
      <c r="C382" t="str">
        <f>Lembar2!D381</f>
        <v>Muhammad Sigit Mubarok</v>
      </c>
      <c r="D382" t="str">
        <f>Lembar2!I381</f>
        <v>Laki-laki</v>
      </c>
      <c r="E382" t="str">
        <f>Lembar2!E381</f>
        <v>Kapuas Hulu</v>
      </c>
      <c r="F382" s="21">
        <f>Lembar2!F381</f>
        <v>41782</v>
      </c>
      <c r="G382" t="str">
        <f>Lembar2!G381</f>
        <v>Purnomo</v>
      </c>
      <c r="H382" t="str">
        <f>Lembar2!H381</f>
        <v>Mursidah</v>
      </c>
      <c r="I382" t="e">
        <f>VLOOKUP(B382,Lembar1!A$4:H$175,8,FALSE)</f>
        <v>#N/A</v>
      </c>
      <c r="J382" t="str">
        <f>Lembar2!C381</f>
        <v>BMW - Roudhotut Tholibin</v>
      </c>
    </row>
    <row r="383" spans="1:10" x14ac:dyDescent="0.25">
      <c r="A383">
        <v>608</v>
      </c>
      <c r="B383" t="str">
        <f>Lembar2!L382</f>
        <v>EBTAQ25-01.281</v>
      </c>
      <c r="C383" t="str">
        <f>Lembar2!D382</f>
        <v>Fadhil Yaqdan Nasrullah</v>
      </c>
      <c r="D383" t="str">
        <f>Lembar2!I382</f>
        <v>Laki-laki</v>
      </c>
      <c r="E383" t="str">
        <f>Lembar2!E382</f>
        <v>Pati</v>
      </c>
      <c r="F383" s="21">
        <f>Lembar2!F382</f>
        <v>42002</v>
      </c>
      <c r="G383" t="str">
        <f>Lembar2!G382</f>
        <v>Sarjito</v>
      </c>
      <c r="H383" t="str">
        <f>Lembar2!H382</f>
        <v>Irna Muida</v>
      </c>
      <c r="I383" t="e">
        <f>VLOOKUP(B383,Lembar1!A$4:H$175,8,FALSE)</f>
        <v>#N/A</v>
      </c>
      <c r="J383" t="str">
        <f>Lembar2!C382</f>
        <v>Demak - TPQ ALHUSNA (MI)</v>
      </c>
    </row>
    <row r="384" spans="1:10" x14ac:dyDescent="0.25">
      <c r="A384">
        <v>609</v>
      </c>
      <c r="B384" t="str">
        <f>Lembar2!L383</f>
        <v>EBTAQ25-01.282</v>
      </c>
      <c r="C384" t="str">
        <f>Lembar2!D383</f>
        <v>ZUKA' NABRIS AHMAD</v>
      </c>
      <c r="D384" t="str">
        <f>Lembar2!I383</f>
        <v>Laki-laki</v>
      </c>
      <c r="E384" t="str">
        <f>Lembar2!E383</f>
        <v>Demak</v>
      </c>
      <c r="F384" s="21">
        <f>Lembar2!F383</f>
        <v>41967</v>
      </c>
      <c r="G384" t="str">
        <f>Lembar2!G383</f>
        <v>Ezra Alfresco (Alm)</v>
      </c>
      <c r="H384" t="str">
        <f>Lembar2!H383</f>
        <v>Nihaya Tsuroya</v>
      </c>
      <c r="I384" t="e">
        <f>VLOOKUP(B384,Lembar1!A$4:H$175,8,FALSE)</f>
        <v>#N/A</v>
      </c>
      <c r="J384" t="str">
        <f>Lembar2!C383</f>
        <v>Demak - TPQ ALHUSNA (MI)</v>
      </c>
    </row>
    <row r="385" spans="1:10" x14ac:dyDescent="0.25">
      <c r="A385">
        <v>610</v>
      </c>
      <c r="B385" t="str">
        <f>Lembar2!L384</f>
        <v>EBTAQ25-01.283</v>
      </c>
      <c r="C385" t="str">
        <f>Lembar2!D384</f>
        <v>Muhammad Abyakta Annur</v>
      </c>
      <c r="D385" t="str">
        <f>Lembar2!I384</f>
        <v>Laki-laki</v>
      </c>
      <c r="E385" t="str">
        <f>Lembar2!E384</f>
        <v>Semarang</v>
      </c>
      <c r="F385" s="21">
        <f>Lembar2!F384</f>
        <v>42030</v>
      </c>
      <c r="G385" t="str">
        <f>Lembar2!G384</f>
        <v>Andi Mas Andi</v>
      </c>
      <c r="H385" t="str">
        <f>Lembar2!H384</f>
        <v>Nur Hamidah</v>
      </c>
      <c r="I385" t="e">
        <f>VLOOKUP(B385,Lembar1!A$4:H$175,8,FALSE)</f>
        <v>#N/A</v>
      </c>
      <c r="J385" t="str">
        <f>Lembar2!C384</f>
        <v>Demak - TPQ ALHUSNA (MI)</v>
      </c>
    </row>
    <row r="386" spans="1:10" x14ac:dyDescent="0.25">
      <c r="A386">
        <v>611</v>
      </c>
      <c r="B386" t="str">
        <f>Lembar2!L385</f>
        <v>EBTAQ25-03.066</v>
      </c>
      <c r="C386" t="str">
        <f>Lembar2!D385</f>
        <v>Astiani Putri</v>
      </c>
      <c r="D386" t="str">
        <f>Lembar2!I385</f>
        <v>Perempuan</v>
      </c>
      <c r="E386" t="str">
        <f>Lembar2!E385</f>
        <v>Demak</v>
      </c>
      <c r="F386" s="21">
        <f>Lembar2!F385</f>
        <v>41996</v>
      </c>
      <c r="G386" t="str">
        <f>Lembar2!G385</f>
        <v>Suwardi</v>
      </c>
      <c r="H386" t="str">
        <f>Lembar2!H385</f>
        <v>Ratna Kurnia Wati</v>
      </c>
      <c r="I386" t="e">
        <f>VLOOKUP(B386,Lembar1!A$4:H$175,8,FALSE)</f>
        <v>#N/A</v>
      </c>
      <c r="J386" t="str">
        <f>Lembar2!C385</f>
        <v>BMW - Roudhotut Tholibin</v>
      </c>
    </row>
    <row r="387" spans="1:10" x14ac:dyDescent="0.25">
      <c r="A387">
        <v>612</v>
      </c>
      <c r="B387" t="str">
        <f>Lembar2!L386</f>
        <v>EBTAQ25-03.067</v>
      </c>
      <c r="C387" t="str">
        <f>Lembar2!D386</f>
        <v>DALISHA LULU MUMTAZAH</v>
      </c>
      <c r="D387" t="str">
        <f>Lembar2!I386</f>
        <v>Perempuan</v>
      </c>
      <c r="E387" t="str">
        <f>Lembar2!E386</f>
        <v>DEMAK</v>
      </c>
      <c r="F387" s="21">
        <f>Lembar2!F386</f>
        <v>42659</v>
      </c>
      <c r="G387" t="str">
        <f>Lembar2!G386</f>
        <v>ABDUR ROUF</v>
      </c>
      <c r="H387" t="str">
        <f>Lembar2!H386</f>
        <v>SRI SULASTRI</v>
      </c>
      <c r="I387" t="e">
        <f>VLOOKUP(B387,Lembar1!A$4:H$175,8,FALSE)</f>
        <v>#N/A</v>
      </c>
      <c r="J387" t="str">
        <f>Lembar2!C386</f>
        <v>BMW - Yanbu'ul Qur'an</v>
      </c>
    </row>
    <row r="388" spans="1:10" x14ac:dyDescent="0.25">
      <c r="A388">
        <v>613</v>
      </c>
      <c r="B388" t="str">
        <f>Lembar2!L387</f>
        <v>EBTAQ25-03.068</v>
      </c>
      <c r="C388" t="str">
        <f>Lembar2!D387</f>
        <v>Syarifa Nailil Muna</v>
      </c>
      <c r="D388" t="str">
        <f>Lembar2!I387</f>
        <v>Perempuan</v>
      </c>
      <c r="E388" t="str">
        <f>Lembar2!E387</f>
        <v>Demak</v>
      </c>
      <c r="F388" s="21">
        <f>Lembar2!F387</f>
        <v>42528</v>
      </c>
      <c r="G388" t="str">
        <f>Lembar2!G387</f>
        <v>Bukhori</v>
      </c>
      <c r="H388" t="str">
        <f>Lembar2!H387</f>
        <v>Uswatun kasanah</v>
      </c>
      <c r="I388" t="e">
        <f>VLOOKUP(B388,Lembar1!A$4:H$175,8,FALSE)</f>
        <v>#N/A</v>
      </c>
      <c r="J388" t="str">
        <f>Lembar2!C387</f>
        <v>BMW - Roudhotut Tholibin</v>
      </c>
    </row>
    <row r="389" spans="1:10" x14ac:dyDescent="0.25">
      <c r="A389">
        <v>614</v>
      </c>
      <c r="B389" t="str">
        <f>Lembar2!L388</f>
        <v>EBTAQ25-04.063</v>
      </c>
      <c r="C389" t="str">
        <f>Lembar2!D388</f>
        <v>Utama</v>
      </c>
      <c r="D389" t="str">
        <f>Lembar2!I388</f>
        <v>Laki-laki</v>
      </c>
      <c r="E389" t="str">
        <f>Lembar2!E388</f>
        <v>Kudus</v>
      </c>
      <c r="F389" s="21">
        <f>Lembar2!F388</f>
        <v>41792</v>
      </c>
      <c r="G389" t="str">
        <f>Lembar2!G388</f>
        <v>Ahmad Kholiq</v>
      </c>
      <c r="H389" t="str">
        <f>Lembar2!H388</f>
        <v>Siti Rusminatun</v>
      </c>
      <c r="I389" t="e">
        <f>VLOOKUP(B389,Lembar1!A$4:H$175,8,FALSE)</f>
        <v>#N/A</v>
      </c>
      <c r="J389" t="str">
        <f>Lembar2!C388</f>
        <v>Karangga - Miftahul Ulum</v>
      </c>
    </row>
    <row r="390" spans="1:10" x14ac:dyDescent="0.25">
      <c r="A390">
        <v>615</v>
      </c>
      <c r="B390" t="str">
        <f>Lembar2!L389</f>
        <v>EBTAQ25-01.284</v>
      </c>
      <c r="C390" t="str">
        <f>Lembar2!D389</f>
        <v>Vania Zahra Aqila</v>
      </c>
      <c r="D390" t="str">
        <f>Lembar2!I389</f>
        <v>Perempuan</v>
      </c>
      <c r="E390" t="str">
        <f>Lembar2!E389</f>
        <v>Demak</v>
      </c>
      <c r="F390" s="21">
        <f>Lembar2!F389</f>
        <v>42404</v>
      </c>
      <c r="G390" t="str">
        <f>Lembar2!G389</f>
        <v>Setyono</v>
      </c>
      <c r="H390" t="str">
        <f>Lembar2!H389</f>
        <v>Miftahul Khoiriyah</v>
      </c>
      <c r="I390" t="e">
        <f>VLOOKUP(B390,Lembar1!A$4:H$175,8,FALSE)</f>
        <v>#N/A</v>
      </c>
      <c r="J390" t="str">
        <f>Lembar2!C389</f>
        <v>Demak - TPQ NURUL IMAN</v>
      </c>
    </row>
    <row r="391" spans="1:10" x14ac:dyDescent="0.25">
      <c r="A391">
        <v>616</v>
      </c>
      <c r="B391" t="str">
        <f>Lembar2!L390</f>
        <v>EBTAQ25-03.069</v>
      </c>
      <c r="C391" t="str">
        <f>Lembar2!D390</f>
        <v>FIQI MUBAROK</v>
      </c>
      <c r="D391" t="str">
        <f>Lembar2!I390</f>
        <v>Laki-laki</v>
      </c>
      <c r="E391" t="str">
        <f>Lembar2!E390</f>
        <v>DEMAK</v>
      </c>
      <c r="F391" s="21">
        <f>Lembar2!F390</f>
        <v>41747</v>
      </c>
      <c r="G391" t="str">
        <f>Lembar2!G390</f>
        <v>AMRU MAHMUDI</v>
      </c>
      <c r="H391" t="str">
        <f>Lembar2!H390</f>
        <v>ULIL MUBAROKAH</v>
      </c>
      <c r="I391" t="e">
        <f>VLOOKUP(B391,Lembar1!A$4:H$175,8,FALSE)</f>
        <v>#N/A</v>
      </c>
      <c r="J391" t="str">
        <f>Lembar2!C390</f>
        <v>BMW - Yanbu'ul Qur'an</v>
      </c>
    </row>
    <row r="392" spans="1:10" x14ac:dyDescent="0.25">
      <c r="A392">
        <v>617</v>
      </c>
      <c r="B392" t="str">
        <f>Lembar2!L391</f>
        <v>EBTAQ25-03.070</v>
      </c>
      <c r="C392" t="str">
        <f>Lembar2!D391</f>
        <v>HANI ALFIYATUN NASHIROH</v>
      </c>
      <c r="D392" t="str">
        <f>Lembar2!I391</f>
        <v>Perempuan</v>
      </c>
      <c r="E392" t="str">
        <f>Lembar2!E391</f>
        <v>DEMAK</v>
      </c>
      <c r="F392" s="21">
        <f>Lembar2!F391</f>
        <v>41774</v>
      </c>
      <c r="G392" t="str">
        <f>Lembar2!G391</f>
        <v>AMINUDDIN HADI</v>
      </c>
      <c r="H392" t="str">
        <f>Lembar2!H391</f>
        <v>SAMIKHATUN NIKMAH</v>
      </c>
      <c r="I392" t="e">
        <f>VLOOKUP(B392,Lembar1!A$4:H$175,8,FALSE)</f>
        <v>#N/A</v>
      </c>
      <c r="J392" t="str">
        <f>Lembar2!C391</f>
        <v>BMW - Yanbu'ul Qur'an</v>
      </c>
    </row>
    <row r="393" spans="1:10" x14ac:dyDescent="0.25">
      <c r="A393">
        <v>618</v>
      </c>
      <c r="B393" t="str">
        <f>Lembar2!L392</f>
        <v>EBTAQ25-01.285</v>
      </c>
      <c r="C393" t="str">
        <f>Lembar2!D392</f>
        <v>Nasyahila ufaira marwa</v>
      </c>
      <c r="D393" t="str">
        <f>Lembar2!I392</f>
        <v>Perempuan</v>
      </c>
      <c r="E393" t="str">
        <f>Lembar2!E392</f>
        <v>Demak</v>
      </c>
      <c r="F393" s="21">
        <f>Lembar2!F392</f>
        <v>42281</v>
      </c>
      <c r="G393" t="str">
        <f>Lembar2!G392</f>
        <v>Nur khamim</v>
      </c>
      <c r="H393" t="str">
        <f>Lembar2!H392</f>
        <v>Kholis wati</v>
      </c>
      <c r="I393" t="e">
        <f>VLOOKUP(B393,Lembar1!A$4:H$175,8,FALSE)</f>
        <v>#N/A</v>
      </c>
      <c r="J393" t="str">
        <f>Lembar2!C392</f>
        <v>Demak - TPQ ALHUSNA (MI)</v>
      </c>
    </row>
    <row r="394" spans="1:10" x14ac:dyDescent="0.25">
      <c r="A394">
        <v>619</v>
      </c>
      <c r="B394" t="str">
        <f>Lembar2!L393</f>
        <v>EBTAQ25-01.286</v>
      </c>
      <c r="C394" t="str">
        <f>Lembar2!D393</f>
        <v>AFLAH DHAIFULLAH</v>
      </c>
      <c r="D394" t="str">
        <f>Lembar2!I393</f>
        <v>Laki-laki</v>
      </c>
      <c r="E394" t="str">
        <f>Lembar2!E393</f>
        <v>Semarang</v>
      </c>
      <c r="F394" s="21">
        <f>Lembar2!F393</f>
        <v>41917</v>
      </c>
      <c r="G394" t="str">
        <f>Lembar2!G393</f>
        <v>Agil Wistyanto</v>
      </c>
      <c r="H394" t="str">
        <f>Lembar2!H393</f>
        <v>Riris Sulistyowati</v>
      </c>
      <c r="I394" t="e">
        <f>VLOOKUP(B394,Lembar1!A$4:H$175,8,FALSE)</f>
        <v>#N/A</v>
      </c>
      <c r="J394" t="str">
        <f>Lembar2!C393</f>
        <v>Demak - TPQ ALHUSNA (MI)</v>
      </c>
    </row>
    <row r="395" spans="1:10" x14ac:dyDescent="0.25">
      <c r="A395">
        <v>620</v>
      </c>
      <c r="B395" t="str">
        <f>Lembar2!L394</f>
        <v>EBTAQ25-01.287</v>
      </c>
      <c r="C395" t="str">
        <f>Lembar2!D394</f>
        <v>Muhammad Vallentino Kevin El Fasya</v>
      </c>
      <c r="D395" t="str">
        <f>Lembar2!I394</f>
        <v>Laki-laki</v>
      </c>
      <c r="E395" t="str">
        <f>Lembar2!E394</f>
        <v>Demak</v>
      </c>
      <c r="F395" s="21">
        <f>Lembar2!F394</f>
        <v>41925</v>
      </c>
      <c r="G395" t="str">
        <f>Lembar2!G394</f>
        <v>Heri Kiswanto</v>
      </c>
      <c r="H395" t="str">
        <f>Lembar2!H394</f>
        <v>Ana Zulfa Rahmawati</v>
      </c>
      <c r="I395" t="e">
        <f>VLOOKUP(B395,Lembar1!A$4:H$175,8,FALSE)</f>
        <v>#N/A</v>
      </c>
      <c r="J395" t="str">
        <f>Lembar2!C394</f>
        <v>Demak - TPQ ALHUSNA (MI)</v>
      </c>
    </row>
    <row r="396" spans="1:10" x14ac:dyDescent="0.25">
      <c r="A396">
        <v>621</v>
      </c>
      <c r="B396" t="str">
        <f>Lembar2!L395</f>
        <v>EBTAQ25-03.071</v>
      </c>
      <c r="C396" t="str">
        <f>Lembar2!D395</f>
        <v>MUHAMMAD FAHMI AMMAR</v>
      </c>
      <c r="D396" t="str">
        <f>Lembar2!I395</f>
        <v>Laki-laki</v>
      </c>
      <c r="E396" t="str">
        <f>Lembar2!E395</f>
        <v>DEMAK</v>
      </c>
      <c r="F396" s="21">
        <f>Lembar2!F395</f>
        <v>41758</v>
      </c>
      <c r="G396" t="str">
        <f>Lembar2!G395</f>
        <v>ABU HASAN</v>
      </c>
      <c r="H396" t="str">
        <f>Lembar2!H395</f>
        <v>MUYASAROH</v>
      </c>
      <c r="I396" t="e">
        <f>VLOOKUP(B396,Lembar1!A$4:H$175,8,FALSE)</f>
        <v>#N/A</v>
      </c>
      <c r="J396" t="str">
        <f>Lembar2!C395</f>
        <v>BMW - As-Sa'idiyyah</v>
      </c>
    </row>
    <row r="397" spans="1:10" x14ac:dyDescent="0.25">
      <c r="A397">
        <v>622</v>
      </c>
      <c r="B397" t="str">
        <f>Lembar2!L396</f>
        <v>EBTAQ25-01.288</v>
      </c>
      <c r="C397" t="str">
        <f>Lembar2!D396</f>
        <v>AFLAH DHAIFULLAH</v>
      </c>
      <c r="D397" t="str">
        <f>Lembar2!I396</f>
        <v>Laki-laki</v>
      </c>
      <c r="E397" t="str">
        <f>Lembar2!E396</f>
        <v>Semarang</v>
      </c>
      <c r="F397" s="21">
        <f>Lembar2!F396</f>
        <v>41917</v>
      </c>
      <c r="G397" t="str">
        <f>Lembar2!G396</f>
        <v>Agil Wistyanto</v>
      </c>
      <c r="H397" t="str">
        <f>Lembar2!H396</f>
        <v>Riris Sulistyowati</v>
      </c>
      <c r="I397" t="e">
        <f>VLOOKUP(B397,Lembar1!A$4:H$175,8,FALSE)</f>
        <v>#N/A</v>
      </c>
      <c r="J397" t="str">
        <f>Lembar2!C396</f>
        <v>Demak - TPQ ALHUSNA (MI)</v>
      </c>
    </row>
    <row r="398" spans="1:10" x14ac:dyDescent="0.25">
      <c r="A398">
        <v>623</v>
      </c>
      <c r="B398" t="str">
        <f>Lembar2!L397</f>
        <v>EBTAQ25-01.289</v>
      </c>
      <c r="C398" t="str">
        <f>Lembar2!D397</f>
        <v>Alayya Nahda Rafanda</v>
      </c>
      <c r="D398" t="str">
        <f>Lembar2!I397</f>
        <v>Perempuan</v>
      </c>
      <c r="E398" t="str">
        <f>Lembar2!E397</f>
        <v>Demak</v>
      </c>
      <c r="F398" s="21">
        <f>Lembar2!F397</f>
        <v>42272</v>
      </c>
      <c r="G398" t="str">
        <f>Lembar2!G397</f>
        <v>Sumber Kusnadi</v>
      </c>
      <c r="H398" t="str">
        <f>Lembar2!H397</f>
        <v>IRA SOFIANA</v>
      </c>
      <c r="I398" t="e">
        <f>VLOOKUP(B398,Lembar1!A$4:H$175,8,FALSE)</f>
        <v>#N/A</v>
      </c>
      <c r="J398" t="str">
        <f>Lembar2!C397</f>
        <v>Demak - TPQ SULAMUNNAJAH</v>
      </c>
    </row>
    <row r="399" spans="1:10" x14ac:dyDescent="0.25">
      <c r="A399">
        <v>624</v>
      </c>
      <c r="B399" t="str">
        <f>Lembar2!L398</f>
        <v>EBTAQ25-01.290</v>
      </c>
      <c r="C399" t="str">
        <f>Lembar2!D398</f>
        <v>Afra Hanan Fatin Nurullah</v>
      </c>
      <c r="D399" t="str">
        <f>Lembar2!I398</f>
        <v>Perempuan</v>
      </c>
      <c r="E399" t="str">
        <f>Lembar2!E398</f>
        <v>Pemalang</v>
      </c>
      <c r="F399" s="21">
        <f>Lembar2!F398</f>
        <v>41547</v>
      </c>
      <c r="G399" t="str">
        <f>Lembar2!G398</f>
        <v>Mohamad Nurulloh</v>
      </c>
      <c r="H399" t="str">
        <f>Lembar2!H398</f>
        <v>Khomsatul Hidayati</v>
      </c>
      <c r="I399" t="e">
        <f>VLOOKUP(B399,Lembar1!A$4:H$175,8,FALSE)</f>
        <v>#N/A</v>
      </c>
      <c r="J399" t="str">
        <f>Lembar2!C398</f>
        <v>Demak - TPQ ALHUSNA (MI)</v>
      </c>
    </row>
    <row r="400" spans="1:10" x14ac:dyDescent="0.25">
      <c r="A400">
        <v>625</v>
      </c>
      <c r="B400" t="str">
        <f>Lembar2!L399</f>
        <v>EBTAQ25-03.072</v>
      </c>
      <c r="C400" t="str">
        <f>Lembar2!D399</f>
        <v>AHMAD FERI AKBAR</v>
      </c>
      <c r="D400" t="str">
        <f>Lembar2!I399</f>
        <v>Laki-laki</v>
      </c>
      <c r="E400" t="str">
        <f>Lembar2!E399</f>
        <v>DEMAK</v>
      </c>
      <c r="F400" s="21">
        <f>Lembar2!F399</f>
        <v>42047</v>
      </c>
      <c r="G400" t="str">
        <f>Lembar2!G399</f>
        <v>NUR ROCHIM</v>
      </c>
      <c r="H400" t="str">
        <f>Lembar2!H399</f>
        <v>FARIDHOTUL CHASANAH</v>
      </c>
      <c r="I400" t="e">
        <f>VLOOKUP(B400,Lembar1!A$4:H$175,8,FALSE)</f>
        <v>#N/A</v>
      </c>
      <c r="J400" t="str">
        <f>Lembar2!C399</f>
        <v>BMW - As-Sa'idiyyah</v>
      </c>
    </row>
    <row r="401" spans="1:10" x14ac:dyDescent="0.25">
      <c r="A401">
        <v>626</v>
      </c>
      <c r="B401" t="str">
        <f>Lembar2!L400</f>
        <v>EBTAQ25-01.291</v>
      </c>
      <c r="C401" t="str">
        <f>Lembar2!D400</f>
        <v>Nasyahila ufaira marwa</v>
      </c>
      <c r="D401" t="str">
        <f>Lembar2!I400</f>
        <v>Perempuan</v>
      </c>
      <c r="E401" t="str">
        <f>Lembar2!E400</f>
        <v>Demak</v>
      </c>
      <c r="F401" s="21">
        <f>Lembar2!F400</f>
        <v>42281</v>
      </c>
      <c r="G401" t="str">
        <f>Lembar2!G400</f>
        <v>Nur khamim</v>
      </c>
      <c r="H401" t="str">
        <f>Lembar2!H400</f>
        <v>Kholis wati</v>
      </c>
      <c r="I401" t="e">
        <f>VLOOKUP(B401,Lembar1!A$4:H$175,8,FALSE)</f>
        <v>#N/A</v>
      </c>
      <c r="J401" t="str">
        <f>Lembar2!C400</f>
        <v>Demak - TPQ ALHUSNA (MI)</v>
      </c>
    </row>
    <row r="402" spans="1:10" x14ac:dyDescent="0.25">
      <c r="A402">
        <v>627</v>
      </c>
      <c r="B402" t="str">
        <f>Lembar2!L401</f>
        <v>EBTAQ25-01.292</v>
      </c>
      <c r="C402" t="str">
        <f>Lembar2!D401</f>
        <v>AFLAH DHAIFULLAH</v>
      </c>
      <c r="D402" t="str">
        <f>Lembar2!I401</f>
        <v>Laki-laki</v>
      </c>
      <c r="E402" t="str">
        <f>Lembar2!E401</f>
        <v>SEMARANG</v>
      </c>
      <c r="F402" s="21">
        <f>Lembar2!F401</f>
        <v>41917</v>
      </c>
      <c r="G402" t="str">
        <f>Lembar2!G401</f>
        <v>AGIL WISTYANTO</v>
      </c>
      <c r="H402" t="str">
        <f>Lembar2!H401</f>
        <v>RIRIS SULISTYOWATI</v>
      </c>
      <c r="I402" t="e">
        <f>VLOOKUP(B402,Lembar1!A$4:H$175,8,FALSE)</f>
        <v>#N/A</v>
      </c>
      <c r="J402" t="str">
        <f>Lembar2!C401</f>
        <v>Demak - TPQ ALHUSNA (MI)</v>
      </c>
    </row>
    <row r="403" spans="1:10" x14ac:dyDescent="0.25">
      <c r="A403">
        <v>628</v>
      </c>
      <c r="B403" t="str">
        <f>Lembar2!L402</f>
        <v>EBTAQ25-01.293</v>
      </c>
      <c r="C403" t="str">
        <f>Lembar2!D402</f>
        <v>Musyafa nur jati</v>
      </c>
      <c r="D403" t="str">
        <f>Lembar2!I402</f>
        <v>Laki-laki</v>
      </c>
      <c r="E403" t="str">
        <f>Lembar2!E402</f>
        <v>Demak</v>
      </c>
      <c r="F403" s="21">
        <f>Lembar2!F402</f>
        <v>42170</v>
      </c>
      <c r="G403" t="str">
        <f>Lembar2!G402</f>
        <v>Nadliron</v>
      </c>
      <c r="H403" t="str">
        <f>Lembar2!H402</f>
        <v>Winarsih</v>
      </c>
      <c r="I403" t="e">
        <f>VLOOKUP(B403,Lembar1!A$4:H$175,8,FALSE)</f>
        <v>#N/A</v>
      </c>
      <c r="J403" t="str">
        <f>Lembar2!C402</f>
        <v>Demak - TPQ ALHUSNA (MI)</v>
      </c>
    </row>
    <row r="404" spans="1:10" x14ac:dyDescent="0.25">
      <c r="A404">
        <v>629</v>
      </c>
      <c r="B404" t="str">
        <f>Lembar2!L403</f>
        <v>EBTAQ25-01.294</v>
      </c>
      <c r="C404" t="str">
        <f>Lembar2!D403</f>
        <v>Anggie renata lokeswari</v>
      </c>
      <c r="D404" t="str">
        <f>Lembar2!I403</f>
        <v>Perempuan</v>
      </c>
      <c r="E404" t="str">
        <f>Lembar2!E403</f>
        <v>Demak</v>
      </c>
      <c r="F404" s="21">
        <f>Lembar2!F403</f>
        <v>42788</v>
      </c>
      <c r="G404" t="str">
        <f>Lembar2!G403</f>
        <v>Qomari</v>
      </c>
      <c r="H404" t="str">
        <f>Lembar2!H403</f>
        <v>Hening pratiwi</v>
      </c>
      <c r="I404" t="e">
        <f>VLOOKUP(B404,Lembar1!A$4:H$175,8,FALSE)</f>
        <v>#N/A</v>
      </c>
      <c r="J404" t="str">
        <f>Lembar2!C403</f>
        <v>Demak - TPQ ALHUSNA (MI)</v>
      </c>
    </row>
    <row r="405" spans="1:10" x14ac:dyDescent="0.25">
      <c r="A405">
        <v>630</v>
      </c>
      <c r="B405" t="str">
        <f>Lembar2!L404</f>
        <v>EBTAQ25-03.073</v>
      </c>
      <c r="C405" t="str">
        <f>Lembar2!D404</f>
        <v>Lamhatur Rosyidah</v>
      </c>
      <c r="D405" t="str">
        <f>Lembar2!I404</f>
        <v>Perempuan</v>
      </c>
      <c r="E405" t="str">
        <f>Lembar2!E404</f>
        <v>Demak</v>
      </c>
      <c r="F405" s="21">
        <f>Lembar2!F404</f>
        <v>42501</v>
      </c>
      <c r="G405" t="str">
        <f>Lembar2!G404</f>
        <v>Ahmad Nur Rohim</v>
      </c>
      <c r="H405" t="str">
        <f>Lembar2!H404</f>
        <v>Kodriyah</v>
      </c>
      <c r="I405" t="e">
        <f>VLOOKUP(B405,Lembar1!A$4:H$175,8,FALSE)</f>
        <v>#N/A</v>
      </c>
      <c r="J405" t="str">
        <f>Lembar2!C404</f>
        <v>BMW - Roudhotut Tholibin</v>
      </c>
    </row>
    <row r="406" spans="1:10" x14ac:dyDescent="0.25">
      <c r="A406">
        <v>631</v>
      </c>
      <c r="B406" t="str">
        <f>Lembar2!L405</f>
        <v>EBTAQ25-01.295</v>
      </c>
      <c r="C406" t="str">
        <f>Lembar2!D405</f>
        <v>Nasyahila ufaira marwa</v>
      </c>
      <c r="D406" t="str">
        <f>Lembar2!I405</f>
        <v>Perempuan</v>
      </c>
      <c r="E406" t="str">
        <f>Lembar2!E405</f>
        <v>Demak</v>
      </c>
      <c r="F406" s="21">
        <f>Lembar2!F405</f>
        <v>42281</v>
      </c>
      <c r="G406" t="str">
        <f>Lembar2!G405</f>
        <v>Nur khamim</v>
      </c>
      <c r="H406" t="str">
        <f>Lembar2!H405</f>
        <v>Kholis wati</v>
      </c>
      <c r="I406" t="e">
        <f>VLOOKUP(B406,Lembar1!A$4:H$175,8,FALSE)</f>
        <v>#N/A</v>
      </c>
      <c r="J406" t="str">
        <f>Lembar2!C405</f>
        <v>Demak - TPQ ALHUSNA (MI)</v>
      </c>
    </row>
    <row r="407" spans="1:10" x14ac:dyDescent="0.25">
      <c r="A407">
        <v>632</v>
      </c>
      <c r="B407" t="str">
        <f>Lembar2!L406</f>
        <v>EBTAQ25-01.296</v>
      </c>
      <c r="C407" t="str">
        <f>Lembar2!D406</f>
        <v>Nasyahila ufaira marwa</v>
      </c>
      <c r="D407" t="str">
        <f>Lembar2!I406</f>
        <v>Perempuan</v>
      </c>
      <c r="E407" t="str">
        <f>Lembar2!E406</f>
        <v>Demak</v>
      </c>
      <c r="F407" s="21">
        <f>Lembar2!F406</f>
        <v>42281</v>
      </c>
      <c r="G407" t="str">
        <f>Lembar2!G406</f>
        <v>Nur khamim</v>
      </c>
      <c r="H407" t="str">
        <f>Lembar2!H406</f>
        <v>Kholis wati</v>
      </c>
      <c r="I407" t="e">
        <f>VLOOKUP(B407,Lembar1!A$4:H$175,8,FALSE)</f>
        <v>#N/A</v>
      </c>
      <c r="J407" t="str">
        <f>Lembar2!C406</f>
        <v>Demak - TPQ ALHUSNA (MI)</v>
      </c>
    </row>
    <row r="408" spans="1:10" x14ac:dyDescent="0.25">
      <c r="A408">
        <v>633</v>
      </c>
      <c r="B408" t="str">
        <f>Lembar2!L407</f>
        <v>EBTAQ25-03.074</v>
      </c>
      <c r="C408" t="str">
        <f>Lembar2!D407</f>
        <v>BILQIS FAIHA RIFDA</v>
      </c>
      <c r="D408" t="str">
        <f>Lembar2!I407</f>
        <v>Perempuan</v>
      </c>
      <c r="E408" t="str">
        <f>Lembar2!E407</f>
        <v>DEMAK</v>
      </c>
      <c r="F408" s="21">
        <f>Lembar2!F407</f>
        <v>41991</v>
      </c>
      <c r="G408" t="str">
        <f>Lembar2!G407</f>
        <v>MUSRIAN</v>
      </c>
      <c r="H408" t="str">
        <f>Lembar2!H407</f>
        <v>SUYATI</v>
      </c>
      <c r="I408" t="e">
        <f>VLOOKUP(B408,Lembar1!A$4:H$175,8,FALSE)</f>
        <v>#N/A</v>
      </c>
      <c r="J408" t="str">
        <f>Lembar2!C407</f>
        <v>BMW - As-Sa'idiyyah</v>
      </c>
    </row>
    <row r="409" spans="1:10" x14ac:dyDescent="0.25">
      <c r="A409">
        <v>634</v>
      </c>
      <c r="B409" t="str">
        <f>Lembar2!L408</f>
        <v>EBTAQ25-01.297</v>
      </c>
      <c r="C409" t="str">
        <f>Lembar2!D408</f>
        <v>MUHAMMAD AFRIZAL AZKA</v>
      </c>
      <c r="D409" t="str">
        <f>Lembar2!I408</f>
        <v>Laki-laki</v>
      </c>
      <c r="E409" t="str">
        <f>Lembar2!E408</f>
        <v>DEMAK</v>
      </c>
      <c r="F409" s="21">
        <f>Lembar2!F408</f>
        <v>41906</v>
      </c>
      <c r="G409" t="str">
        <f>Lembar2!G408</f>
        <v>IFAN FIBRIANTO</v>
      </c>
      <c r="H409" t="str">
        <f>Lembar2!H408</f>
        <v>NAILUS SA'ADAH</v>
      </c>
      <c r="I409" t="e">
        <f>VLOOKUP(B409,Lembar1!A$4:H$175,8,FALSE)</f>
        <v>#N/A</v>
      </c>
      <c r="J409" t="str">
        <f>Lembar2!C408</f>
        <v>Demak - TPQ ALHUSNA (MI)</v>
      </c>
    </row>
    <row r="410" spans="1:10" x14ac:dyDescent="0.25">
      <c r="A410">
        <v>635</v>
      </c>
      <c r="B410" t="str">
        <f>Lembar2!L409</f>
        <v>EBTAQ25-01.298</v>
      </c>
      <c r="C410" t="str">
        <f>Lembar2!D409</f>
        <v>Adzaqnal wadqo khordalil wustqo</v>
      </c>
      <c r="D410" t="str">
        <f>Lembar2!I409</f>
        <v>Perempuan</v>
      </c>
      <c r="E410" t="str">
        <f>Lembar2!E409</f>
        <v>Demak</v>
      </c>
      <c r="F410" s="21">
        <f>Lembar2!F409</f>
        <v>41840</v>
      </c>
      <c r="G410" t="str">
        <f>Lembar2!G409</f>
        <v>Mudiono</v>
      </c>
      <c r="H410" t="str">
        <f>Lembar2!H409</f>
        <v>Nur rohmawati</v>
      </c>
      <c r="I410" t="e">
        <f>VLOOKUP(B410,Lembar1!A$4:H$175,8,FALSE)</f>
        <v>#N/A</v>
      </c>
      <c r="J410" t="str">
        <f>Lembar2!C409</f>
        <v>Demak - TPQ NURUL IMAN</v>
      </c>
    </row>
    <row r="411" spans="1:10" x14ac:dyDescent="0.25">
      <c r="A411">
        <v>636</v>
      </c>
      <c r="B411" t="str">
        <f>Lembar2!L410</f>
        <v>EBTAQ25-01.299</v>
      </c>
      <c r="C411" t="str">
        <f>Lembar2!D410</f>
        <v>RHEA AINAYA SAPUTRA</v>
      </c>
      <c r="D411" t="str">
        <f>Lembar2!I410</f>
        <v>Perempuan</v>
      </c>
      <c r="E411" t="str">
        <f>Lembar2!E410</f>
        <v>Demak</v>
      </c>
      <c r="F411" s="21">
        <f>Lembar2!F410</f>
        <v>42563</v>
      </c>
      <c r="G411" t="str">
        <f>Lembar2!G410</f>
        <v>Lilik Dwi Saputro</v>
      </c>
      <c r="H411" t="str">
        <f>Lembar2!H410</f>
        <v>ANIK ANDRIANINGRUM</v>
      </c>
      <c r="I411" t="e">
        <f>VLOOKUP(B411,Lembar1!A$4:H$175,8,FALSE)</f>
        <v>#N/A</v>
      </c>
      <c r="J411" t="str">
        <f>Lembar2!C410</f>
        <v>Demak - TPQ SULAMUNNAJAH</v>
      </c>
    </row>
    <row r="412" spans="1:10" x14ac:dyDescent="0.25">
      <c r="A412">
        <v>637</v>
      </c>
      <c r="B412" t="str">
        <f>Lembar2!L411</f>
        <v>EBTAQ25-01.300</v>
      </c>
      <c r="C412" t="str">
        <f>Lembar2!D411</f>
        <v>Abidzar dirga al ghaniy</v>
      </c>
      <c r="D412" t="str">
        <f>Lembar2!I411</f>
        <v>Laki-laki</v>
      </c>
      <c r="E412" t="str">
        <f>Lembar2!E411</f>
        <v>Demak</v>
      </c>
      <c r="F412" s="21">
        <f>Lembar2!F411</f>
        <v>41762</v>
      </c>
      <c r="G412" t="str">
        <f>Lembar2!G411</f>
        <v>Hery saputro</v>
      </c>
      <c r="H412" t="str">
        <f>Lembar2!H411</f>
        <v>Tutik setiyani</v>
      </c>
      <c r="I412" t="e">
        <f>VLOOKUP(B412,Lembar1!A$4:H$175,8,FALSE)</f>
        <v>#N/A</v>
      </c>
      <c r="J412" t="str">
        <f>Lembar2!C411</f>
        <v>Demak - TPQ ALHUSNA (MI)</v>
      </c>
    </row>
    <row r="413" spans="1:10" x14ac:dyDescent="0.25">
      <c r="A413">
        <v>638</v>
      </c>
      <c r="B413" t="str">
        <f>Lembar2!L412</f>
        <v>EBTAQ25-01.301</v>
      </c>
      <c r="C413" t="str">
        <f>Lembar2!D412</f>
        <v>Wimala Nuriel Sefti Elysia</v>
      </c>
      <c r="D413" t="str">
        <f>Lembar2!I412</f>
        <v>Perempuan</v>
      </c>
      <c r="E413" t="str">
        <f>Lembar2!E412</f>
        <v>Klaten</v>
      </c>
      <c r="F413" s="21">
        <f>Lembar2!F412</f>
        <v>42614</v>
      </c>
      <c r="G413" t="str">
        <f>Lembar2!G412</f>
        <v>Iswanto</v>
      </c>
      <c r="H413" t="str">
        <f>Lembar2!H412</f>
        <v>Nur Kayati</v>
      </c>
      <c r="I413" t="e">
        <f>VLOOKUP(B413,Lembar1!A$4:H$175,8,FALSE)</f>
        <v>#N/A</v>
      </c>
      <c r="J413" t="str">
        <f>Lembar2!C412</f>
        <v>Demak - TPQ SULAMUNNAJAH</v>
      </c>
    </row>
    <row r="414" spans="1:10" x14ac:dyDescent="0.25">
      <c r="A414">
        <v>639</v>
      </c>
      <c r="B414" t="str">
        <f>Lembar2!L413</f>
        <v>EBTAQ25-01.302</v>
      </c>
      <c r="C414" t="str">
        <f>Lembar2!D413</f>
        <v>MUHAMMAD AFRIZAL AZKA</v>
      </c>
      <c r="D414" t="str">
        <f>Lembar2!I413</f>
        <v>Laki-laki</v>
      </c>
      <c r="E414" t="str">
        <f>Lembar2!E413</f>
        <v>DEMAK</v>
      </c>
      <c r="F414" s="21">
        <f>Lembar2!F413</f>
        <v>41906</v>
      </c>
      <c r="G414" t="str">
        <f>Lembar2!G413</f>
        <v>IFAN FIBRIANTO</v>
      </c>
      <c r="H414" t="str">
        <f>Lembar2!H413</f>
        <v>NAILUS SA'ADAH</v>
      </c>
      <c r="I414" t="e">
        <f>VLOOKUP(B414,Lembar1!A$4:H$175,8,FALSE)</f>
        <v>#N/A</v>
      </c>
      <c r="J414" t="str">
        <f>Lembar2!C413</f>
        <v>Demak - TPQ ALHUSNA (MI)</v>
      </c>
    </row>
    <row r="415" spans="1:10" x14ac:dyDescent="0.25">
      <c r="A415">
        <v>640</v>
      </c>
      <c r="B415" t="str">
        <f>Lembar2!L414</f>
        <v>EBTAQ25-03.075</v>
      </c>
      <c r="C415" t="str">
        <f>Lembar2!D414</f>
        <v>FARISYA FINATUL AGUSTINA</v>
      </c>
      <c r="D415" t="str">
        <f>Lembar2!I414</f>
        <v>Perempuan</v>
      </c>
      <c r="E415" t="str">
        <f>Lembar2!E414</f>
        <v>DEMAK</v>
      </c>
      <c r="F415" s="21">
        <f>Lembar2!F414</f>
        <v>41868</v>
      </c>
      <c r="G415" t="str">
        <f>Lembar2!G414</f>
        <v>MUHAMMAD ARIS</v>
      </c>
      <c r="H415" t="str">
        <f>Lembar2!H414</f>
        <v>NAFISSATUN NAJIKHAH</v>
      </c>
      <c r="I415" t="e">
        <f>VLOOKUP(B415,Lembar1!A$4:H$175,8,FALSE)</f>
        <v>#N/A</v>
      </c>
      <c r="J415" t="str">
        <f>Lembar2!C414</f>
        <v>BMW - As-Sa'idiyyah</v>
      </c>
    </row>
    <row r="416" spans="1:10" x14ac:dyDescent="0.25">
      <c r="A416">
        <v>641</v>
      </c>
      <c r="B416" t="str">
        <f>Lembar2!L415</f>
        <v>EBTAQ25-01.303</v>
      </c>
      <c r="C416" t="str">
        <f>Lembar2!D415</f>
        <v>ZUKA' NABRIS AHMAD</v>
      </c>
      <c r="D416" t="str">
        <f>Lembar2!I415</f>
        <v>Laki-laki</v>
      </c>
      <c r="E416" t="str">
        <f>Lembar2!E415</f>
        <v>Demak</v>
      </c>
      <c r="F416" s="21">
        <f>Lembar2!F415</f>
        <v>41967</v>
      </c>
      <c r="G416" t="str">
        <f>Lembar2!G415</f>
        <v>Ezra Alfresco (Alm)</v>
      </c>
      <c r="H416" t="str">
        <f>Lembar2!H415</f>
        <v>Nihaya Tsuroya</v>
      </c>
      <c r="I416" t="e">
        <f>VLOOKUP(B416,Lembar1!A$4:H$175,8,FALSE)</f>
        <v>#N/A</v>
      </c>
      <c r="J416" t="str">
        <f>Lembar2!C415</f>
        <v>Demak - TPQ ALHUSNA (MI)</v>
      </c>
    </row>
    <row r="417" spans="1:10" x14ac:dyDescent="0.25">
      <c r="A417">
        <v>642</v>
      </c>
      <c r="B417" t="str">
        <f>Lembar2!L416</f>
        <v>EBTAQ25-01.304</v>
      </c>
      <c r="C417" t="str">
        <f>Lembar2!D416</f>
        <v>ALINKA PUTRI FIRMANSYAH</v>
      </c>
      <c r="D417" t="str">
        <f>Lembar2!I416</f>
        <v>Perempuan</v>
      </c>
      <c r="E417" t="str">
        <f>Lembar2!E416</f>
        <v>Semarang</v>
      </c>
      <c r="F417" s="21">
        <f>Lembar2!F416</f>
        <v>42742</v>
      </c>
      <c r="G417" t="str">
        <f>Lembar2!G416</f>
        <v>FIRMAN WISNU BRATA</v>
      </c>
      <c r="H417" t="str">
        <f>Lembar2!H416</f>
        <v>DEWI ARIYANTI</v>
      </c>
      <c r="I417" t="e">
        <f>VLOOKUP(B417,Lembar1!A$4:H$175,8,FALSE)</f>
        <v>#N/A</v>
      </c>
      <c r="J417" t="str">
        <f>Lembar2!C416</f>
        <v>Demak - SD NURUL HUDA</v>
      </c>
    </row>
    <row r="418" spans="1:10" x14ac:dyDescent="0.25">
      <c r="A418">
        <v>643</v>
      </c>
      <c r="B418" t="str">
        <f>Lembar2!L417</f>
        <v>EBTAQ25-05.042</v>
      </c>
      <c r="C418" t="str">
        <f>Lembar2!D417</f>
        <v>MUHAMMAD KAFA ASSARIF</v>
      </c>
      <c r="D418" t="str">
        <f>Lembar2!I417</f>
        <v>Laki-laki</v>
      </c>
      <c r="E418" t="str">
        <f>Lembar2!E417</f>
        <v>Demak</v>
      </c>
      <c r="F418" s="21">
        <f>Lembar2!F417</f>
        <v>42192</v>
      </c>
      <c r="G418" t="str">
        <f>Lembar2!G417</f>
        <v>ZUHARIS SUHARIMAN</v>
      </c>
      <c r="H418" t="str">
        <f>Lembar2!H417</f>
        <v>AFIDATUL LAYINAH</v>
      </c>
      <c r="I418" t="e">
        <f>VLOOKUP(B418,Lembar1!A$4:H$175,8,FALSE)</f>
        <v>#N/A</v>
      </c>
      <c r="J418" t="str">
        <f>Lembar2!C417</f>
        <v>Demak - TPQ ALHUSNA (MI)</v>
      </c>
    </row>
    <row r="419" spans="1:10" x14ac:dyDescent="0.25">
      <c r="A419">
        <v>644</v>
      </c>
      <c r="B419" t="str">
        <f>Lembar2!L418</f>
        <v>EBTAQ25-01.305</v>
      </c>
      <c r="C419" t="str">
        <f>Lembar2!D418</f>
        <v>ARKA HAMIZAN</v>
      </c>
      <c r="D419" t="str">
        <f>Lembar2!I418</f>
        <v>Laki-laki</v>
      </c>
      <c r="E419" t="str">
        <f>Lembar2!E418</f>
        <v>TANGERANG</v>
      </c>
      <c r="F419" s="21">
        <f>Lembar2!F418</f>
        <v>41866</v>
      </c>
      <c r="G419" t="str">
        <f>Lembar2!G418</f>
        <v>RENU TAUFIK HANDANG DWI AKTO</v>
      </c>
      <c r="H419" t="str">
        <f>Lembar2!H418</f>
        <v>DIAN ERVITA ARIANI</v>
      </c>
      <c r="I419" t="e">
        <f>VLOOKUP(B419,Lembar1!A$4:H$175,8,FALSE)</f>
        <v>#N/A</v>
      </c>
      <c r="J419" t="str">
        <f>Lembar2!C418</f>
        <v>Demak - TPQ ALHUSNA (MI)</v>
      </c>
    </row>
    <row r="420" spans="1:10" x14ac:dyDescent="0.25">
      <c r="A420">
        <v>645</v>
      </c>
      <c r="B420" t="str">
        <f>Lembar2!L419</f>
        <v>EBTAQ25-01.306</v>
      </c>
      <c r="C420" t="str">
        <f>Lembar2!D419</f>
        <v>ALTHAF IZZUL HANIF</v>
      </c>
      <c r="D420" t="str">
        <f>Lembar2!I419</f>
        <v>Laki-laki</v>
      </c>
      <c r="E420" t="str">
        <f>Lembar2!E419</f>
        <v>Demak</v>
      </c>
      <c r="F420" s="21">
        <f>Lembar2!F419</f>
        <v>42556</v>
      </c>
      <c r="G420" t="str">
        <f>Lembar2!G419</f>
        <v>MIFTAHUL AMAR</v>
      </c>
      <c r="H420" t="str">
        <f>Lembar2!H419</f>
        <v>RANI SULISTYA WATI</v>
      </c>
      <c r="I420" t="e">
        <f>VLOOKUP(B420,Lembar1!A$4:H$175,8,FALSE)</f>
        <v>#N/A</v>
      </c>
      <c r="J420" t="str">
        <f>Lembar2!C419</f>
        <v>Demak - SD NURUL HUDA</v>
      </c>
    </row>
    <row r="421" spans="1:10" x14ac:dyDescent="0.25">
      <c r="A421">
        <v>646</v>
      </c>
      <c r="B421" t="str">
        <f>Lembar2!L420</f>
        <v>EBTAQ25-05.043</v>
      </c>
      <c r="C421" t="str">
        <f>Lembar2!D420</f>
        <v>MUHAMMAD KAFA ASSARIF</v>
      </c>
      <c r="D421" t="str">
        <f>Lembar2!I420</f>
        <v>Laki-laki</v>
      </c>
      <c r="E421" t="str">
        <f>Lembar2!E420</f>
        <v>DEMAK</v>
      </c>
      <c r="F421" s="21">
        <f>Lembar2!F420</f>
        <v>42192</v>
      </c>
      <c r="G421" t="str">
        <f>Lembar2!G420</f>
        <v>ZUHARIS SUHARIMAN</v>
      </c>
      <c r="H421" t="str">
        <f>Lembar2!H420</f>
        <v>AFIDATUL LAYINAH</v>
      </c>
      <c r="I421" t="e">
        <f>VLOOKUP(B421,Lembar1!A$4:H$175,8,FALSE)</f>
        <v>#N/A</v>
      </c>
      <c r="J421" t="str">
        <f>Lembar2!C420</f>
        <v>Demak - TPQ ALHUSNA (MI)</v>
      </c>
    </row>
    <row r="422" spans="1:10" x14ac:dyDescent="0.25">
      <c r="A422">
        <v>647</v>
      </c>
      <c r="B422" t="str">
        <f>Lembar2!L421</f>
        <v>EBTAQ25-03.076</v>
      </c>
      <c r="C422" t="str">
        <f>Lembar2!D421</f>
        <v>INAYATUR ROHMAH</v>
      </c>
      <c r="D422" t="str">
        <f>Lembar2!I421</f>
        <v>Perempuan</v>
      </c>
      <c r="E422" t="str">
        <f>Lembar2!E421</f>
        <v>DEMAK</v>
      </c>
      <c r="F422" s="21">
        <f>Lembar2!F421</f>
        <v>41913</v>
      </c>
      <c r="G422" t="str">
        <f>Lembar2!G421</f>
        <v>HASAN BISRI</v>
      </c>
      <c r="H422" t="str">
        <f>Lembar2!H421</f>
        <v>NUR FAIZAH</v>
      </c>
      <c r="I422" t="e">
        <f>VLOOKUP(B422,Lembar1!A$4:H$175,8,FALSE)</f>
        <v>#N/A</v>
      </c>
      <c r="J422" t="str">
        <f>Lembar2!C421</f>
        <v>BMW - As-Sa'idiyyah</v>
      </c>
    </row>
    <row r="423" spans="1:10" x14ac:dyDescent="0.25">
      <c r="A423">
        <v>648</v>
      </c>
      <c r="B423" t="str">
        <f>Lembar2!L422</f>
        <v>EBTAQ25-01.307</v>
      </c>
      <c r="C423" t="str">
        <f>Lembar2!D422</f>
        <v>ARKA HAMIZAN</v>
      </c>
      <c r="D423" t="str">
        <f>Lembar2!I422</f>
        <v>Laki-laki</v>
      </c>
      <c r="E423" t="str">
        <f>Lembar2!E422</f>
        <v>TANGERANG</v>
      </c>
      <c r="F423" s="21">
        <f>Lembar2!F422</f>
        <v>41866</v>
      </c>
      <c r="G423" t="str">
        <f>Lembar2!G422</f>
        <v>RENU TAUFIK HANDANG DWI AKTO</v>
      </c>
      <c r="H423" t="str">
        <f>Lembar2!H422</f>
        <v>DIAN ERVITA ARIANI</v>
      </c>
      <c r="I423" t="e">
        <f>VLOOKUP(B423,Lembar1!A$4:H$175,8,FALSE)</f>
        <v>#N/A</v>
      </c>
      <c r="J423" t="str">
        <f>Lembar2!C422</f>
        <v>Demak - TPQ ALHUSNA (MI)</v>
      </c>
    </row>
    <row r="424" spans="1:10" x14ac:dyDescent="0.25">
      <c r="A424">
        <v>649</v>
      </c>
      <c r="B424" t="str">
        <f>Lembar2!L423</f>
        <v>EBTAQ25-01.308</v>
      </c>
      <c r="C424" t="str">
        <f>Lembar2!D423</f>
        <v>AQILLA AZZAHRA ALFATHUNISSA</v>
      </c>
      <c r="D424" t="str">
        <f>Lembar2!I423</f>
        <v>Perempuan</v>
      </c>
      <c r="E424" t="str">
        <f>Lembar2!E423</f>
        <v>Demak</v>
      </c>
      <c r="F424" s="21">
        <f>Lembar2!F423</f>
        <v>42931</v>
      </c>
      <c r="G424" t="str">
        <f>Lembar2!G423</f>
        <v>MUHAMAD SUTOMO</v>
      </c>
      <c r="H424" t="str">
        <f>Lembar2!H423</f>
        <v>SRI LESTARI NINGSIH</v>
      </c>
      <c r="I424" t="e">
        <f>VLOOKUP(B424,Lembar1!A$4:H$175,8,FALSE)</f>
        <v>#N/A</v>
      </c>
      <c r="J424" t="str">
        <f>Lembar2!C423</f>
        <v>Demak - SD NURUL HUDA</v>
      </c>
    </row>
    <row r="425" spans="1:10" x14ac:dyDescent="0.25">
      <c r="A425">
        <v>650</v>
      </c>
      <c r="B425" t="str">
        <f>Lembar2!L424</f>
        <v>EBTAQ25-01.309</v>
      </c>
      <c r="C425" t="str">
        <f>Lembar2!D424</f>
        <v>AZRA FATHIN DHIYA</v>
      </c>
      <c r="D425" t="str">
        <f>Lembar2!I424</f>
        <v>Perempuan</v>
      </c>
      <c r="E425" t="str">
        <f>Lembar2!E424</f>
        <v>Demak</v>
      </c>
      <c r="F425" s="21">
        <f>Lembar2!F424</f>
        <v>42256</v>
      </c>
      <c r="G425" t="str">
        <f>Lembar2!G424</f>
        <v>EKO AGUNG SUJATMIKO</v>
      </c>
      <c r="H425" t="str">
        <f>Lembar2!H424</f>
        <v>YUNIARTI</v>
      </c>
      <c r="I425" t="e">
        <f>VLOOKUP(B425,Lembar1!A$4:H$175,8,FALSE)</f>
        <v>#N/A</v>
      </c>
      <c r="J425" t="str">
        <f>Lembar2!C424</f>
        <v>Demak - SD NURUL HUDA</v>
      </c>
    </row>
    <row r="426" spans="1:10" x14ac:dyDescent="0.25">
      <c r="A426">
        <v>651</v>
      </c>
      <c r="B426" t="str">
        <f>Lembar2!L425</f>
        <v>EBTAQ25-03.077</v>
      </c>
      <c r="C426" t="str">
        <f>Lembar2!D425</f>
        <v>FIA LARASATI</v>
      </c>
      <c r="D426" t="str">
        <f>Lembar2!I425</f>
        <v>Perempuan</v>
      </c>
      <c r="E426" t="str">
        <f>Lembar2!E425</f>
        <v>Demak</v>
      </c>
      <c r="F426" s="21">
        <f>Lembar2!F425</f>
        <v>41814</v>
      </c>
      <c r="G426" t="str">
        <f>Lembar2!G425</f>
        <v>MIFTA KHARIS</v>
      </c>
      <c r="H426" t="str">
        <f>Lembar2!H425</f>
        <v>SHOFIYATI</v>
      </c>
      <c r="I426" t="e">
        <f>VLOOKUP(B426,Lembar1!A$4:H$175,8,FALSE)</f>
        <v>#N/A</v>
      </c>
      <c r="J426" t="str">
        <f>Lembar2!C425</f>
        <v>BMW - Yanbu'ul Qur'an</v>
      </c>
    </row>
    <row r="427" spans="1:10" x14ac:dyDescent="0.25">
      <c r="A427">
        <v>652</v>
      </c>
      <c r="B427" t="str">
        <f>Lembar2!L426</f>
        <v>EBTAQ25-01.310</v>
      </c>
      <c r="C427" t="str">
        <f>Lembar2!D426</f>
        <v>ADRIAN PRADIPTA WIJAYA</v>
      </c>
      <c r="D427" t="str">
        <f>Lembar2!I426</f>
        <v>Laki-laki</v>
      </c>
      <c r="E427">
        <f>Lembar2!E426</f>
        <v>42287</v>
      </c>
      <c r="F427" s="21">
        <f>Lembar2!F426</f>
        <v>42287</v>
      </c>
      <c r="G427" t="str">
        <f>Lembar2!G426</f>
        <v>DANANG HARYANTO</v>
      </c>
      <c r="H427" t="str">
        <f>Lembar2!H426</f>
        <v>NIKMATUL INAYAH</v>
      </c>
      <c r="I427" t="e">
        <f>VLOOKUP(B427,Lembar1!A$4:H$175,8,FALSE)</f>
        <v>#N/A</v>
      </c>
      <c r="J427" t="str">
        <f>Lembar2!C426</f>
        <v>Demak - TPQ ROUDHOTUL JANNAH</v>
      </c>
    </row>
    <row r="428" spans="1:10" x14ac:dyDescent="0.25">
      <c r="A428">
        <v>653</v>
      </c>
      <c r="B428" t="str">
        <f>Lembar2!L427</f>
        <v>EBTAQ25-03.078</v>
      </c>
      <c r="C428" t="str">
        <f>Lembar2!D427</f>
        <v>KIRANA 'AROFATUSYALISAH</v>
      </c>
      <c r="D428" t="str">
        <f>Lembar2!I427</f>
        <v>Perempuan</v>
      </c>
      <c r="E428" t="str">
        <f>Lembar2!E427</f>
        <v>DEMAK</v>
      </c>
      <c r="F428" s="21">
        <f>Lembar2!F427</f>
        <v>41909</v>
      </c>
      <c r="G428" t="str">
        <f>Lembar2!G427</f>
        <v>MUAYADI</v>
      </c>
      <c r="H428" t="str">
        <f>Lembar2!H427</f>
        <v>MUDAYANAH</v>
      </c>
      <c r="I428" t="e">
        <f>VLOOKUP(B428,Lembar1!A$4:H$175,8,FALSE)</f>
        <v>#N/A</v>
      </c>
      <c r="J428" t="str">
        <f>Lembar2!C427</f>
        <v>BMW - As-Sa'idiyyah</v>
      </c>
    </row>
    <row r="429" spans="1:10" x14ac:dyDescent="0.25">
      <c r="A429">
        <v>654</v>
      </c>
      <c r="B429" t="str">
        <f>Lembar2!L428</f>
        <v>EBTAQ25-03.079</v>
      </c>
      <c r="C429" t="str">
        <f>Lembar2!D428</f>
        <v>SAFEEA DAMAYANTI</v>
      </c>
      <c r="D429" t="str">
        <f>Lembar2!I428</f>
        <v>Perempuan</v>
      </c>
      <c r="E429" t="str">
        <f>Lembar2!E428</f>
        <v>DEMAK</v>
      </c>
      <c r="F429" s="21">
        <f>Lembar2!F428</f>
        <v>42487</v>
      </c>
      <c r="G429" t="str">
        <f>Lembar2!G428</f>
        <v>IMAM SAFI'I</v>
      </c>
      <c r="H429" t="str">
        <f>Lembar2!H428</f>
        <v>NIKMATUL IFAH</v>
      </c>
      <c r="I429" t="e">
        <f>VLOOKUP(B429,Lembar1!A$4:H$175,8,FALSE)</f>
        <v>#N/A</v>
      </c>
      <c r="J429" t="str">
        <f>Lembar2!C428</f>
        <v>BMW - As-Sa'idiyyah</v>
      </c>
    </row>
    <row r="430" spans="1:10" x14ac:dyDescent="0.25">
      <c r="A430">
        <v>655</v>
      </c>
      <c r="B430" t="str">
        <f>Lembar2!L429</f>
        <v>EBTAQ25-03.080</v>
      </c>
      <c r="C430" t="str">
        <f>Lembar2!D429</f>
        <v>TIKTA ZULIYANTI AYUNINGTYAS</v>
      </c>
      <c r="D430" t="str">
        <f>Lembar2!I429</f>
        <v>Perempuan</v>
      </c>
      <c r="E430" t="str">
        <f>Lembar2!E429</f>
        <v>DEMAK</v>
      </c>
      <c r="F430" s="21">
        <f>Lembar2!F429</f>
        <v>41839</v>
      </c>
      <c r="G430" t="str">
        <f>Lembar2!G429</f>
        <v>MUHSININ</v>
      </c>
      <c r="H430" t="str">
        <f>Lembar2!H429</f>
        <v>NANIK AINISAH</v>
      </c>
      <c r="I430" t="e">
        <f>VLOOKUP(B430,Lembar1!A$4:H$175,8,FALSE)</f>
        <v>#N/A</v>
      </c>
      <c r="J430" t="str">
        <f>Lembar2!C429</f>
        <v>BMW - As-Sa'idiyyah</v>
      </c>
    </row>
    <row r="431" spans="1:10" x14ac:dyDescent="0.25">
      <c r="A431">
        <v>656</v>
      </c>
      <c r="B431" t="str">
        <f>Lembar2!L430</f>
        <v>EBTAQ25-03.081</v>
      </c>
      <c r="C431" t="str">
        <f>Lembar2!D430</f>
        <v>AZKIA NAJIHA KIRANA</v>
      </c>
      <c r="D431" t="str">
        <f>Lembar2!I430</f>
        <v>Perempuan</v>
      </c>
      <c r="E431" t="str">
        <f>Lembar2!E430</f>
        <v>DEMAK</v>
      </c>
      <c r="F431" s="21">
        <f>Lembar2!F430</f>
        <v>42173</v>
      </c>
      <c r="G431" t="str">
        <f>Lembar2!G430</f>
        <v>HARYANTO</v>
      </c>
      <c r="H431" t="str">
        <f>Lembar2!H430</f>
        <v>MUSLIKHATUL HIDAYAH</v>
      </c>
      <c r="I431" t="e">
        <f>VLOOKUP(B431,Lembar1!A$4:H$175,8,FALSE)</f>
        <v>#N/A</v>
      </c>
      <c r="J431" t="str">
        <f>Lembar2!C430</f>
        <v>BMW - As-Sa'idiyyah</v>
      </c>
    </row>
    <row r="432" spans="1:10" x14ac:dyDescent="0.25">
      <c r="A432">
        <v>657</v>
      </c>
      <c r="B432" t="str">
        <f>Lembar2!L431</f>
        <v>EBTAQ25-03.082</v>
      </c>
      <c r="C432" t="str">
        <f>Lembar2!D431</f>
        <v>Rahma Ardi Ramadhani</v>
      </c>
      <c r="D432" t="str">
        <f>Lembar2!I431</f>
        <v>Perempuan</v>
      </c>
      <c r="E432" t="str">
        <f>Lembar2!E431</f>
        <v>Demak</v>
      </c>
      <c r="F432" s="21">
        <f>Lembar2!F431</f>
        <v>41824</v>
      </c>
      <c r="G432" t="str">
        <f>Lembar2!G431</f>
        <v>Suhardi</v>
      </c>
      <c r="H432" t="str">
        <f>Lembar2!H431</f>
        <v>Rofiah</v>
      </c>
      <c r="I432" t="e">
        <f>VLOOKUP(B432,Lembar1!A$4:H$175,8,FALSE)</f>
        <v>#N/A</v>
      </c>
      <c r="J432" t="str">
        <f>Lembar2!C431</f>
        <v>BMW - Yanbu'ul Qur'an</v>
      </c>
    </row>
    <row r="433" spans="1:10" x14ac:dyDescent="0.25">
      <c r="A433">
        <v>658</v>
      </c>
      <c r="B433" t="str">
        <f>Lembar2!L432</f>
        <v>EBTAQ25-03.084</v>
      </c>
      <c r="C433" t="str">
        <f>Lembar2!D432</f>
        <v>RAHMA ARDI RAMADHANI</v>
      </c>
      <c r="D433" t="str">
        <f>Lembar2!I432</f>
        <v>Perempuan</v>
      </c>
      <c r="E433" t="str">
        <f>Lembar2!E432</f>
        <v>Demak</v>
      </c>
      <c r="F433" s="21">
        <f>Lembar2!F432</f>
        <v>41824</v>
      </c>
      <c r="G433" t="str">
        <f>Lembar2!G432</f>
        <v>Suhardi</v>
      </c>
      <c r="H433" t="str">
        <f>Lembar2!H432</f>
        <v>Rofiah</v>
      </c>
      <c r="I433" t="e">
        <f>VLOOKUP(B433,Lembar1!A$4:H$175,8,FALSE)</f>
        <v>#N/A</v>
      </c>
      <c r="J433" t="str">
        <f>Lembar2!C432</f>
        <v>BMW - Yanbu'ul Qur'an</v>
      </c>
    </row>
    <row r="434" spans="1:10" x14ac:dyDescent="0.25">
      <c r="A434">
        <v>659</v>
      </c>
      <c r="B434" t="str">
        <f>Lembar2!L433</f>
        <v>EBTAQ25-03.083</v>
      </c>
      <c r="C434" t="str">
        <f>Lembar2!D433</f>
        <v>FIA LARASSATI</v>
      </c>
      <c r="D434" t="str">
        <f>Lembar2!I433</f>
        <v>Perempuan</v>
      </c>
      <c r="E434" t="str">
        <f>Lembar2!E433</f>
        <v>Demak</v>
      </c>
      <c r="F434" s="21">
        <f>Lembar2!F433</f>
        <v>41814</v>
      </c>
      <c r="G434" t="str">
        <f>Lembar2!G433</f>
        <v>MIFTA KHARIS</v>
      </c>
      <c r="H434" t="str">
        <f>Lembar2!H433</f>
        <v>SHOFIYATI</v>
      </c>
      <c r="I434" t="e">
        <f>VLOOKUP(B434,Lembar1!A$4:H$175,8,FALSE)</f>
        <v>#N/A</v>
      </c>
      <c r="J434" t="str">
        <f>Lembar2!C433</f>
        <v>BMW - Yanbu'ul Qur'an</v>
      </c>
    </row>
    <row r="435" spans="1:10" x14ac:dyDescent="0.25">
      <c r="A435">
        <v>660</v>
      </c>
      <c r="B435" t="str">
        <f>Lembar2!L434</f>
        <v>EBTAQ25-01.311</v>
      </c>
      <c r="C435" t="str">
        <f>Lembar2!D434</f>
        <v>TIARA HAWA</v>
      </c>
      <c r="D435" t="str">
        <f>Lembar2!I434</f>
        <v>Perempuan</v>
      </c>
      <c r="E435" t="str">
        <f>Lembar2!E434</f>
        <v>JAKARTA</v>
      </c>
      <c r="F435" s="21">
        <f>Lembar2!F434</f>
        <v>41394</v>
      </c>
      <c r="G435" t="str">
        <f>Lembar2!G434</f>
        <v>SALMAN ALFARISI</v>
      </c>
      <c r="H435" t="str">
        <f>Lembar2!H434</f>
        <v>SITI HASANAH</v>
      </c>
      <c r="I435" t="e">
        <f>VLOOKUP(B435,Lembar1!A$4:H$175,8,FALSE)</f>
        <v>#N/A</v>
      </c>
      <c r="J435" t="str">
        <f>Lembar2!C434</f>
        <v>Demak - TPQ ALHUSNA (MI)</v>
      </c>
    </row>
    <row r="436" spans="1:10" x14ac:dyDescent="0.25">
      <c r="A436">
        <v>661</v>
      </c>
      <c r="B436" t="str">
        <f>Lembar2!L435</f>
        <v>EBTAQ25-01.312</v>
      </c>
      <c r="C436" t="str">
        <f>Lembar2!D435</f>
        <v>DIMASKY MIRZA ARDANI</v>
      </c>
      <c r="D436" t="str">
        <f>Lembar2!I435</f>
        <v>Laki-laki</v>
      </c>
      <c r="E436" t="str">
        <f>Lembar2!E435</f>
        <v>DEMAK</v>
      </c>
      <c r="F436" s="21">
        <f>Lembar2!F435</f>
        <v>41818</v>
      </c>
      <c r="G436" t="str">
        <f>Lembar2!G435</f>
        <v>DEDY SURYADI</v>
      </c>
      <c r="H436" t="str">
        <f>Lembar2!H435</f>
        <v>NUR HAYATI</v>
      </c>
      <c r="I436" t="e">
        <f>VLOOKUP(B436,Lembar1!A$4:H$175,8,FALSE)</f>
        <v>#N/A</v>
      </c>
      <c r="J436" t="str">
        <f>Lembar2!C435</f>
        <v>Demak - TPQ MIFTAHUL JANNAH</v>
      </c>
    </row>
    <row r="437" spans="1:10" x14ac:dyDescent="0.25">
      <c r="A437">
        <v>662</v>
      </c>
      <c r="B437" t="str">
        <f>Lembar2!L436</f>
        <v>EBTAQ25-01.313</v>
      </c>
      <c r="C437" t="str">
        <f>Lembar2!D436</f>
        <v>BILQIS AUFA OKTAVIANI</v>
      </c>
      <c r="D437" t="str">
        <f>Lembar2!I436</f>
        <v>Perempuan</v>
      </c>
      <c r="E437" t="str">
        <f>Lembar2!E436</f>
        <v>DEMAK</v>
      </c>
      <c r="F437" s="21">
        <f>Lembar2!F436</f>
        <v>41926</v>
      </c>
      <c r="G437" t="str">
        <f>Lembar2!G436</f>
        <v>SUNARDI</v>
      </c>
      <c r="H437" t="str">
        <f>Lembar2!H436</f>
        <v>MUJI RISTIANI</v>
      </c>
      <c r="I437" t="e">
        <f>VLOOKUP(B437,Lembar1!A$4:H$175,8,FALSE)</f>
        <v>#N/A</v>
      </c>
      <c r="J437" t="str">
        <f>Lembar2!C436</f>
        <v>Demak - TPQ MIFTAHUL JANNAH</v>
      </c>
    </row>
    <row r="438" spans="1:10" x14ac:dyDescent="0.25">
      <c r="A438">
        <v>663</v>
      </c>
      <c r="B438" t="str">
        <f>Lembar2!L437</f>
        <v>EBTAQ25-01.315</v>
      </c>
      <c r="C438" t="str">
        <f>Lembar2!D437</f>
        <v>ABID LANGIT RAMADHANI</v>
      </c>
      <c r="D438" t="str">
        <f>Lembar2!I437</f>
        <v>Laki-laki</v>
      </c>
      <c r="E438" t="str">
        <f>Lembar2!E437</f>
        <v>DEMAK</v>
      </c>
      <c r="F438" s="21">
        <f>Lembar2!F437</f>
        <v>42537</v>
      </c>
      <c r="G438" t="str">
        <f>Lembar2!G437</f>
        <v>EDI UTOMO</v>
      </c>
      <c r="H438" t="str">
        <f>Lembar2!H437</f>
        <v>DWI RATNA ARIANI</v>
      </c>
      <c r="I438" t="e">
        <f>VLOOKUP(B438,Lembar1!A$4:H$175,8,FALSE)</f>
        <v>#N/A</v>
      </c>
      <c r="J438" t="str">
        <f>Lembar2!C437</f>
        <v>Demak - TPQ MIFTAHUL JANNAH</v>
      </c>
    </row>
    <row r="439" spans="1:10" x14ac:dyDescent="0.25">
      <c r="A439">
        <v>664</v>
      </c>
      <c r="B439" t="str">
        <f>Lembar2!L438</f>
        <v>EBTAQ25-01.317</v>
      </c>
      <c r="C439" t="str">
        <f>Lembar2!D438</f>
        <v>Kayyasa Zaara Rahman</v>
      </c>
      <c r="D439" t="str">
        <f>Lembar2!I438</f>
        <v>Perempuan</v>
      </c>
      <c r="E439" t="str">
        <f>Lembar2!E438</f>
        <v>Kudus</v>
      </c>
      <c r="F439" s="21">
        <f>Lembar2!F438</f>
        <v>42040</v>
      </c>
      <c r="G439" t="str">
        <f>Lembar2!G438</f>
        <v>Taufiq Rahman</v>
      </c>
      <c r="H439" t="str">
        <f>Lembar2!H438</f>
        <v>Vika Andriyanti</v>
      </c>
      <c r="I439" t="e">
        <f>VLOOKUP(B439,Lembar1!A$4:H$175,8,FALSE)</f>
        <v>#N/A</v>
      </c>
      <c r="J439" t="str">
        <f>Lembar2!C438</f>
        <v>Demak - TPQ NURUL IMAN</v>
      </c>
    </row>
    <row r="440" spans="1:10" x14ac:dyDescent="0.25">
      <c r="A440">
        <v>665</v>
      </c>
      <c r="B440" t="str">
        <f>Lembar2!L439</f>
        <v>EBTAQ25-01.314</v>
      </c>
      <c r="C440" t="str">
        <f>Lembar2!D439</f>
        <v>Kayyasa Zaara Rahman</v>
      </c>
      <c r="D440" t="str">
        <f>Lembar2!I439</f>
        <v>Perempuan</v>
      </c>
      <c r="E440" t="str">
        <f>Lembar2!E439</f>
        <v>Kudus</v>
      </c>
      <c r="F440" s="21">
        <f>Lembar2!F439</f>
        <v>42040</v>
      </c>
      <c r="G440" t="str">
        <f>Lembar2!G439</f>
        <v>Taufiq Rahman</v>
      </c>
      <c r="H440" t="str">
        <f>Lembar2!H439</f>
        <v>Vika Andriyanti</v>
      </c>
      <c r="I440" t="e">
        <f>VLOOKUP(B440,Lembar1!A$4:H$175,8,FALSE)</f>
        <v>#N/A</v>
      </c>
      <c r="J440" t="str">
        <f>Lembar2!C439</f>
        <v>Demak - TPQ NURUL IMAN</v>
      </c>
    </row>
    <row r="441" spans="1:10" x14ac:dyDescent="0.25">
      <c r="A441">
        <v>666</v>
      </c>
      <c r="B441" t="str">
        <f>Lembar2!L440</f>
        <v>EBTAQ25-03.085</v>
      </c>
      <c r="C441" t="str">
        <f>Lembar2!D440</f>
        <v>ULFI LUTFIYATI</v>
      </c>
      <c r="D441" t="str">
        <f>Lembar2!I440</f>
        <v>Perempuan</v>
      </c>
      <c r="E441" t="str">
        <f>Lembar2!E440</f>
        <v>DEMAK</v>
      </c>
      <c r="F441" s="21">
        <f>Lembar2!F440</f>
        <v>41741</v>
      </c>
      <c r="G441" t="str">
        <f>Lembar2!G440</f>
        <v>AHMAD KHUNAISIR</v>
      </c>
      <c r="H441" t="str">
        <f>Lembar2!H440</f>
        <v>SULASTRI</v>
      </c>
      <c r="I441" t="e">
        <f>VLOOKUP(B441,Lembar1!A$4:H$175,8,FALSE)</f>
        <v>#N/A</v>
      </c>
      <c r="J441" t="str">
        <f>Lembar2!C440</f>
        <v>BMW - Yanbu'ul Qur'an</v>
      </c>
    </row>
    <row r="442" spans="1:10" x14ac:dyDescent="0.25">
      <c r="A442">
        <v>667</v>
      </c>
      <c r="B442" t="str">
        <f>Lembar2!L441</f>
        <v>EBTAQ25-01.318</v>
      </c>
      <c r="C442" t="str">
        <f>Lembar2!D441</f>
        <v>Kayyasa Zaara Rahman</v>
      </c>
      <c r="D442" t="str">
        <f>Lembar2!I441</f>
        <v>Perempuan</v>
      </c>
      <c r="E442" t="str">
        <f>Lembar2!E441</f>
        <v>Kudus</v>
      </c>
      <c r="F442" s="21">
        <f>Lembar2!F441</f>
        <v>42040</v>
      </c>
      <c r="G442" t="str">
        <f>Lembar2!G441</f>
        <v>Taufiq Rahman</v>
      </c>
      <c r="H442" t="str">
        <f>Lembar2!H441</f>
        <v>Vika Andriyanti</v>
      </c>
      <c r="I442" t="e">
        <f>VLOOKUP(B442,Lembar1!A$4:H$175,8,FALSE)</f>
        <v>#N/A</v>
      </c>
      <c r="J442" t="str">
        <f>Lembar2!C441</f>
        <v>Demak - TPQ NURUL IMAN</v>
      </c>
    </row>
    <row r="443" spans="1:10" x14ac:dyDescent="0.25">
      <c r="A443">
        <v>668</v>
      </c>
      <c r="B443" t="str">
        <f>Lembar2!L442</f>
        <v>EBTAQ25-01.316</v>
      </c>
      <c r="C443" t="str">
        <f>Lembar2!D442</f>
        <v>Kezia Naquita Caroline</v>
      </c>
      <c r="D443" t="str">
        <f>Lembar2!I442</f>
        <v>Perempuan</v>
      </c>
      <c r="E443" t="str">
        <f>Lembar2!E442</f>
        <v>demak</v>
      </c>
      <c r="F443" s="21">
        <f>Lembar2!F442</f>
        <v>42344</v>
      </c>
      <c r="G443" t="str">
        <f>Lembar2!G442</f>
        <v>feri eko budiyanto</v>
      </c>
      <c r="H443" t="str">
        <f>Lembar2!H442</f>
        <v>nunung halimah</v>
      </c>
      <c r="I443" t="e">
        <f>VLOOKUP(B443,Lembar1!A$4:H$175,8,FALSE)</f>
        <v>#N/A</v>
      </c>
      <c r="J443" t="str">
        <f>Lembar2!C442</f>
        <v>Demak - TPQ NURUL IMAN</v>
      </c>
    </row>
    <row r="444" spans="1:10" x14ac:dyDescent="0.25">
      <c r="A444">
        <v>669</v>
      </c>
      <c r="B444" t="str">
        <f>Lembar2!L443</f>
        <v>EBTAQ25-01.319</v>
      </c>
      <c r="C444" t="str">
        <f>Lembar2!D443</f>
        <v>Kayyasa Zaara Rahman</v>
      </c>
      <c r="D444" t="str">
        <f>Lembar2!I443</f>
        <v>Perempuan</v>
      </c>
      <c r="E444" t="str">
        <f>Lembar2!E443</f>
        <v>Kudus</v>
      </c>
      <c r="F444" s="21">
        <f>Lembar2!F443</f>
        <v>42040</v>
      </c>
      <c r="G444" t="str">
        <f>Lembar2!G443</f>
        <v>Taufiq Rahman</v>
      </c>
      <c r="H444" t="str">
        <f>Lembar2!H443</f>
        <v>Vika Andriyanti</v>
      </c>
      <c r="I444" t="e">
        <f>VLOOKUP(B444,Lembar1!A$4:H$175,8,FALSE)</f>
        <v>#N/A</v>
      </c>
      <c r="J444" t="str">
        <f>Lembar2!C443</f>
        <v>Demak - TPQ NURUL IMAN</v>
      </c>
    </row>
    <row r="445" spans="1:10" x14ac:dyDescent="0.25">
      <c r="A445">
        <v>670</v>
      </c>
      <c r="B445" t="str">
        <f>Lembar2!L444</f>
        <v>EBTAQ25-01.320</v>
      </c>
      <c r="C445" t="str">
        <f>Lembar2!D444</f>
        <v>ANASTASYA VIOLA NAZAFARIN</v>
      </c>
      <c r="D445" t="str">
        <f>Lembar2!I444</f>
        <v>Perempuan</v>
      </c>
      <c r="E445" t="str">
        <f>Lembar2!E444</f>
        <v>KUDUS</v>
      </c>
      <c r="F445" s="21">
        <f>Lembar2!F444</f>
        <v>42709</v>
      </c>
      <c r="G445" t="str">
        <f>Lembar2!G444</f>
        <v>MUSLIM</v>
      </c>
      <c r="H445" t="str">
        <f>Lembar2!H444</f>
        <v>IKA PUJI SISWANTI</v>
      </c>
      <c r="I445" t="e">
        <f>VLOOKUP(B445,Lembar1!A$4:H$175,8,FALSE)</f>
        <v>#N/A</v>
      </c>
      <c r="J445" t="str">
        <f>Lembar2!C444</f>
        <v>Demak - SD BUQ BET.DEMAK, Demak - TPQ MIFTAHUL JANNAH</v>
      </c>
    </row>
    <row r="446" spans="1:10" x14ac:dyDescent="0.25">
      <c r="A446">
        <v>671</v>
      </c>
      <c r="B446" t="str">
        <f>Lembar2!L445</f>
        <v>EBTAQ25-01.321</v>
      </c>
      <c r="C446" t="str">
        <f>Lembar2!D445</f>
        <v>AZZAHRA AUFA RAFIFAH</v>
      </c>
      <c r="D446" t="str">
        <f>Lembar2!I445</f>
        <v>Perempuan</v>
      </c>
      <c r="E446" t="str">
        <f>Lembar2!E445</f>
        <v>DEMAK</v>
      </c>
      <c r="F446" s="21">
        <f>Lembar2!F445</f>
        <v>42131</v>
      </c>
      <c r="G446" t="str">
        <f>Lembar2!G445</f>
        <v>KASNO</v>
      </c>
      <c r="H446" t="str">
        <f>Lembar2!H445</f>
        <v>QURROTUL 'AIN</v>
      </c>
      <c r="I446" t="e">
        <f>VLOOKUP(B446,Lembar1!A$4:H$175,8,FALSE)</f>
        <v>#N/A</v>
      </c>
      <c r="J446" t="str">
        <f>Lembar2!C445</f>
        <v>Demak - TPQ MIFTAHUL JANNAH</v>
      </c>
    </row>
    <row r="447" spans="1:10" x14ac:dyDescent="0.25">
      <c r="A447">
        <v>672</v>
      </c>
      <c r="B447" t="str">
        <f>Lembar2!L446</f>
        <v>EBTAQ25-01.322</v>
      </c>
      <c r="C447" t="str">
        <f>Lembar2!D446</f>
        <v>Muhammad Alfa Reza pratama</v>
      </c>
      <c r="D447" t="str">
        <f>Lembar2!I446</f>
        <v>Laki-laki</v>
      </c>
      <c r="E447" t="str">
        <f>Lembar2!E446</f>
        <v>Demak</v>
      </c>
      <c r="F447" s="21">
        <f>Lembar2!F446</f>
        <v>42313</v>
      </c>
      <c r="G447" t="str">
        <f>Lembar2!G446</f>
        <v>Muhamad musafak</v>
      </c>
      <c r="H447" t="str">
        <f>Lembar2!H446</f>
        <v>Ana istiaroh</v>
      </c>
      <c r="I447" t="e">
        <f>VLOOKUP(B447,Lembar1!A$4:H$175,8,FALSE)</f>
        <v>#N/A</v>
      </c>
      <c r="J447" t="str">
        <f>Lembar2!C446</f>
        <v>Demak - TPQ NURUL IMAN</v>
      </c>
    </row>
    <row r="448" spans="1:10" x14ac:dyDescent="0.25">
      <c r="A448">
        <v>673</v>
      </c>
      <c r="B448" t="str">
        <f>Lembar2!L447</f>
        <v>EBTAQ25-01.323</v>
      </c>
      <c r="C448" t="str">
        <f>Lembar2!D447</f>
        <v>Kayyasa Zaara Rahman</v>
      </c>
      <c r="D448" t="str">
        <f>Lembar2!I447</f>
        <v>Perempuan</v>
      </c>
      <c r="E448" t="str">
        <f>Lembar2!E447</f>
        <v>Kudus</v>
      </c>
      <c r="F448" s="21">
        <f>Lembar2!F447</f>
        <v>42040</v>
      </c>
      <c r="G448" t="str">
        <f>Lembar2!G447</f>
        <v>Taufiq Rahman</v>
      </c>
      <c r="H448" t="str">
        <f>Lembar2!H447</f>
        <v>Vika Andriyanti</v>
      </c>
      <c r="I448" t="e">
        <f>VLOOKUP(B448,Lembar1!A$4:H$175,8,FALSE)</f>
        <v>#N/A</v>
      </c>
      <c r="J448" t="str">
        <f>Lembar2!C447</f>
        <v>Demak - TPQ NURUL IMAN</v>
      </c>
    </row>
    <row r="449" spans="1:10" x14ac:dyDescent="0.25">
      <c r="A449">
        <v>674</v>
      </c>
      <c r="B449" t="str">
        <f>Lembar2!L448</f>
        <v>EBTAQ25-01.324</v>
      </c>
      <c r="C449" t="str">
        <f>Lembar2!D448</f>
        <v>Muhammad Alfa Reza pratama</v>
      </c>
      <c r="D449" t="str">
        <f>Lembar2!I448</f>
        <v>Laki-laki</v>
      </c>
      <c r="E449" t="str">
        <f>Lembar2!E448</f>
        <v>Demak</v>
      </c>
      <c r="F449" s="21">
        <f>Lembar2!F448</f>
        <v>42313</v>
      </c>
      <c r="G449" t="str">
        <f>Lembar2!G448</f>
        <v>Muhamad musafak</v>
      </c>
      <c r="H449" t="str">
        <f>Lembar2!H448</f>
        <v>Ana istiaroh</v>
      </c>
      <c r="I449" t="e">
        <f>VLOOKUP(B449,Lembar1!A$4:H$175,8,FALSE)</f>
        <v>#N/A</v>
      </c>
      <c r="J449" t="str">
        <f>Lembar2!C448</f>
        <v>Demak - TPQ NURUL IMAN</v>
      </c>
    </row>
    <row r="450" spans="1:10" x14ac:dyDescent="0.25">
      <c r="A450">
        <v>675</v>
      </c>
      <c r="B450" t="str">
        <f>Lembar2!L449</f>
        <v>EBTAQ25-04.064</v>
      </c>
      <c r="C450" t="str">
        <f>Lembar2!D449</f>
        <v>AQILA SALMA WARDANI</v>
      </c>
      <c r="D450" t="str">
        <f>Lembar2!I449</f>
        <v>Perempuan</v>
      </c>
      <c r="E450" t="str">
        <f>Lembar2!E449</f>
        <v>Kudus</v>
      </c>
      <c r="F450" s="21">
        <f>Lembar2!F449</f>
        <v>42171</v>
      </c>
      <c r="G450" t="str">
        <f>Lembar2!G449</f>
        <v>SUHARTOYO</v>
      </c>
      <c r="H450" t="str">
        <f>Lembar2!H449</f>
        <v>NUR AENI</v>
      </c>
      <c r="I450" t="e">
        <f>VLOOKUP(B450,Lembar1!A$4:H$175,8,FALSE)</f>
        <v>#N/A</v>
      </c>
      <c r="J450" t="str">
        <f>Lembar2!C449</f>
        <v>Karangga - Al Furqon</v>
      </c>
    </row>
    <row r="451" spans="1:10" x14ac:dyDescent="0.25">
      <c r="A451">
        <v>676</v>
      </c>
      <c r="B451" t="str">
        <f>Lembar2!L450</f>
        <v>EBTAQ25-01.325</v>
      </c>
      <c r="C451" t="str">
        <f>Lembar2!D450</f>
        <v>Kayyasa Zaara Rahman</v>
      </c>
      <c r="D451" t="str">
        <f>Lembar2!I450</f>
        <v>Perempuan</v>
      </c>
      <c r="E451" t="str">
        <f>Lembar2!E450</f>
        <v>Kudus</v>
      </c>
      <c r="F451" s="21">
        <f>Lembar2!F450</f>
        <v>42040</v>
      </c>
      <c r="G451" t="str">
        <f>Lembar2!G450</f>
        <v>Taufiq Rahman</v>
      </c>
      <c r="H451" t="str">
        <f>Lembar2!H450</f>
        <v>Vika Andriyanti</v>
      </c>
      <c r="I451" t="e">
        <f>VLOOKUP(B451,Lembar1!A$4:H$175,8,FALSE)</f>
        <v>#N/A</v>
      </c>
      <c r="J451" t="str">
        <f>Lembar2!C450</f>
        <v>Demak - TPQ NURUL IMAN</v>
      </c>
    </row>
    <row r="452" spans="1:10" x14ac:dyDescent="0.25">
      <c r="A452">
        <v>677</v>
      </c>
      <c r="B452" t="str">
        <f>Lembar2!L451</f>
        <v>EBTAQ25-01.326</v>
      </c>
      <c r="C452" t="str">
        <f>Lembar2!D451</f>
        <v>Muhammad Alfa Reza pratama</v>
      </c>
      <c r="D452" t="str">
        <f>Lembar2!I451</f>
        <v>Laki-laki</v>
      </c>
      <c r="E452" t="str">
        <f>Lembar2!E451</f>
        <v>Demak</v>
      </c>
      <c r="F452" s="21">
        <f>Lembar2!F451</f>
        <v>42313</v>
      </c>
      <c r="G452" t="str">
        <f>Lembar2!G451</f>
        <v>Muhamad musafak</v>
      </c>
      <c r="H452" t="str">
        <f>Lembar2!H451</f>
        <v>Ana istiaroh</v>
      </c>
      <c r="I452" t="e">
        <f>VLOOKUP(B452,Lembar1!A$4:H$175,8,FALSE)</f>
        <v>#N/A</v>
      </c>
      <c r="J452" t="str">
        <f>Lembar2!C451</f>
        <v>Demak - TPQ NURUL IMAN</v>
      </c>
    </row>
    <row r="453" spans="1:10" x14ac:dyDescent="0.25">
      <c r="A453">
        <v>678</v>
      </c>
      <c r="B453" t="str">
        <f>Lembar2!L452</f>
        <v>EBTAQ25-04.005</v>
      </c>
      <c r="C453" t="str">
        <f>Lembar2!D452</f>
        <v>NAUFAL VIDI APRILIO</v>
      </c>
      <c r="D453" t="str">
        <f>Lembar2!I452</f>
        <v>Laki-laki</v>
      </c>
      <c r="E453" t="str">
        <f>Lembar2!E452</f>
        <v>GROBOGAN</v>
      </c>
      <c r="F453" s="21">
        <f>Lembar2!F452</f>
        <v>41734</v>
      </c>
      <c r="G453" t="str">
        <f>Lembar2!G452</f>
        <v>Budi prasetyo</v>
      </c>
      <c r="H453" t="str">
        <f>Lembar2!H452</f>
        <v>Fifi handayanti</v>
      </c>
      <c r="I453" t="e">
        <f>VLOOKUP(B453,Lembar1!A$4:H$175,8,FALSE)</f>
        <v>#N/A</v>
      </c>
      <c r="J453" t="str">
        <f>Lembar2!C452</f>
        <v>Karangga - Miftahul Ulum</v>
      </c>
    </row>
    <row r="454" spans="1:10" x14ac:dyDescent="0.25">
      <c r="A454">
        <v>679</v>
      </c>
      <c r="B454" t="str">
        <f>Lembar2!L453</f>
        <v>EBTAQ25-04.065</v>
      </c>
      <c r="C454" t="str">
        <f>Lembar2!D453</f>
        <v>Hakima Ghaida Aqila</v>
      </c>
      <c r="D454" t="str">
        <f>Lembar2!I453</f>
        <v>Perempuan</v>
      </c>
      <c r="E454" t="str">
        <f>Lembar2!E453</f>
        <v>Kudus</v>
      </c>
      <c r="F454" s="21">
        <f>Lembar2!F453</f>
        <v>41770</v>
      </c>
      <c r="G454" t="str">
        <f>Lembar2!G453</f>
        <v>Sudarsono</v>
      </c>
      <c r="H454" t="str">
        <f>Lembar2!H453</f>
        <v>Siti Rahmawati</v>
      </c>
      <c r="I454" t="e">
        <f>VLOOKUP(B454,Lembar1!A$4:H$175,8,FALSE)</f>
        <v>#N/A</v>
      </c>
      <c r="J454" t="str">
        <f>Lembar2!C453</f>
        <v>Karangga - Miftahul Ulum</v>
      </c>
    </row>
    <row r="455" spans="1:10" x14ac:dyDescent="0.25">
      <c r="A455">
        <v>680</v>
      </c>
      <c r="B455" t="str">
        <f>Lembar2!L454</f>
        <v>EBTAQ25-04.066</v>
      </c>
      <c r="C455" t="str">
        <f>Lembar2!D454</f>
        <v>Zian Syahrul Ramadhan</v>
      </c>
      <c r="D455" t="str">
        <f>Lembar2!I454</f>
        <v>Laki-laki</v>
      </c>
      <c r="E455" t="str">
        <f>Lembar2!E454</f>
        <v>Demak</v>
      </c>
      <c r="F455" s="21">
        <f>Lembar2!F454</f>
        <v>42187</v>
      </c>
      <c r="G455" t="str">
        <f>Lembar2!G454</f>
        <v>Darmo Sutoyo</v>
      </c>
      <c r="H455" t="str">
        <f>Lembar2!H454</f>
        <v>Nida Evitria</v>
      </c>
      <c r="I455" t="e">
        <f>VLOOKUP(B455,Lembar1!A$4:H$175,8,FALSE)</f>
        <v>#N/A</v>
      </c>
      <c r="J455" t="str">
        <f>Lembar2!C454</f>
        <v>Karangga - Al Furqon</v>
      </c>
    </row>
    <row r="456" spans="1:10" x14ac:dyDescent="0.25">
      <c r="A456">
        <v>681</v>
      </c>
      <c r="B456" t="str">
        <f>Lembar2!L455</f>
        <v>EBTAQ25-03.086</v>
      </c>
      <c r="C456" t="str">
        <f>Lembar2!D455</f>
        <v>ALISA SABRIANA</v>
      </c>
      <c r="D456" t="str">
        <f>Lembar2!I455</f>
        <v>Perempuan</v>
      </c>
      <c r="E456" t="str">
        <f>Lembar2!E455</f>
        <v>DEMAK</v>
      </c>
      <c r="F456" s="21">
        <f>Lembar2!F455</f>
        <v>41783</v>
      </c>
      <c r="G456" t="str">
        <f>Lembar2!G455</f>
        <v>SOBIRIN</v>
      </c>
      <c r="H456" t="str">
        <f>Lembar2!H455</f>
        <v>MELISA SUTIYANA</v>
      </c>
      <c r="I456" t="e">
        <f>VLOOKUP(B456,Lembar1!A$4:H$175,8,FALSE)</f>
        <v>#N/A</v>
      </c>
      <c r="J456" t="str">
        <f>Lembar2!C455</f>
        <v>BMW - Azzumut Fatayat NU</v>
      </c>
    </row>
    <row r="457" spans="1:10" x14ac:dyDescent="0.25">
      <c r="A457">
        <v>682</v>
      </c>
      <c r="B457" t="str">
        <f>Lembar2!L456</f>
        <v>EBTAQ25-03.087</v>
      </c>
      <c r="C457" t="str">
        <f>Lembar2!D456</f>
        <v>CITRA PUTRI FELLICIA</v>
      </c>
      <c r="D457" t="str">
        <f>Lembar2!I456</f>
        <v>Perempuan</v>
      </c>
      <c r="E457" t="str">
        <f>Lembar2!E456</f>
        <v>DEMAK</v>
      </c>
      <c r="F457" s="21">
        <f>Lembar2!F456</f>
        <v>42162</v>
      </c>
      <c r="G457" t="str">
        <f>Lembar2!G456</f>
        <v>ANTONIUS SETIAWAN</v>
      </c>
      <c r="H457" t="str">
        <f>Lembar2!H456</f>
        <v>DIYA APRILIYANI PRATIWI</v>
      </c>
      <c r="I457" t="e">
        <f>VLOOKUP(B457,Lembar1!A$4:H$175,8,FALSE)</f>
        <v>#N/A</v>
      </c>
      <c r="J457" t="str">
        <f>Lembar2!C456</f>
        <v>BMW - Azzumut Fatayat NU</v>
      </c>
    </row>
    <row r="458" spans="1:10" x14ac:dyDescent="0.25">
      <c r="A458">
        <v>683</v>
      </c>
      <c r="B458" t="str">
        <f>Lembar2!L457</f>
        <v>EBTAQ25-03.088</v>
      </c>
      <c r="C458" t="str">
        <f>Lembar2!D457</f>
        <v>FATIMATUZ ZAHRO</v>
      </c>
      <c r="D458" t="str">
        <f>Lembar2!I457</f>
        <v>Perempuan</v>
      </c>
      <c r="E458" t="str">
        <f>Lembar2!E457</f>
        <v>DEMAK</v>
      </c>
      <c r="F458" s="21">
        <f>Lembar2!F457</f>
        <v>42014</v>
      </c>
      <c r="G458" t="str">
        <f>Lembar2!G457</f>
        <v>ARIS SUWANDI</v>
      </c>
      <c r="H458" t="str">
        <f>Lembar2!H457</f>
        <v>SITI AISAH</v>
      </c>
      <c r="I458" t="e">
        <f>VLOOKUP(B458,Lembar1!A$4:H$175,8,FALSE)</f>
        <v>#N/A</v>
      </c>
      <c r="J458" t="str">
        <f>Lembar2!C457</f>
        <v>BMW - Azzumut Fatayat NU</v>
      </c>
    </row>
    <row r="459" spans="1:10" x14ac:dyDescent="0.25">
      <c r="A459">
        <v>684</v>
      </c>
      <c r="B459" t="str">
        <f>Lembar2!L458</f>
        <v>EBTAQ25-03.089</v>
      </c>
      <c r="C459" t="str">
        <f>Lembar2!D458</f>
        <v>KEYSHA AULIA PUTRI</v>
      </c>
      <c r="D459" t="str">
        <f>Lembar2!I458</f>
        <v>Perempuan</v>
      </c>
      <c r="E459" t="str">
        <f>Lembar2!E458</f>
        <v>DEMAK</v>
      </c>
      <c r="F459" s="21">
        <f>Lembar2!F458</f>
        <v>41225</v>
      </c>
      <c r="G459" t="str">
        <f>Lembar2!G458</f>
        <v>NUR SAID</v>
      </c>
      <c r="H459" t="str">
        <f>Lembar2!H458</f>
        <v>SITI ANISA</v>
      </c>
      <c r="I459" t="e">
        <f>VLOOKUP(B459,Lembar1!A$4:H$175,8,FALSE)</f>
        <v>#N/A</v>
      </c>
      <c r="J459" t="str">
        <f>Lembar2!C458</f>
        <v>BMW - Azzumut Fatayat NU</v>
      </c>
    </row>
    <row r="460" spans="1:10" x14ac:dyDescent="0.25">
      <c r="A460">
        <v>685</v>
      </c>
      <c r="B460" t="str">
        <f>Lembar2!L459</f>
        <v>EBTAQ25-03.090</v>
      </c>
      <c r="C460" t="str">
        <f>Lembar2!D459</f>
        <v>NAFIDHATUL KHANZA AULIA</v>
      </c>
      <c r="D460" t="str">
        <f>Lembar2!I459</f>
        <v>Perempuan</v>
      </c>
      <c r="E460" t="str">
        <f>Lembar2!E459</f>
        <v>DEMAK</v>
      </c>
      <c r="F460" s="21">
        <f>Lembar2!F459</f>
        <v>41623</v>
      </c>
      <c r="G460" t="str">
        <f>Lembar2!G459</f>
        <v>ABDULLAH ZAENURI</v>
      </c>
      <c r="H460" t="str">
        <f>Lembar2!H459</f>
        <v>MURNINGSIH</v>
      </c>
      <c r="I460" t="e">
        <f>VLOOKUP(B460,Lembar1!A$4:H$175,8,FALSE)</f>
        <v>#N/A</v>
      </c>
      <c r="J460" t="str">
        <f>Lembar2!C459</f>
        <v>BMW - Azzumut Fatayat NU</v>
      </c>
    </row>
    <row r="461" spans="1:10" x14ac:dyDescent="0.25">
      <c r="A461">
        <v>686</v>
      </c>
      <c r="B461" t="str">
        <f>Lembar2!L460</f>
        <v>EBTAQ25-03.091</v>
      </c>
      <c r="C461" t="str">
        <f>Lembar2!D460</f>
        <v>UMMU FARIKHATUL JAZILAH</v>
      </c>
      <c r="D461" t="str">
        <f>Lembar2!I460</f>
        <v>Perempuan</v>
      </c>
      <c r="E461" t="str">
        <f>Lembar2!E460</f>
        <v>DEMAK</v>
      </c>
      <c r="F461" s="21">
        <f>Lembar2!F460</f>
        <v>42439</v>
      </c>
      <c r="G461" t="str">
        <f>Lembar2!G460</f>
        <v>MOHAMMAD FAIQ</v>
      </c>
      <c r="H461" t="str">
        <f>Lembar2!H460</f>
        <v>SAYYIDAH AZIZAH</v>
      </c>
      <c r="I461" t="e">
        <f>VLOOKUP(B461,Lembar1!A$4:H$175,8,FALSE)</f>
        <v>#N/A</v>
      </c>
      <c r="J461" t="str">
        <f>Lembar2!C460</f>
        <v>BMW - Azzumut Fatayat NU</v>
      </c>
    </row>
    <row r="462" spans="1:10" x14ac:dyDescent="0.25">
      <c r="A462">
        <v>687</v>
      </c>
      <c r="B462" t="str">
        <f>Lembar2!L461</f>
        <v>EBTAQ25-03.092</v>
      </c>
      <c r="C462" t="str">
        <f>Lembar2!D461</f>
        <v>UNIFAH NUR ALISTIAWAN</v>
      </c>
      <c r="D462" t="str">
        <f>Lembar2!I461</f>
        <v>Perempuan</v>
      </c>
      <c r="E462" t="str">
        <f>Lembar2!E461</f>
        <v>DEMAK</v>
      </c>
      <c r="F462" s="21">
        <f>Lembar2!F461</f>
        <v>41460</v>
      </c>
      <c r="G462" t="str">
        <f>Lembar2!G461</f>
        <v>SANUWAN</v>
      </c>
      <c r="H462" t="str">
        <f>Lembar2!H461</f>
        <v>NUR KADARSIH</v>
      </c>
      <c r="I462" t="e">
        <f>VLOOKUP(B462,Lembar1!A$4:H$175,8,FALSE)</f>
        <v>#N/A</v>
      </c>
      <c r="J462" t="str">
        <f>Lembar2!C461</f>
        <v>BMW - Azzumut Fatayat NU</v>
      </c>
    </row>
    <row r="463" spans="1:10" x14ac:dyDescent="0.25">
      <c r="A463">
        <v>688</v>
      </c>
      <c r="B463" t="str">
        <f>Lembar2!L462</f>
        <v>EBTAQ25-03.093</v>
      </c>
      <c r="C463" t="str">
        <f>Lembar2!D462</f>
        <v>USYAQIA MAULIDA</v>
      </c>
      <c r="D463" t="str">
        <f>Lembar2!I462</f>
        <v>Perempuan</v>
      </c>
      <c r="E463" t="str">
        <f>Lembar2!E462</f>
        <v>DEMAK</v>
      </c>
      <c r="F463" s="21">
        <f>Lembar2!F462</f>
        <v>41647</v>
      </c>
      <c r="G463" t="str">
        <f>Lembar2!G462</f>
        <v>ROHANI</v>
      </c>
      <c r="H463" t="str">
        <f>Lembar2!H462</f>
        <v>MUNASIROH</v>
      </c>
      <c r="I463" t="e">
        <f>VLOOKUP(B463,Lembar1!A$4:H$175,8,FALSE)</f>
        <v>#N/A</v>
      </c>
      <c r="J463" t="str">
        <f>Lembar2!C462</f>
        <v>BMW - Azzumut Fatayat NU</v>
      </c>
    </row>
    <row r="464" spans="1:10" x14ac:dyDescent="0.25">
      <c r="A464">
        <v>689</v>
      </c>
      <c r="B464" t="str">
        <f>Lembar2!L463</f>
        <v>EBTAQ25-01.327</v>
      </c>
      <c r="C464" t="str">
        <f>Lembar2!D463</f>
        <v>KIRANA ALMA SUSILO</v>
      </c>
      <c r="D464" t="str">
        <f>Lembar2!I463</f>
        <v>Perempuan</v>
      </c>
      <c r="E464" t="str">
        <f>Lembar2!E463</f>
        <v>DEMAK</v>
      </c>
      <c r="F464" s="21">
        <f>Lembar2!F463</f>
        <v>41965</v>
      </c>
      <c r="G464" t="str">
        <f>Lembar2!G463</f>
        <v>HERI SUSILO</v>
      </c>
      <c r="H464" t="str">
        <f>Lembar2!H463</f>
        <v>NUNIK PATRIANI</v>
      </c>
      <c r="I464" t="e">
        <f>VLOOKUP(B464,Lembar1!A$4:H$175,8,FALSE)</f>
        <v>#N/A</v>
      </c>
      <c r="J464" t="str">
        <f>Lembar2!C463</f>
        <v>Demak - TPQ ITSBATU TAQWA</v>
      </c>
    </row>
    <row r="465" spans="1:10" x14ac:dyDescent="0.25">
      <c r="A465">
        <v>690</v>
      </c>
      <c r="B465" t="str">
        <f>Lembar2!L464</f>
        <v>EBTAQ25-03.094</v>
      </c>
      <c r="C465" t="str">
        <f>Lembar2!D464</f>
        <v>DAFFA NAILUN NABHAN</v>
      </c>
      <c r="D465" t="str">
        <f>Lembar2!I464</f>
        <v>Laki-laki</v>
      </c>
      <c r="E465" t="str">
        <f>Lembar2!E464</f>
        <v>DEMAK</v>
      </c>
      <c r="F465" s="21">
        <f>Lembar2!F464</f>
        <v>41535</v>
      </c>
      <c r="G465" t="str">
        <f>Lembar2!G464</f>
        <v>AGUS SALIM</v>
      </c>
      <c r="H465" t="str">
        <f>Lembar2!H464</f>
        <v>ZULAITI</v>
      </c>
      <c r="I465" t="e">
        <f>VLOOKUP(B465,Lembar1!A$4:H$175,8,FALSE)</f>
        <v>#N/A</v>
      </c>
      <c r="J465" t="str">
        <f>Lembar2!C464</f>
        <v>BMW - Azzumut Fatayat NU</v>
      </c>
    </row>
    <row r="466" spans="1:10" x14ac:dyDescent="0.25">
      <c r="A466">
        <v>691</v>
      </c>
      <c r="B466" t="str">
        <f>Lembar2!L465</f>
        <v>EBTAQ25-01.328</v>
      </c>
      <c r="C466" t="str">
        <f>Lembar2!D465</f>
        <v>KIRANA ALMA SUSILO</v>
      </c>
      <c r="D466" t="str">
        <f>Lembar2!I465</f>
        <v>Perempuan</v>
      </c>
      <c r="E466" t="str">
        <f>Lembar2!E465</f>
        <v>DEMAK</v>
      </c>
      <c r="F466" s="21">
        <f>Lembar2!F465</f>
        <v>41965</v>
      </c>
      <c r="G466" t="str">
        <f>Lembar2!G465</f>
        <v>HERI SUSILO</v>
      </c>
      <c r="H466" t="str">
        <f>Lembar2!H465</f>
        <v>NUNIK PATRIANI</v>
      </c>
      <c r="I466" t="e">
        <f>VLOOKUP(B466,Lembar1!A$4:H$175,8,FALSE)</f>
        <v>#N/A</v>
      </c>
      <c r="J466" t="str">
        <f>Lembar2!C465</f>
        <v>Demak - TPQ ITSBATU TAQWA</v>
      </c>
    </row>
    <row r="467" spans="1:10" x14ac:dyDescent="0.25">
      <c r="A467">
        <v>692</v>
      </c>
      <c r="B467" t="str">
        <f>Lembar2!L466</f>
        <v>EBTAQ25-03.095</v>
      </c>
      <c r="C467" t="str">
        <f>Lembar2!D466</f>
        <v>MUHAMMAD AFFAN SYAKIR</v>
      </c>
      <c r="D467" t="str">
        <f>Lembar2!I466</f>
        <v>Laki-laki</v>
      </c>
      <c r="E467" t="str">
        <f>Lembar2!E466</f>
        <v>KUDUS</v>
      </c>
      <c r="F467" s="21">
        <f>Lembar2!F466</f>
        <v>42319</v>
      </c>
      <c r="G467" t="str">
        <f>Lembar2!G466</f>
        <v>AHMAD SYAKIR</v>
      </c>
      <c r="H467" t="str">
        <f>Lembar2!H466</f>
        <v>UMNIYATUL AZIZAH</v>
      </c>
      <c r="I467" t="e">
        <f>VLOOKUP(B467,Lembar1!A$4:H$175,8,FALSE)</f>
        <v>#N/A</v>
      </c>
      <c r="J467" t="str">
        <f>Lembar2!C466</f>
        <v>BMW - Azzumut Fatayat NU</v>
      </c>
    </row>
    <row r="468" spans="1:10" x14ac:dyDescent="0.25">
      <c r="A468">
        <v>693</v>
      </c>
      <c r="B468" t="str">
        <f>Lembar2!L467</f>
        <v>EBTAQ25-01.329</v>
      </c>
      <c r="C468" t="str">
        <f>Lembar2!D467</f>
        <v>KIRANA ALMA SUSILO</v>
      </c>
      <c r="D468" t="str">
        <f>Lembar2!I467</f>
        <v>Perempuan</v>
      </c>
      <c r="E468" t="str">
        <f>Lembar2!E467</f>
        <v>DEMAK</v>
      </c>
      <c r="F468" s="21">
        <f>Lembar2!F467</f>
        <v>41965</v>
      </c>
      <c r="G468" t="str">
        <f>Lembar2!G467</f>
        <v>HERI SUSILO</v>
      </c>
      <c r="H468" t="str">
        <f>Lembar2!H467</f>
        <v>NUNIK PATRIANI</v>
      </c>
      <c r="I468" t="e">
        <f>VLOOKUP(B468,Lembar1!A$4:H$175,8,FALSE)</f>
        <v>#N/A</v>
      </c>
      <c r="J468" t="str">
        <f>Lembar2!C467</f>
        <v>Demak - TPQ ITSBATU TAQWA</v>
      </c>
    </row>
    <row r="469" spans="1:10" x14ac:dyDescent="0.25">
      <c r="A469">
        <v>694</v>
      </c>
      <c r="B469" t="str">
        <f>Lembar2!L468</f>
        <v>EBTAQ25-01.330</v>
      </c>
      <c r="C469" t="str">
        <f>Lembar2!D468</f>
        <v>AZWA LAYYINATUS SALIMAH</v>
      </c>
      <c r="D469" t="str">
        <f>Lembar2!I468</f>
        <v>Perempuan</v>
      </c>
      <c r="E469" t="str">
        <f>Lembar2!E468</f>
        <v>DEMAK</v>
      </c>
      <c r="F469" s="21">
        <f>Lembar2!F468</f>
        <v>42588</v>
      </c>
      <c r="G469" t="str">
        <f>Lembar2!G468</f>
        <v>AGUS SALIM</v>
      </c>
      <c r="H469" t="str">
        <f>Lembar2!H468</f>
        <v>NUR FAIZAH</v>
      </c>
      <c r="I469" t="e">
        <f>VLOOKUP(B469,Lembar1!A$4:H$175,8,FALSE)</f>
        <v>#N/A</v>
      </c>
      <c r="J469" t="str">
        <f>Lembar2!C468</f>
        <v>Demak - TPQ ALHUSNA (MI)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E7836-5608-4EAE-A864-00EDFB41B9A3}">
  <dimension ref="A1:M468"/>
  <sheetViews>
    <sheetView topLeftCell="D164" workbookViewId="0">
      <selection activeCell="J181" sqref="J181"/>
    </sheetView>
  </sheetViews>
  <sheetFormatPr defaultRowHeight="15" x14ac:dyDescent="0.25"/>
  <cols>
    <col min="1" max="1" width="20" customWidth="1"/>
    <col min="2" max="2" width="11.140625" bestFit="1" customWidth="1"/>
    <col min="3" max="3" width="55.140625" customWidth="1"/>
    <col min="4" max="4" width="37" customWidth="1"/>
    <col min="5" max="5" width="41.85546875" customWidth="1"/>
    <col min="6" max="6" width="12" customWidth="1"/>
    <col min="7" max="7" width="32.42578125" customWidth="1"/>
    <col min="8" max="8" width="28.7109375" customWidth="1"/>
    <col min="9" max="9" width="18.28515625" customWidth="1"/>
    <col min="10" max="10" width="9.140625" customWidth="1"/>
    <col min="11" max="11" width="36.7109375" customWidth="1"/>
    <col min="12" max="12" width="14.85546875" bestFit="1" customWidth="1"/>
    <col min="13" max="13" width="90.140625" bestFit="1" customWidth="1"/>
  </cols>
  <sheetData>
    <row r="1" spans="1:13" ht="15.75" thickBot="1" x14ac:dyDescent="0.3">
      <c r="A1" s="45" t="s">
        <v>3004</v>
      </c>
      <c r="B1" s="46" t="s">
        <v>3005</v>
      </c>
      <c r="C1" s="46" t="s">
        <v>3006</v>
      </c>
      <c r="D1" s="46" t="s">
        <v>3007</v>
      </c>
      <c r="E1" s="46" t="s">
        <v>228</v>
      </c>
      <c r="F1" s="46" t="s">
        <v>903</v>
      </c>
      <c r="G1" s="46" t="s">
        <v>3008</v>
      </c>
      <c r="H1" s="46" t="s">
        <v>3009</v>
      </c>
      <c r="I1" s="46" t="s">
        <v>3010</v>
      </c>
      <c r="J1" s="46" t="s">
        <v>3011</v>
      </c>
      <c r="K1" s="46" t="s">
        <v>3012</v>
      </c>
      <c r="L1" s="46" t="s">
        <v>3013</v>
      </c>
      <c r="M1" s="47" t="s">
        <v>3014</v>
      </c>
    </row>
    <row r="2" spans="1:13" ht="15.75" thickBot="1" x14ac:dyDescent="0.3">
      <c r="A2" s="23">
        <v>45967.63175925926</v>
      </c>
      <c r="B2" s="24" t="s">
        <v>905</v>
      </c>
      <c r="C2" s="24" t="s">
        <v>7</v>
      </c>
      <c r="D2" s="24" t="s">
        <v>1</v>
      </c>
      <c r="E2" s="24" t="s">
        <v>3</v>
      </c>
      <c r="F2" s="25">
        <v>40885</v>
      </c>
      <c r="G2" s="24" t="s">
        <v>4</v>
      </c>
      <c r="H2" s="24" t="s">
        <v>5</v>
      </c>
      <c r="I2" s="24" t="s">
        <v>2</v>
      </c>
      <c r="J2" s="26" t="s">
        <v>906</v>
      </c>
      <c r="K2" s="24" t="s">
        <v>907</v>
      </c>
      <c r="L2" s="76" t="s">
        <v>0</v>
      </c>
      <c r="M2" s="27"/>
    </row>
    <row r="3" spans="1:13" ht="15.75" thickBot="1" x14ac:dyDescent="0.3">
      <c r="A3" s="28">
        <v>45968.450312499997</v>
      </c>
      <c r="B3" s="29" t="s">
        <v>10</v>
      </c>
      <c r="C3" s="29" t="s">
        <v>14</v>
      </c>
      <c r="D3" s="29" t="s">
        <v>9</v>
      </c>
      <c r="E3" s="29" t="s">
        <v>10</v>
      </c>
      <c r="F3" s="30">
        <v>42501</v>
      </c>
      <c r="G3" s="29" t="s">
        <v>11</v>
      </c>
      <c r="H3" s="29" t="s">
        <v>12</v>
      </c>
      <c r="I3" s="29" t="s">
        <v>2</v>
      </c>
      <c r="J3" s="31" t="s">
        <v>908</v>
      </c>
      <c r="K3" s="29" t="s">
        <v>909</v>
      </c>
      <c r="L3" s="77" t="s">
        <v>8</v>
      </c>
      <c r="M3" s="32" t="s">
        <v>910</v>
      </c>
    </row>
    <row r="4" spans="1:13" ht="15.75" thickBot="1" x14ac:dyDescent="0.3">
      <c r="A4" s="33">
        <v>45968.494699074072</v>
      </c>
      <c r="B4" s="34" t="s">
        <v>10</v>
      </c>
      <c r="C4" s="34" t="s">
        <v>14</v>
      </c>
      <c r="D4" s="34" t="s">
        <v>16</v>
      </c>
      <c r="E4" s="34" t="s">
        <v>10</v>
      </c>
      <c r="F4" s="35">
        <v>41776</v>
      </c>
      <c r="G4" s="34" t="s">
        <v>17</v>
      </c>
      <c r="H4" s="34" t="s">
        <v>18</v>
      </c>
      <c r="I4" s="34" t="s">
        <v>2</v>
      </c>
      <c r="J4" s="36" t="s">
        <v>911</v>
      </c>
      <c r="K4" s="34" t="s">
        <v>912</v>
      </c>
      <c r="L4" s="78" t="s">
        <v>15</v>
      </c>
      <c r="M4" s="37" t="s">
        <v>913</v>
      </c>
    </row>
    <row r="5" spans="1:13" ht="15.75" thickBot="1" x14ac:dyDescent="0.3">
      <c r="A5" s="28">
        <v>45969.375497685185</v>
      </c>
      <c r="B5" s="29" t="s">
        <v>10</v>
      </c>
      <c r="C5" s="29" t="s">
        <v>25</v>
      </c>
      <c r="D5" s="29" t="s">
        <v>21</v>
      </c>
      <c r="E5" s="29" t="s">
        <v>10</v>
      </c>
      <c r="F5" s="30">
        <v>42488</v>
      </c>
      <c r="G5" s="29" t="s">
        <v>22</v>
      </c>
      <c r="H5" s="29" t="s">
        <v>23</v>
      </c>
      <c r="I5" s="29" t="s">
        <v>2</v>
      </c>
      <c r="J5" s="31" t="s">
        <v>914</v>
      </c>
      <c r="K5" s="29" t="s">
        <v>915</v>
      </c>
      <c r="L5" s="77" t="s">
        <v>20</v>
      </c>
      <c r="M5" s="32" t="s">
        <v>916</v>
      </c>
    </row>
    <row r="6" spans="1:13" ht="15.75" thickBot="1" x14ac:dyDescent="0.3">
      <c r="A6" s="33">
        <v>45969.700949074075</v>
      </c>
      <c r="B6" s="34" t="s">
        <v>10</v>
      </c>
      <c r="C6" s="34" t="s">
        <v>25</v>
      </c>
      <c r="D6" s="34" t="s">
        <v>27</v>
      </c>
      <c r="E6" s="34" t="s">
        <v>28</v>
      </c>
      <c r="F6" s="35">
        <v>42037</v>
      </c>
      <c r="G6" s="34" t="s">
        <v>29</v>
      </c>
      <c r="H6" s="34" t="s">
        <v>30</v>
      </c>
      <c r="I6" s="34" t="s">
        <v>2</v>
      </c>
      <c r="J6" s="36" t="s">
        <v>917</v>
      </c>
      <c r="K6" s="34" t="s">
        <v>918</v>
      </c>
      <c r="L6" s="78" t="s">
        <v>26</v>
      </c>
      <c r="M6" s="37" t="s">
        <v>919</v>
      </c>
    </row>
    <row r="7" spans="1:13" ht="15.75" thickBot="1" x14ac:dyDescent="0.3">
      <c r="A7" s="28">
        <v>45969.707337962966</v>
      </c>
      <c r="B7" s="29" t="s">
        <v>10</v>
      </c>
      <c r="C7" s="29" t="s">
        <v>25</v>
      </c>
      <c r="D7" s="29" t="s">
        <v>33</v>
      </c>
      <c r="E7" s="29" t="s">
        <v>10</v>
      </c>
      <c r="F7" s="30">
        <v>42841</v>
      </c>
      <c r="G7" s="29" t="s">
        <v>34</v>
      </c>
      <c r="H7" s="29" t="s">
        <v>35</v>
      </c>
      <c r="I7" s="29" t="s">
        <v>2</v>
      </c>
      <c r="J7" s="31" t="s">
        <v>920</v>
      </c>
      <c r="K7" s="29" t="s">
        <v>921</v>
      </c>
      <c r="L7" s="77" t="s">
        <v>32</v>
      </c>
      <c r="M7" s="32" t="s">
        <v>922</v>
      </c>
    </row>
    <row r="8" spans="1:13" ht="15.75" thickBot="1" x14ac:dyDescent="0.3">
      <c r="A8" s="33">
        <v>45969.710358796299</v>
      </c>
      <c r="B8" s="34" t="s">
        <v>10</v>
      </c>
      <c r="C8" s="34" t="s">
        <v>25</v>
      </c>
      <c r="D8" s="34" t="s">
        <v>38</v>
      </c>
      <c r="E8" s="34" t="s">
        <v>10</v>
      </c>
      <c r="F8" s="35">
        <v>42307</v>
      </c>
      <c r="G8" s="34" t="s">
        <v>39</v>
      </c>
      <c r="H8" s="34" t="s">
        <v>40</v>
      </c>
      <c r="I8" s="34" t="s">
        <v>2</v>
      </c>
      <c r="J8" s="36" t="s">
        <v>923</v>
      </c>
      <c r="K8" s="34" t="s">
        <v>924</v>
      </c>
      <c r="L8" s="78" t="s">
        <v>37</v>
      </c>
      <c r="M8" s="37" t="s">
        <v>925</v>
      </c>
    </row>
    <row r="9" spans="1:13" ht="15.75" thickBot="1" x14ac:dyDescent="0.3">
      <c r="A9" s="28">
        <v>45969.712534722225</v>
      </c>
      <c r="B9" s="29" t="s">
        <v>10</v>
      </c>
      <c r="C9" s="29" t="s">
        <v>25</v>
      </c>
      <c r="D9" s="29" t="s">
        <v>43</v>
      </c>
      <c r="E9" s="29" t="s">
        <v>10</v>
      </c>
      <c r="F9" s="30">
        <v>42577</v>
      </c>
      <c r="G9" s="29" t="s">
        <v>44</v>
      </c>
      <c r="H9" s="29" t="s">
        <v>45</v>
      </c>
      <c r="I9" s="29" t="s">
        <v>2</v>
      </c>
      <c r="J9" s="31" t="s">
        <v>926</v>
      </c>
      <c r="K9" s="29" t="s">
        <v>927</v>
      </c>
      <c r="L9" s="77" t="s">
        <v>42</v>
      </c>
      <c r="M9" s="32" t="s">
        <v>928</v>
      </c>
    </row>
    <row r="10" spans="1:13" ht="15.75" thickBot="1" x14ac:dyDescent="0.3">
      <c r="A10" s="33">
        <v>45969.713819444441</v>
      </c>
      <c r="B10" s="34" t="s">
        <v>10</v>
      </c>
      <c r="C10" s="34" t="s">
        <v>25</v>
      </c>
      <c r="D10" s="34" t="s">
        <v>48</v>
      </c>
      <c r="E10" s="34" t="s">
        <v>10</v>
      </c>
      <c r="F10" s="35">
        <v>41482</v>
      </c>
      <c r="G10" s="34" t="s">
        <v>49</v>
      </c>
      <c r="H10" s="34" t="s">
        <v>50</v>
      </c>
      <c r="I10" s="34" t="s">
        <v>2</v>
      </c>
      <c r="J10" s="36" t="s">
        <v>929</v>
      </c>
      <c r="K10" s="34" t="s">
        <v>930</v>
      </c>
      <c r="L10" s="78" t="s">
        <v>47</v>
      </c>
      <c r="M10" s="37" t="s">
        <v>931</v>
      </c>
    </row>
    <row r="11" spans="1:13" ht="15.75" thickBot="1" x14ac:dyDescent="0.3">
      <c r="A11" s="28">
        <v>45969.722094907411</v>
      </c>
      <c r="B11" s="29" t="s">
        <v>10</v>
      </c>
      <c r="C11" s="29" t="s">
        <v>25</v>
      </c>
      <c r="D11" s="29" t="s">
        <v>53</v>
      </c>
      <c r="E11" s="29" t="s">
        <v>10</v>
      </c>
      <c r="F11" s="30">
        <v>42729</v>
      </c>
      <c r="G11" s="29" t="s">
        <v>54</v>
      </c>
      <c r="H11" s="29" t="s">
        <v>55</v>
      </c>
      <c r="I11" s="29" t="s">
        <v>2</v>
      </c>
      <c r="J11" s="31" t="s">
        <v>932</v>
      </c>
      <c r="K11" s="29" t="s">
        <v>933</v>
      </c>
      <c r="L11" s="77" t="s">
        <v>52</v>
      </c>
      <c r="M11" s="32" t="s">
        <v>934</v>
      </c>
    </row>
    <row r="12" spans="1:13" ht="15.75" thickBot="1" x14ac:dyDescent="0.3">
      <c r="A12" s="33">
        <v>45972.006180555552</v>
      </c>
      <c r="B12" s="34" t="s">
        <v>905</v>
      </c>
      <c r="C12" s="34" t="s">
        <v>63</v>
      </c>
      <c r="D12" s="34" t="s">
        <v>58</v>
      </c>
      <c r="E12" s="34" t="s">
        <v>59</v>
      </c>
      <c r="F12" s="35">
        <v>41853</v>
      </c>
      <c r="G12" s="34" t="s">
        <v>60</v>
      </c>
      <c r="H12" s="34" t="s">
        <v>61</v>
      </c>
      <c r="I12" s="34" t="s">
        <v>2</v>
      </c>
      <c r="J12" s="36" t="s">
        <v>935</v>
      </c>
      <c r="K12" s="34" t="s">
        <v>936</v>
      </c>
      <c r="L12" s="78" t="s">
        <v>57</v>
      </c>
      <c r="M12" s="37" t="s">
        <v>937</v>
      </c>
    </row>
    <row r="13" spans="1:13" ht="15.75" thickBot="1" x14ac:dyDescent="0.3">
      <c r="A13" s="28">
        <v>45972.035543981481</v>
      </c>
      <c r="B13" s="29" t="s">
        <v>905</v>
      </c>
      <c r="C13" s="29" t="s">
        <v>63</v>
      </c>
      <c r="D13" s="29" t="s">
        <v>65</v>
      </c>
      <c r="E13" s="29" t="s">
        <v>10</v>
      </c>
      <c r="F13" s="30">
        <v>41787</v>
      </c>
      <c r="G13" s="29" t="s">
        <v>67</v>
      </c>
      <c r="H13" s="29" t="s">
        <v>68</v>
      </c>
      <c r="I13" s="29" t="s">
        <v>66</v>
      </c>
      <c r="J13" s="31" t="s">
        <v>938</v>
      </c>
      <c r="K13" s="29" t="s">
        <v>939</v>
      </c>
      <c r="L13" s="77" t="s">
        <v>64</v>
      </c>
      <c r="M13" s="32" t="s">
        <v>940</v>
      </c>
    </row>
    <row r="14" spans="1:13" ht="15.75" thickBot="1" x14ac:dyDescent="0.3">
      <c r="A14" s="33">
        <v>45972.040833333333</v>
      </c>
      <c r="B14" s="34" t="s">
        <v>905</v>
      </c>
      <c r="C14" s="34" t="s">
        <v>63</v>
      </c>
      <c r="D14" s="34" t="s">
        <v>71</v>
      </c>
      <c r="E14" s="34" t="s">
        <v>59</v>
      </c>
      <c r="F14" s="35">
        <v>42271</v>
      </c>
      <c r="G14" s="34" t="s">
        <v>72</v>
      </c>
      <c r="H14" s="34" t="s">
        <v>73</v>
      </c>
      <c r="I14" s="34" t="s">
        <v>66</v>
      </c>
      <c r="J14" s="36" t="s">
        <v>941</v>
      </c>
      <c r="K14" s="34" t="s">
        <v>942</v>
      </c>
      <c r="L14" s="78" t="s">
        <v>70</v>
      </c>
      <c r="M14" s="37" t="s">
        <v>943</v>
      </c>
    </row>
    <row r="15" spans="1:13" ht="15.75" thickBot="1" x14ac:dyDescent="0.3">
      <c r="A15" s="28">
        <v>45972.04923611111</v>
      </c>
      <c r="B15" s="29" t="s">
        <v>905</v>
      </c>
      <c r="C15" s="29" t="s">
        <v>63</v>
      </c>
      <c r="D15" s="29" t="s">
        <v>76</v>
      </c>
      <c r="E15" s="29" t="s">
        <v>59</v>
      </c>
      <c r="F15" s="30">
        <v>42339</v>
      </c>
      <c r="G15" s="29" t="s">
        <v>77</v>
      </c>
      <c r="H15" s="29" t="s">
        <v>78</v>
      </c>
      <c r="I15" s="29" t="s">
        <v>66</v>
      </c>
      <c r="J15" s="31" t="s">
        <v>944</v>
      </c>
      <c r="K15" s="29" t="s">
        <v>945</v>
      </c>
      <c r="L15" s="77" t="s">
        <v>75</v>
      </c>
      <c r="M15" s="32" t="s">
        <v>946</v>
      </c>
    </row>
    <row r="16" spans="1:13" ht="15.75" thickBot="1" x14ac:dyDescent="0.3">
      <c r="A16" s="33">
        <v>45972.626597222225</v>
      </c>
      <c r="B16" s="34" t="s">
        <v>905</v>
      </c>
      <c r="C16" s="34" t="s">
        <v>63</v>
      </c>
      <c r="D16" s="34" t="s">
        <v>81</v>
      </c>
      <c r="E16" s="34" t="s">
        <v>10</v>
      </c>
      <c r="F16" s="35">
        <v>40717</v>
      </c>
      <c r="G16" s="34" t="s">
        <v>82</v>
      </c>
      <c r="H16" s="34" t="s">
        <v>83</v>
      </c>
      <c r="I16" s="34" t="s">
        <v>2</v>
      </c>
      <c r="J16" s="36" t="s">
        <v>947</v>
      </c>
      <c r="K16" s="34" t="s">
        <v>948</v>
      </c>
      <c r="L16" s="78" t="s">
        <v>80</v>
      </c>
      <c r="M16" s="37" t="s">
        <v>949</v>
      </c>
    </row>
    <row r="17" spans="1:13" ht="15.75" thickBot="1" x14ac:dyDescent="0.3">
      <c r="A17" s="28">
        <v>45972.647581018522</v>
      </c>
      <c r="B17" s="29" t="s">
        <v>905</v>
      </c>
      <c r="C17" s="29" t="s">
        <v>63</v>
      </c>
      <c r="D17" s="29" t="s">
        <v>86</v>
      </c>
      <c r="E17" s="29" t="s">
        <v>87</v>
      </c>
      <c r="F17" s="30">
        <v>41091</v>
      </c>
      <c r="G17" s="29" t="s">
        <v>88</v>
      </c>
      <c r="H17" s="29" t="s">
        <v>89</v>
      </c>
      <c r="I17" s="29" t="s">
        <v>66</v>
      </c>
      <c r="J17" s="31" t="s">
        <v>950</v>
      </c>
      <c r="K17" s="29" t="s">
        <v>951</v>
      </c>
      <c r="L17" s="77" t="s">
        <v>85</v>
      </c>
      <c r="M17" s="32" t="s">
        <v>952</v>
      </c>
    </row>
    <row r="18" spans="1:13" ht="15.75" thickBot="1" x14ac:dyDescent="0.3">
      <c r="A18" s="33">
        <v>45973.586828703701</v>
      </c>
      <c r="B18" s="34" t="s">
        <v>953</v>
      </c>
      <c r="C18" s="34" t="s">
        <v>96</v>
      </c>
      <c r="D18" s="34" t="s">
        <v>92</v>
      </c>
      <c r="E18" s="34" t="s">
        <v>10</v>
      </c>
      <c r="F18" s="35">
        <v>42899</v>
      </c>
      <c r="G18" s="34" t="s">
        <v>93</v>
      </c>
      <c r="H18" s="34" t="s">
        <v>94</v>
      </c>
      <c r="I18" s="34" t="s">
        <v>66</v>
      </c>
      <c r="J18" s="36" t="s">
        <v>954</v>
      </c>
      <c r="K18" s="34" t="s">
        <v>955</v>
      </c>
      <c r="L18" s="78" t="s">
        <v>956</v>
      </c>
      <c r="M18" s="37" t="s">
        <v>957</v>
      </c>
    </row>
    <row r="19" spans="1:13" ht="15.75" thickBot="1" x14ac:dyDescent="0.3">
      <c r="A19" s="28">
        <v>45973.845138888886</v>
      </c>
      <c r="B19" s="29" t="s">
        <v>953</v>
      </c>
      <c r="C19" s="29" t="s">
        <v>96</v>
      </c>
      <c r="D19" s="29" t="s">
        <v>98</v>
      </c>
      <c r="E19" s="29" t="s">
        <v>28</v>
      </c>
      <c r="F19" s="30">
        <v>42865</v>
      </c>
      <c r="G19" s="29" t="s">
        <v>99</v>
      </c>
      <c r="H19" s="29" t="s">
        <v>100</v>
      </c>
      <c r="I19" s="29" t="s">
        <v>2</v>
      </c>
      <c r="J19" s="31" t="s">
        <v>958</v>
      </c>
      <c r="K19" s="29" t="s">
        <v>959</v>
      </c>
      <c r="L19" s="77" t="s">
        <v>97</v>
      </c>
      <c r="M19" s="32" t="s">
        <v>960</v>
      </c>
    </row>
    <row r="20" spans="1:13" ht="15.75" thickBot="1" x14ac:dyDescent="0.3">
      <c r="A20" s="33">
        <v>45973.86513888889</v>
      </c>
      <c r="B20" s="34" t="s">
        <v>953</v>
      </c>
      <c r="C20" s="34" t="s">
        <v>96</v>
      </c>
      <c r="D20" s="34" t="s">
        <v>103</v>
      </c>
      <c r="E20" s="34" t="s">
        <v>104</v>
      </c>
      <c r="F20" s="35">
        <v>43137</v>
      </c>
      <c r="G20" s="34" t="s">
        <v>105</v>
      </c>
      <c r="H20" s="34" t="s">
        <v>106</v>
      </c>
      <c r="I20" s="34" t="s">
        <v>66</v>
      </c>
      <c r="J20" s="36" t="s">
        <v>961</v>
      </c>
      <c r="K20" s="34" t="s">
        <v>962</v>
      </c>
      <c r="L20" s="78" t="s">
        <v>102</v>
      </c>
      <c r="M20" s="37" t="s">
        <v>963</v>
      </c>
    </row>
    <row r="21" spans="1:13" ht="15.75" thickBot="1" x14ac:dyDescent="0.3">
      <c r="A21" s="28">
        <v>45982.340011574073</v>
      </c>
      <c r="B21" s="29" t="s">
        <v>10</v>
      </c>
      <c r="C21" s="29" t="s">
        <v>113</v>
      </c>
      <c r="D21" s="29" t="s">
        <v>964</v>
      </c>
      <c r="E21" s="29" t="s">
        <v>10</v>
      </c>
      <c r="F21" s="30">
        <v>41369</v>
      </c>
      <c r="G21" s="29" t="s">
        <v>965</v>
      </c>
      <c r="H21" s="29" t="s">
        <v>966</v>
      </c>
      <c r="I21" s="29" t="s">
        <v>66</v>
      </c>
      <c r="J21" s="31" t="s">
        <v>967</v>
      </c>
      <c r="K21" s="29" t="s">
        <v>968</v>
      </c>
      <c r="L21" s="77" t="s">
        <v>969</v>
      </c>
      <c r="M21" s="32" t="s">
        <v>970</v>
      </c>
    </row>
    <row r="22" spans="1:13" ht="15.75" thickBot="1" x14ac:dyDescent="0.3">
      <c r="A22" s="33">
        <v>45982.362615740742</v>
      </c>
      <c r="B22" s="34" t="s">
        <v>10</v>
      </c>
      <c r="C22" s="34" t="s">
        <v>113</v>
      </c>
      <c r="D22" s="34" t="s">
        <v>109</v>
      </c>
      <c r="E22" s="34" t="s">
        <v>59</v>
      </c>
      <c r="F22" s="35">
        <v>42563</v>
      </c>
      <c r="G22" s="34" t="s">
        <v>110</v>
      </c>
      <c r="H22" s="34" t="s">
        <v>111</v>
      </c>
      <c r="I22" s="34" t="s">
        <v>66</v>
      </c>
      <c r="J22" s="36" t="s">
        <v>971</v>
      </c>
      <c r="K22" s="34" t="s">
        <v>972</v>
      </c>
      <c r="L22" s="78" t="s">
        <v>108</v>
      </c>
      <c r="M22" s="37" t="s">
        <v>973</v>
      </c>
    </row>
    <row r="23" spans="1:13" ht="15.75" thickBot="1" x14ac:dyDescent="0.3">
      <c r="A23" s="28">
        <v>45982.36546296296</v>
      </c>
      <c r="B23" s="29" t="s">
        <v>10</v>
      </c>
      <c r="C23" s="29" t="s">
        <v>113</v>
      </c>
      <c r="D23" s="29" t="s">
        <v>115</v>
      </c>
      <c r="E23" s="29" t="s">
        <v>116</v>
      </c>
      <c r="F23" s="30">
        <v>42997</v>
      </c>
      <c r="G23" s="29" t="s">
        <v>117</v>
      </c>
      <c r="H23" s="29" t="s">
        <v>118</v>
      </c>
      <c r="I23" s="29" t="s">
        <v>2</v>
      </c>
      <c r="J23" s="31" t="s">
        <v>974</v>
      </c>
      <c r="K23" s="29" t="s">
        <v>975</v>
      </c>
      <c r="L23" s="77" t="s">
        <v>114</v>
      </c>
      <c r="M23" s="32" t="s">
        <v>976</v>
      </c>
    </row>
    <row r="24" spans="1:13" ht="15.75" thickBot="1" x14ac:dyDescent="0.3">
      <c r="A24" s="33">
        <v>45982.369421296295</v>
      </c>
      <c r="B24" s="34" t="s">
        <v>10</v>
      </c>
      <c r="C24" s="34" t="s">
        <v>113</v>
      </c>
      <c r="D24" s="34" t="s">
        <v>121</v>
      </c>
      <c r="E24" s="34" t="s">
        <v>28</v>
      </c>
      <c r="F24" s="35">
        <v>42812</v>
      </c>
      <c r="G24" s="34" t="s">
        <v>122</v>
      </c>
      <c r="H24" s="34" t="s">
        <v>123</v>
      </c>
      <c r="I24" s="34" t="s">
        <v>66</v>
      </c>
      <c r="J24" s="36" t="s">
        <v>977</v>
      </c>
      <c r="K24" s="34" t="s">
        <v>978</v>
      </c>
      <c r="L24" s="78" t="s">
        <v>120</v>
      </c>
      <c r="M24" s="37" t="s">
        <v>979</v>
      </c>
    </row>
    <row r="25" spans="1:13" ht="15.75" thickBot="1" x14ac:dyDescent="0.3">
      <c r="A25" s="28">
        <v>45982.370451388888</v>
      </c>
      <c r="B25" s="29" t="s">
        <v>10</v>
      </c>
      <c r="C25" s="29" t="s">
        <v>113</v>
      </c>
      <c r="D25" s="29" t="s">
        <v>126</v>
      </c>
      <c r="E25" s="29" t="s">
        <v>10</v>
      </c>
      <c r="F25" s="30">
        <v>42110</v>
      </c>
      <c r="G25" s="29" t="s">
        <v>127</v>
      </c>
      <c r="H25" s="29" t="s">
        <v>128</v>
      </c>
      <c r="I25" s="29" t="s">
        <v>66</v>
      </c>
      <c r="J25" s="31" t="s">
        <v>980</v>
      </c>
      <c r="K25" s="29" t="s">
        <v>981</v>
      </c>
      <c r="L25" s="77" t="s">
        <v>125</v>
      </c>
      <c r="M25" s="32" t="s">
        <v>982</v>
      </c>
    </row>
    <row r="26" spans="1:13" ht="15.75" thickBot="1" x14ac:dyDescent="0.3">
      <c r="A26" s="33">
        <v>45982.411944444444</v>
      </c>
      <c r="B26" s="34" t="s">
        <v>10</v>
      </c>
      <c r="C26" s="34" t="s">
        <v>113</v>
      </c>
      <c r="D26" s="34" t="s">
        <v>131</v>
      </c>
      <c r="E26" s="34" t="s">
        <v>28</v>
      </c>
      <c r="F26" s="35">
        <v>41369</v>
      </c>
      <c r="G26" s="34" t="s">
        <v>132</v>
      </c>
      <c r="H26" s="34" t="s">
        <v>133</v>
      </c>
      <c r="I26" s="34" t="s">
        <v>66</v>
      </c>
      <c r="J26" s="36" t="s">
        <v>983</v>
      </c>
      <c r="K26" s="34" t="s">
        <v>984</v>
      </c>
      <c r="L26" s="78" t="s">
        <v>130</v>
      </c>
      <c r="M26" s="37" t="s">
        <v>985</v>
      </c>
    </row>
    <row r="27" spans="1:13" ht="15.75" thickBot="1" x14ac:dyDescent="0.3">
      <c r="A27" s="28">
        <v>45985.321192129632</v>
      </c>
      <c r="B27" s="29" t="s">
        <v>10</v>
      </c>
      <c r="C27" s="29" t="s">
        <v>113</v>
      </c>
      <c r="D27" s="29" t="s">
        <v>136</v>
      </c>
      <c r="E27" s="29" t="s">
        <v>10</v>
      </c>
      <c r="F27" s="30">
        <v>42133</v>
      </c>
      <c r="G27" s="29" t="s">
        <v>137</v>
      </c>
      <c r="H27" s="29" t="s">
        <v>138</v>
      </c>
      <c r="I27" s="29" t="s">
        <v>66</v>
      </c>
      <c r="J27" s="31" t="s">
        <v>986</v>
      </c>
      <c r="K27" s="29" t="s">
        <v>987</v>
      </c>
      <c r="L27" s="77" t="s">
        <v>135</v>
      </c>
      <c r="M27" s="32" t="s">
        <v>988</v>
      </c>
    </row>
    <row r="28" spans="1:13" ht="15.75" thickBot="1" x14ac:dyDescent="0.3">
      <c r="A28" s="33">
        <v>45985.322523148148</v>
      </c>
      <c r="B28" s="34" t="s">
        <v>10</v>
      </c>
      <c r="C28" s="34" t="s">
        <v>113</v>
      </c>
      <c r="D28" s="34" t="s">
        <v>141</v>
      </c>
      <c r="E28" s="34" t="s">
        <v>10</v>
      </c>
      <c r="F28" s="35">
        <v>42970</v>
      </c>
      <c r="G28" s="34" t="s">
        <v>142</v>
      </c>
      <c r="H28" s="34" t="s">
        <v>143</v>
      </c>
      <c r="I28" s="34" t="s">
        <v>2</v>
      </c>
      <c r="J28" s="36" t="s">
        <v>989</v>
      </c>
      <c r="K28" s="34" t="s">
        <v>990</v>
      </c>
      <c r="L28" s="78" t="s">
        <v>140</v>
      </c>
      <c r="M28" s="37" t="s">
        <v>991</v>
      </c>
    </row>
    <row r="29" spans="1:13" ht="15.75" thickBot="1" x14ac:dyDescent="0.3">
      <c r="A29" s="28">
        <v>45985.365601851852</v>
      </c>
      <c r="B29" s="29" t="s">
        <v>10</v>
      </c>
      <c r="C29" s="29" t="s">
        <v>113</v>
      </c>
      <c r="D29" s="29" t="s">
        <v>146</v>
      </c>
      <c r="E29" s="29" t="s">
        <v>28</v>
      </c>
      <c r="F29" s="30">
        <v>42663</v>
      </c>
      <c r="G29" s="29" t="s">
        <v>147</v>
      </c>
      <c r="H29" s="29" t="s">
        <v>148</v>
      </c>
      <c r="I29" s="29" t="s">
        <v>66</v>
      </c>
      <c r="J29" s="31" t="s">
        <v>992</v>
      </c>
      <c r="K29" s="29" t="s">
        <v>993</v>
      </c>
      <c r="L29" s="77" t="s">
        <v>145</v>
      </c>
      <c r="M29" s="32" t="s">
        <v>994</v>
      </c>
    </row>
    <row r="30" spans="1:13" ht="15.75" thickBot="1" x14ac:dyDescent="0.3">
      <c r="A30" s="33">
        <v>45985.374259259261</v>
      </c>
      <c r="B30" s="34" t="s">
        <v>10</v>
      </c>
      <c r="C30" s="34" t="s">
        <v>113</v>
      </c>
      <c r="D30" s="34" t="s">
        <v>151</v>
      </c>
      <c r="E30" s="34" t="s">
        <v>10</v>
      </c>
      <c r="F30" s="35">
        <v>42181</v>
      </c>
      <c r="G30" s="34" t="s">
        <v>152</v>
      </c>
      <c r="H30" s="34" t="s">
        <v>153</v>
      </c>
      <c r="I30" s="34" t="s">
        <v>2</v>
      </c>
      <c r="J30" s="36" t="s">
        <v>995</v>
      </c>
      <c r="K30" s="34" t="s">
        <v>996</v>
      </c>
      <c r="L30" s="78" t="s">
        <v>150</v>
      </c>
      <c r="M30" s="37" t="s">
        <v>997</v>
      </c>
    </row>
    <row r="31" spans="1:13" ht="15.75" thickBot="1" x14ac:dyDescent="0.3">
      <c r="A31" s="28">
        <v>45994.211446759262</v>
      </c>
      <c r="B31" s="29" t="s">
        <v>998</v>
      </c>
      <c r="C31" s="29" t="s">
        <v>999</v>
      </c>
      <c r="D31" s="29" t="s">
        <v>156</v>
      </c>
      <c r="E31" s="29" t="s">
        <v>10</v>
      </c>
      <c r="F31" s="30">
        <v>42724</v>
      </c>
      <c r="G31" s="29" t="s">
        <v>157</v>
      </c>
      <c r="H31" s="29" t="s">
        <v>158</v>
      </c>
      <c r="I31" s="29" t="s">
        <v>66</v>
      </c>
      <c r="J31" s="31" t="s">
        <v>1000</v>
      </c>
      <c r="K31" s="29" t="s">
        <v>1001</v>
      </c>
      <c r="L31" s="77" t="s">
        <v>155</v>
      </c>
      <c r="M31" s="32" t="s">
        <v>1002</v>
      </c>
    </row>
    <row r="32" spans="1:13" ht="15.75" thickBot="1" x14ac:dyDescent="0.3">
      <c r="A32" s="33">
        <v>45994.268067129633</v>
      </c>
      <c r="B32" s="34" t="s">
        <v>998</v>
      </c>
      <c r="C32" s="34" t="s">
        <v>1003</v>
      </c>
      <c r="D32" s="34" t="s">
        <v>162</v>
      </c>
      <c r="E32" s="34" t="s">
        <v>10</v>
      </c>
      <c r="F32" s="35">
        <v>41707</v>
      </c>
      <c r="G32" s="34" t="s">
        <v>163</v>
      </c>
      <c r="H32" s="34" t="s">
        <v>164</v>
      </c>
      <c r="I32" s="34" t="s">
        <v>2</v>
      </c>
      <c r="J32" s="36" t="s">
        <v>1004</v>
      </c>
      <c r="K32" s="34" t="s">
        <v>1005</v>
      </c>
      <c r="L32" s="78" t="s">
        <v>161</v>
      </c>
      <c r="M32" s="37" t="s">
        <v>1006</v>
      </c>
    </row>
    <row r="33" spans="1:13" ht="15.75" thickBot="1" x14ac:dyDescent="0.3">
      <c r="A33" s="28">
        <v>45994.39234953704</v>
      </c>
      <c r="B33" s="29" t="s">
        <v>998</v>
      </c>
      <c r="C33" s="29" t="s">
        <v>1007</v>
      </c>
      <c r="D33" s="29" t="s">
        <v>167</v>
      </c>
      <c r="E33" s="29" t="s">
        <v>59</v>
      </c>
      <c r="F33" s="30">
        <v>42459</v>
      </c>
      <c r="G33" s="29" t="s">
        <v>168</v>
      </c>
      <c r="H33" s="29" t="s">
        <v>169</v>
      </c>
      <c r="I33" s="29" t="s">
        <v>66</v>
      </c>
      <c r="J33" s="31" t="s">
        <v>1008</v>
      </c>
      <c r="K33" s="29" t="s">
        <v>1009</v>
      </c>
      <c r="L33" s="77" t="s">
        <v>166</v>
      </c>
      <c r="M33" s="32" t="s">
        <v>1010</v>
      </c>
    </row>
    <row r="34" spans="1:13" ht="15.75" thickBot="1" x14ac:dyDescent="0.3">
      <c r="A34" s="33">
        <v>45994.396053240744</v>
      </c>
      <c r="B34" s="34" t="s">
        <v>998</v>
      </c>
      <c r="C34" s="34" t="s">
        <v>1011</v>
      </c>
      <c r="D34" s="34" t="s">
        <v>172</v>
      </c>
      <c r="E34" s="34" t="s">
        <v>10</v>
      </c>
      <c r="F34" s="35">
        <v>42225</v>
      </c>
      <c r="G34" s="34" t="s">
        <v>173</v>
      </c>
      <c r="H34" s="34" t="s">
        <v>174</v>
      </c>
      <c r="I34" s="34" t="s">
        <v>2</v>
      </c>
      <c r="J34" s="36" t="s">
        <v>1012</v>
      </c>
      <c r="K34" s="34" t="s">
        <v>1013</v>
      </c>
      <c r="L34" s="78" t="s">
        <v>171</v>
      </c>
      <c r="M34" s="37" t="s">
        <v>1014</v>
      </c>
    </row>
    <row r="35" spans="1:13" ht="15.75" thickBot="1" x14ac:dyDescent="0.3">
      <c r="A35" s="28">
        <v>45994.435069444444</v>
      </c>
      <c r="B35" s="29" t="s">
        <v>998</v>
      </c>
      <c r="C35" s="29" t="s">
        <v>1015</v>
      </c>
      <c r="D35" s="29" t="s">
        <v>177</v>
      </c>
      <c r="E35" s="29" t="s">
        <v>10</v>
      </c>
      <c r="F35" s="30">
        <v>41509</v>
      </c>
      <c r="G35" s="29" t="s">
        <v>178</v>
      </c>
      <c r="H35" s="29" t="s">
        <v>179</v>
      </c>
      <c r="I35" s="29" t="s">
        <v>2</v>
      </c>
      <c r="J35" s="31" t="s">
        <v>1016</v>
      </c>
      <c r="K35" s="29" t="s">
        <v>1017</v>
      </c>
      <c r="L35" s="77" t="s">
        <v>176</v>
      </c>
      <c r="M35" s="32" t="s">
        <v>1018</v>
      </c>
    </row>
    <row r="36" spans="1:13" ht="15.75" thickBot="1" x14ac:dyDescent="0.3">
      <c r="A36" s="33">
        <v>45994.674849537034</v>
      </c>
      <c r="B36" s="34" t="s">
        <v>998</v>
      </c>
      <c r="C36" s="34" t="s">
        <v>1019</v>
      </c>
      <c r="D36" s="34" t="s">
        <v>182</v>
      </c>
      <c r="E36" s="34" t="s">
        <v>59</v>
      </c>
      <c r="F36" s="35">
        <v>42122</v>
      </c>
      <c r="G36" s="34" t="s">
        <v>183</v>
      </c>
      <c r="H36" s="34" t="s">
        <v>184</v>
      </c>
      <c r="I36" s="34" t="s">
        <v>66</v>
      </c>
      <c r="J36" s="36" t="s">
        <v>1020</v>
      </c>
      <c r="K36" s="34" t="s">
        <v>1021</v>
      </c>
      <c r="L36" s="78" t="s">
        <v>181</v>
      </c>
      <c r="M36" s="37" t="s">
        <v>1022</v>
      </c>
    </row>
    <row r="37" spans="1:13" ht="15.75" thickBot="1" x14ac:dyDescent="0.3">
      <c r="A37" s="28">
        <v>45994.959675925929</v>
      </c>
      <c r="B37" s="29" t="s">
        <v>998</v>
      </c>
      <c r="C37" s="29" t="s">
        <v>1023</v>
      </c>
      <c r="D37" s="29" t="s">
        <v>187</v>
      </c>
      <c r="E37" s="29" t="s">
        <v>10</v>
      </c>
      <c r="F37" s="30">
        <v>42604</v>
      </c>
      <c r="G37" s="29" t="s">
        <v>188</v>
      </c>
      <c r="H37" s="29" t="s">
        <v>189</v>
      </c>
      <c r="I37" s="29" t="s">
        <v>2</v>
      </c>
      <c r="J37" s="31" t="s">
        <v>1024</v>
      </c>
      <c r="K37" s="29" t="s">
        <v>1025</v>
      </c>
      <c r="L37" s="77" t="s">
        <v>186</v>
      </c>
      <c r="M37" s="32" t="s">
        <v>1026</v>
      </c>
    </row>
    <row r="38" spans="1:13" ht="15.75" thickBot="1" x14ac:dyDescent="0.3">
      <c r="A38" s="67">
        <v>45995.388495370367</v>
      </c>
      <c r="B38" s="68" t="s">
        <v>998</v>
      </c>
      <c r="C38" s="68" t="s">
        <v>214</v>
      </c>
      <c r="D38" s="68" t="s">
        <v>1027</v>
      </c>
      <c r="E38" s="68" t="s">
        <v>10</v>
      </c>
      <c r="F38" s="69">
        <v>42109</v>
      </c>
      <c r="G38" s="68" t="s">
        <v>1028</v>
      </c>
      <c r="H38" s="68" t="s">
        <v>1029</v>
      </c>
      <c r="I38" s="68" t="s">
        <v>2</v>
      </c>
      <c r="J38" s="70" t="s">
        <v>1030</v>
      </c>
      <c r="K38" s="68" t="s">
        <v>1031</v>
      </c>
      <c r="L38" s="79" t="s">
        <v>3116</v>
      </c>
      <c r="M38" s="71"/>
    </row>
    <row r="39" spans="1:13" ht="15.75" thickBot="1" x14ac:dyDescent="0.3">
      <c r="A39" s="28">
        <v>45995.459837962961</v>
      </c>
      <c r="B39" s="29" t="s">
        <v>953</v>
      </c>
      <c r="C39" s="29" t="s">
        <v>196</v>
      </c>
      <c r="D39" s="29" t="s">
        <v>192</v>
      </c>
      <c r="E39" s="29" t="s">
        <v>28</v>
      </c>
      <c r="F39" s="30">
        <v>42532</v>
      </c>
      <c r="G39" s="29" t="s">
        <v>193</v>
      </c>
      <c r="H39" s="29" t="s">
        <v>194</v>
      </c>
      <c r="I39" s="29" t="s">
        <v>2</v>
      </c>
      <c r="J39" s="31" t="s">
        <v>1032</v>
      </c>
      <c r="K39" s="29" t="s">
        <v>1033</v>
      </c>
      <c r="L39" s="77" t="s">
        <v>191</v>
      </c>
      <c r="M39" s="32" t="s">
        <v>1034</v>
      </c>
    </row>
    <row r="40" spans="1:13" ht="15.75" thickBot="1" x14ac:dyDescent="0.3">
      <c r="A40" s="33">
        <v>45995.466990740744</v>
      </c>
      <c r="B40" s="34" t="s">
        <v>953</v>
      </c>
      <c r="C40" s="34" t="s">
        <v>196</v>
      </c>
      <c r="D40" s="34" t="s">
        <v>198</v>
      </c>
      <c r="E40" s="34" t="s">
        <v>28</v>
      </c>
      <c r="F40" s="35">
        <v>42553</v>
      </c>
      <c r="G40" s="34" t="s">
        <v>199</v>
      </c>
      <c r="H40" s="34" t="s">
        <v>200</v>
      </c>
      <c r="I40" s="34" t="s">
        <v>2</v>
      </c>
      <c r="J40" s="36" t="s">
        <v>1035</v>
      </c>
      <c r="K40" s="34" t="s">
        <v>1036</v>
      </c>
      <c r="L40" s="78" t="s">
        <v>197</v>
      </c>
      <c r="M40" s="37" t="s">
        <v>1037</v>
      </c>
    </row>
    <row r="41" spans="1:13" ht="15.75" thickBot="1" x14ac:dyDescent="0.3">
      <c r="A41" s="72">
        <v>45995.532337962963</v>
      </c>
      <c r="B41" s="73" t="s">
        <v>998</v>
      </c>
      <c r="C41" s="73" t="s">
        <v>1038</v>
      </c>
      <c r="D41" s="73" t="s">
        <v>1039</v>
      </c>
      <c r="E41" s="73" t="s">
        <v>28</v>
      </c>
      <c r="F41" s="74">
        <v>42109</v>
      </c>
      <c r="G41" s="73" t="s">
        <v>1040</v>
      </c>
      <c r="H41" s="73" t="s">
        <v>1041</v>
      </c>
      <c r="I41" s="73" t="s">
        <v>2</v>
      </c>
      <c r="J41" s="75" t="s">
        <v>1042</v>
      </c>
      <c r="K41" s="73" t="s">
        <v>1043</v>
      </c>
      <c r="L41" s="80" t="s">
        <v>3117</v>
      </c>
      <c r="M41" s="71"/>
    </row>
    <row r="42" spans="1:13" ht="15.75" thickBot="1" x14ac:dyDescent="0.3">
      <c r="A42" s="67">
        <v>45995.542094907411</v>
      </c>
      <c r="B42" s="68" t="s">
        <v>998</v>
      </c>
      <c r="C42" s="68" t="s">
        <v>1038</v>
      </c>
      <c r="D42" s="68" t="s">
        <v>1044</v>
      </c>
      <c r="E42" s="68" t="s">
        <v>402</v>
      </c>
      <c r="F42" s="69">
        <v>42349</v>
      </c>
      <c r="G42" s="68" t="s">
        <v>1045</v>
      </c>
      <c r="H42" s="68" t="s">
        <v>1046</v>
      </c>
      <c r="I42" s="68" t="s">
        <v>2</v>
      </c>
      <c r="J42" s="70" t="s">
        <v>1047</v>
      </c>
      <c r="K42" s="68" t="s">
        <v>1048</v>
      </c>
      <c r="L42" s="79" t="s">
        <v>3118</v>
      </c>
      <c r="M42" s="71"/>
    </row>
    <row r="43" spans="1:13" ht="15.75" thickBot="1" x14ac:dyDescent="0.3">
      <c r="A43" s="72">
        <v>45995.547974537039</v>
      </c>
      <c r="B43" s="73" t="s">
        <v>998</v>
      </c>
      <c r="C43" s="73" t="s">
        <v>1038</v>
      </c>
      <c r="D43" s="73" t="s">
        <v>1049</v>
      </c>
      <c r="E43" s="73" t="s">
        <v>28</v>
      </c>
      <c r="F43" s="74">
        <v>42330</v>
      </c>
      <c r="G43" s="73" t="s">
        <v>1050</v>
      </c>
      <c r="H43" s="73" t="s">
        <v>1041</v>
      </c>
      <c r="I43" s="73" t="s">
        <v>2</v>
      </c>
      <c r="J43" s="75" t="s">
        <v>1051</v>
      </c>
      <c r="K43" s="73" t="s">
        <v>1052</v>
      </c>
      <c r="L43" s="80" t="s">
        <v>3119</v>
      </c>
      <c r="M43" s="71"/>
    </row>
    <row r="44" spans="1:13" ht="15.75" thickBot="1" x14ac:dyDescent="0.3">
      <c r="A44" s="67">
        <v>45995.551724537036</v>
      </c>
      <c r="B44" s="68" t="s">
        <v>998</v>
      </c>
      <c r="C44" s="68" t="s">
        <v>1038</v>
      </c>
      <c r="D44" s="68" t="s">
        <v>1053</v>
      </c>
      <c r="E44" s="68" t="s">
        <v>28</v>
      </c>
      <c r="F44" s="69">
        <v>42546</v>
      </c>
      <c r="G44" s="68" t="s">
        <v>1054</v>
      </c>
      <c r="H44" s="68" t="s">
        <v>1055</v>
      </c>
      <c r="I44" s="68" t="s">
        <v>2</v>
      </c>
      <c r="J44" s="70" t="s">
        <v>1056</v>
      </c>
      <c r="K44" s="68" t="s">
        <v>1057</v>
      </c>
      <c r="L44" s="79" t="s">
        <v>3120</v>
      </c>
      <c r="M44" s="71"/>
    </row>
    <row r="45" spans="1:13" ht="15.75" thickBot="1" x14ac:dyDescent="0.3">
      <c r="A45" s="72">
        <v>45995.555648148147</v>
      </c>
      <c r="B45" s="73" t="s">
        <v>998</v>
      </c>
      <c r="C45" s="73" t="s">
        <v>1038</v>
      </c>
      <c r="D45" s="73" t="s">
        <v>1058</v>
      </c>
      <c r="E45" s="73" t="s">
        <v>28</v>
      </c>
      <c r="F45" s="74">
        <v>42668</v>
      </c>
      <c r="G45" s="73" t="s">
        <v>1059</v>
      </c>
      <c r="H45" s="73" t="s">
        <v>1060</v>
      </c>
      <c r="I45" s="73" t="s">
        <v>2</v>
      </c>
      <c r="J45" s="75" t="s">
        <v>1061</v>
      </c>
      <c r="K45" s="73" t="s">
        <v>1062</v>
      </c>
      <c r="L45" s="80" t="s">
        <v>3121</v>
      </c>
      <c r="M45" s="71"/>
    </row>
    <row r="46" spans="1:13" ht="15.75" thickBot="1" x14ac:dyDescent="0.3">
      <c r="A46" s="67">
        <v>45995.68172453704</v>
      </c>
      <c r="B46" s="68" t="s">
        <v>998</v>
      </c>
      <c r="C46" s="68" t="s">
        <v>1038</v>
      </c>
      <c r="D46" s="68" t="s">
        <v>1063</v>
      </c>
      <c r="E46" s="68" t="s">
        <v>204</v>
      </c>
      <c r="F46" s="69">
        <v>42393</v>
      </c>
      <c r="G46" s="68" t="s">
        <v>1064</v>
      </c>
      <c r="H46" s="68" t="s">
        <v>1065</v>
      </c>
      <c r="I46" s="68" t="s">
        <v>2</v>
      </c>
      <c r="J46" s="70" t="s">
        <v>1066</v>
      </c>
      <c r="K46" s="68" t="s">
        <v>1067</v>
      </c>
      <c r="L46" s="79" t="s">
        <v>3122</v>
      </c>
      <c r="M46" s="71"/>
    </row>
    <row r="47" spans="1:13" ht="15.75" thickBot="1" x14ac:dyDescent="0.3">
      <c r="A47" s="28">
        <v>45996.636250000003</v>
      </c>
      <c r="B47" s="29" t="s">
        <v>10</v>
      </c>
      <c r="C47" s="29" t="s">
        <v>208</v>
      </c>
      <c r="D47" s="29" t="s">
        <v>203</v>
      </c>
      <c r="E47" s="29" t="s">
        <v>204</v>
      </c>
      <c r="F47" s="30">
        <v>41794</v>
      </c>
      <c r="G47" s="29" t="s">
        <v>205</v>
      </c>
      <c r="H47" s="29" t="s">
        <v>206</v>
      </c>
      <c r="I47" s="29" t="s">
        <v>2</v>
      </c>
      <c r="J47" s="31" t="s">
        <v>1068</v>
      </c>
      <c r="K47" s="29" t="s">
        <v>1069</v>
      </c>
      <c r="L47" s="77" t="s">
        <v>202</v>
      </c>
      <c r="M47" s="32" t="s">
        <v>1070</v>
      </c>
    </row>
    <row r="48" spans="1:13" ht="15.75" thickBot="1" x14ac:dyDescent="0.3">
      <c r="A48" s="67">
        <v>45997.35125</v>
      </c>
      <c r="B48" s="68" t="s">
        <v>998</v>
      </c>
      <c r="C48" s="68" t="s">
        <v>1071</v>
      </c>
      <c r="D48" s="68" t="s">
        <v>1072</v>
      </c>
      <c r="E48" s="68" t="s">
        <v>1073</v>
      </c>
      <c r="F48" s="69">
        <v>42133</v>
      </c>
      <c r="G48" s="68" t="s">
        <v>1074</v>
      </c>
      <c r="H48" s="68" t="s">
        <v>1075</v>
      </c>
      <c r="I48" s="68" t="s">
        <v>66</v>
      </c>
      <c r="J48" s="70" t="s">
        <v>1076</v>
      </c>
      <c r="K48" s="68" t="s">
        <v>1077</v>
      </c>
      <c r="L48" s="79" t="s">
        <v>3123</v>
      </c>
      <c r="M48" s="71"/>
    </row>
    <row r="49" spans="1:13" ht="15.75" thickBot="1" x14ac:dyDescent="0.3">
      <c r="A49" s="28">
        <v>45998.481851851851</v>
      </c>
      <c r="B49" s="29" t="s">
        <v>10</v>
      </c>
      <c r="C49" s="29" t="s">
        <v>214</v>
      </c>
      <c r="D49" s="29" t="s">
        <v>210</v>
      </c>
      <c r="E49" s="29" t="s">
        <v>10</v>
      </c>
      <c r="F49" s="30">
        <v>42114</v>
      </c>
      <c r="G49" s="29" t="s">
        <v>211</v>
      </c>
      <c r="H49" s="29" t="s">
        <v>212</v>
      </c>
      <c r="I49" s="29" t="s">
        <v>2</v>
      </c>
      <c r="J49" s="31" t="s">
        <v>1078</v>
      </c>
      <c r="K49" s="29" t="s">
        <v>1079</v>
      </c>
      <c r="L49" s="77" t="s">
        <v>209</v>
      </c>
      <c r="M49" s="32" t="s">
        <v>1080</v>
      </c>
    </row>
    <row r="50" spans="1:13" ht="15.75" thickBot="1" x14ac:dyDescent="0.3">
      <c r="A50" s="67">
        <v>45998.487858796296</v>
      </c>
      <c r="B50" s="68" t="s">
        <v>998</v>
      </c>
      <c r="C50" s="68" t="s">
        <v>214</v>
      </c>
      <c r="D50" s="68" t="s">
        <v>1081</v>
      </c>
      <c r="E50" s="68" t="s">
        <v>1082</v>
      </c>
      <c r="F50" s="69">
        <v>42716</v>
      </c>
      <c r="G50" s="68" t="s">
        <v>1083</v>
      </c>
      <c r="H50" s="68" t="s">
        <v>1084</v>
      </c>
      <c r="I50" s="68" t="s">
        <v>2</v>
      </c>
      <c r="J50" s="70" t="s">
        <v>1085</v>
      </c>
      <c r="K50" s="68" t="s">
        <v>1086</v>
      </c>
      <c r="L50" s="79" t="s">
        <v>3124</v>
      </c>
      <c r="M50" s="71"/>
    </row>
    <row r="51" spans="1:13" ht="15.75" thickBot="1" x14ac:dyDescent="0.3">
      <c r="A51" s="72">
        <v>45998.494745370372</v>
      </c>
      <c r="B51" s="73" t="s">
        <v>998</v>
      </c>
      <c r="C51" s="73" t="s">
        <v>214</v>
      </c>
      <c r="D51" s="73" t="s">
        <v>1087</v>
      </c>
      <c r="E51" s="73" t="s">
        <v>59</v>
      </c>
      <c r="F51" s="74">
        <v>41811</v>
      </c>
      <c r="G51" s="73" t="s">
        <v>1088</v>
      </c>
      <c r="H51" s="73" t="s">
        <v>1089</v>
      </c>
      <c r="I51" s="73" t="s">
        <v>2</v>
      </c>
      <c r="J51" s="75" t="s">
        <v>1090</v>
      </c>
      <c r="K51" s="73" t="s">
        <v>1091</v>
      </c>
      <c r="L51" s="80" t="s">
        <v>3125</v>
      </c>
      <c r="M51" s="71"/>
    </row>
    <row r="52" spans="1:13" ht="15.75" thickBot="1" x14ac:dyDescent="0.3">
      <c r="A52" s="67">
        <v>45998.554293981484</v>
      </c>
      <c r="B52" s="68" t="s">
        <v>998</v>
      </c>
      <c r="C52" s="68" t="s">
        <v>214</v>
      </c>
      <c r="D52" s="68" t="s">
        <v>1092</v>
      </c>
      <c r="E52" s="68" t="s">
        <v>10</v>
      </c>
      <c r="F52" s="69">
        <v>42129</v>
      </c>
      <c r="G52" s="68" t="s">
        <v>1093</v>
      </c>
      <c r="H52" s="68" t="s">
        <v>1094</v>
      </c>
      <c r="I52" s="68" t="s">
        <v>2</v>
      </c>
      <c r="J52" s="70" t="s">
        <v>1095</v>
      </c>
      <c r="K52" s="68" t="s">
        <v>1096</v>
      </c>
      <c r="L52" s="79" t="s">
        <v>3126</v>
      </c>
      <c r="M52" s="71"/>
    </row>
    <row r="53" spans="1:13" ht="15.75" thickBot="1" x14ac:dyDescent="0.3">
      <c r="A53" s="28">
        <v>45998.556921296295</v>
      </c>
      <c r="B53" s="29" t="s">
        <v>10</v>
      </c>
      <c r="C53" s="29" t="s">
        <v>214</v>
      </c>
      <c r="D53" s="29" t="s">
        <v>216</v>
      </c>
      <c r="E53" s="29" t="s">
        <v>204</v>
      </c>
      <c r="F53" s="30">
        <v>42354</v>
      </c>
      <c r="G53" s="29" t="s">
        <v>217</v>
      </c>
      <c r="H53" s="29" t="s">
        <v>218</v>
      </c>
      <c r="I53" s="29" t="s">
        <v>2</v>
      </c>
      <c r="J53" s="31" t="s">
        <v>1097</v>
      </c>
      <c r="K53" s="29" t="s">
        <v>1098</v>
      </c>
      <c r="L53" s="77" t="s">
        <v>215</v>
      </c>
      <c r="M53" s="32" t="s">
        <v>1099</v>
      </c>
    </row>
    <row r="54" spans="1:13" ht="15.75" thickBot="1" x14ac:dyDescent="0.3">
      <c r="A54" s="33">
        <v>45998.580891203703</v>
      </c>
      <c r="B54" s="34" t="s">
        <v>10</v>
      </c>
      <c r="C54" s="34" t="s">
        <v>214</v>
      </c>
      <c r="D54" s="34" t="s">
        <v>221</v>
      </c>
      <c r="E54" s="34" t="s">
        <v>10</v>
      </c>
      <c r="F54" s="35">
        <v>42259</v>
      </c>
      <c r="G54" s="34" t="s">
        <v>222</v>
      </c>
      <c r="H54" s="34" t="s">
        <v>223</v>
      </c>
      <c r="I54" s="34" t="s">
        <v>66</v>
      </c>
      <c r="J54" s="36" t="s">
        <v>1100</v>
      </c>
      <c r="K54" s="34" t="s">
        <v>1101</v>
      </c>
      <c r="L54" s="78" t="s">
        <v>220</v>
      </c>
      <c r="M54" s="37" t="s">
        <v>1102</v>
      </c>
    </row>
    <row r="55" spans="1:13" ht="15.75" thickBot="1" x14ac:dyDescent="0.3">
      <c r="A55" s="28">
        <v>45998.639537037037</v>
      </c>
      <c r="B55" s="29" t="s">
        <v>10</v>
      </c>
      <c r="C55" s="29" t="s">
        <v>214</v>
      </c>
      <c r="D55" s="29" t="s">
        <v>234</v>
      </c>
      <c r="E55" s="29" t="s">
        <v>10</v>
      </c>
      <c r="F55" s="30">
        <v>42259</v>
      </c>
      <c r="G55" s="29" t="s">
        <v>222</v>
      </c>
      <c r="H55" s="29" t="s">
        <v>235</v>
      </c>
      <c r="I55" s="29" t="s">
        <v>66</v>
      </c>
      <c r="J55" s="31" t="s">
        <v>1103</v>
      </c>
      <c r="K55" s="29" t="s">
        <v>1104</v>
      </c>
      <c r="L55" s="77" t="s">
        <v>233</v>
      </c>
      <c r="M55" s="32" t="s">
        <v>1105</v>
      </c>
    </row>
    <row r="56" spans="1:13" ht="15.75" thickBot="1" x14ac:dyDescent="0.3">
      <c r="A56" s="33">
        <v>45998.649305555555</v>
      </c>
      <c r="B56" s="34" t="s">
        <v>10</v>
      </c>
      <c r="C56" s="34" t="s">
        <v>214</v>
      </c>
      <c r="D56" s="34" t="s">
        <v>238</v>
      </c>
      <c r="E56" s="34" t="s">
        <v>28</v>
      </c>
      <c r="F56" s="35">
        <v>42347</v>
      </c>
      <c r="G56" s="34" t="s">
        <v>239</v>
      </c>
      <c r="H56" s="34" t="s">
        <v>240</v>
      </c>
      <c r="I56" s="34" t="s">
        <v>66</v>
      </c>
      <c r="J56" s="36" t="s">
        <v>1106</v>
      </c>
      <c r="K56" s="34" t="s">
        <v>1107</v>
      </c>
      <c r="L56" s="78" t="s">
        <v>237</v>
      </c>
      <c r="M56" s="37" t="s">
        <v>1108</v>
      </c>
    </row>
    <row r="57" spans="1:13" ht="15.75" thickBot="1" x14ac:dyDescent="0.3">
      <c r="A57" s="28">
        <v>45998.668078703704</v>
      </c>
      <c r="B57" s="29" t="s">
        <v>10</v>
      </c>
      <c r="C57" s="29" t="s">
        <v>214</v>
      </c>
      <c r="D57" s="29" t="s">
        <v>243</v>
      </c>
      <c r="E57" s="29" t="s">
        <v>10</v>
      </c>
      <c r="F57" s="30">
        <v>42347</v>
      </c>
      <c r="G57" s="29" t="s">
        <v>222</v>
      </c>
      <c r="H57" s="29" t="s">
        <v>244</v>
      </c>
      <c r="I57" s="29" t="s">
        <v>66</v>
      </c>
      <c r="J57" s="31" t="s">
        <v>1109</v>
      </c>
      <c r="K57" s="29" t="s">
        <v>1110</v>
      </c>
      <c r="L57" s="77" t="s">
        <v>242</v>
      </c>
      <c r="M57" s="32" t="s">
        <v>1111</v>
      </c>
    </row>
    <row r="58" spans="1:13" ht="15.75" thickBot="1" x14ac:dyDescent="0.3">
      <c r="A58" s="33">
        <v>45998.670555555553</v>
      </c>
      <c r="B58" s="34" t="s">
        <v>10</v>
      </c>
      <c r="C58" s="34" t="s">
        <v>214</v>
      </c>
      <c r="D58" s="34" t="s">
        <v>247</v>
      </c>
      <c r="E58" s="34" t="s">
        <v>10</v>
      </c>
      <c r="F58" s="35">
        <v>42217</v>
      </c>
      <c r="G58" s="34" t="s">
        <v>248</v>
      </c>
      <c r="H58" s="34" t="s">
        <v>249</v>
      </c>
      <c r="I58" s="34" t="s">
        <v>66</v>
      </c>
      <c r="J58" s="36" t="s">
        <v>1112</v>
      </c>
      <c r="K58" s="34" t="s">
        <v>1113</v>
      </c>
      <c r="L58" s="78" t="s">
        <v>246</v>
      </c>
      <c r="M58" s="37" t="s">
        <v>1114</v>
      </c>
    </row>
    <row r="59" spans="1:13" ht="15.75" thickBot="1" x14ac:dyDescent="0.3">
      <c r="A59" s="28">
        <v>45998.692557870374</v>
      </c>
      <c r="B59" s="29" t="s">
        <v>10</v>
      </c>
      <c r="C59" s="29" t="s">
        <v>256</v>
      </c>
      <c r="D59" s="29" t="s">
        <v>252</v>
      </c>
      <c r="E59" s="29" t="s">
        <v>10</v>
      </c>
      <c r="F59" s="30">
        <v>41692</v>
      </c>
      <c r="G59" s="29" t="s">
        <v>253</v>
      </c>
      <c r="H59" s="29" t="s">
        <v>254</v>
      </c>
      <c r="I59" s="29" t="s">
        <v>2</v>
      </c>
      <c r="J59" s="31" t="s">
        <v>1115</v>
      </c>
      <c r="K59" s="29" t="s">
        <v>1116</v>
      </c>
      <c r="L59" s="77" t="s">
        <v>251</v>
      </c>
      <c r="M59" s="32" t="s">
        <v>1117</v>
      </c>
    </row>
    <row r="60" spans="1:13" ht="15.75" thickBot="1" x14ac:dyDescent="0.3">
      <c r="A60" s="67">
        <v>45998.741574074076</v>
      </c>
      <c r="B60" s="68" t="s">
        <v>998</v>
      </c>
      <c r="C60" s="68" t="s">
        <v>214</v>
      </c>
      <c r="D60" s="68" t="s">
        <v>1118</v>
      </c>
      <c r="E60" s="68" t="s">
        <v>59</v>
      </c>
      <c r="F60" s="69">
        <v>42628</v>
      </c>
      <c r="G60" s="68" t="s">
        <v>1119</v>
      </c>
      <c r="H60" s="68" t="s">
        <v>1120</v>
      </c>
      <c r="I60" s="68" t="s">
        <v>66</v>
      </c>
      <c r="J60" s="70" t="s">
        <v>1121</v>
      </c>
      <c r="K60" s="68" t="s">
        <v>1122</v>
      </c>
      <c r="L60" s="79" t="s">
        <v>3127</v>
      </c>
      <c r="M60" s="71"/>
    </row>
    <row r="61" spans="1:13" ht="15.75" thickBot="1" x14ac:dyDescent="0.3">
      <c r="A61" s="72">
        <v>45998.742962962962</v>
      </c>
      <c r="B61" s="73" t="s">
        <v>998</v>
      </c>
      <c r="C61" s="73" t="s">
        <v>214</v>
      </c>
      <c r="D61" s="73" t="s">
        <v>1123</v>
      </c>
      <c r="E61" s="73" t="s">
        <v>10</v>
      </c>
      <c r="F61" s="74">
        <v>42108</v>
      </c>
      <c r="G61" s="73" t="s">
        <v>1124</v>
      </c>
      <c r="H61" s="73" t="s">
        <v>1125</v>
      </c>
      <c r="I61" s="73" t="s">
        <v>2</v>
      </c>
      <c r="J61" s="75" t="s">
        <v>1126</v>
      </c>
      <c r="K61" s="73" t="s">
        <v>1127</v>
      </c>
      <c r="L61" s="80" t="s">
        <v>3128</v>
      </c>
      <c r="M61" s="71"/>
    </row>
    <row r="62" spans="1:13" ht="15.75" thickBot="1" x14ac:dyDescent="0.3">
      <c r="A62" s="67">
        <v>45998.761423611111</v>
      </c>
      <c r="B62" s="68" t="s">
        <v>998</v>
      </c>
      <c r="C62" s="68" t="s">
        <v>319</v>
      </c>
      <c r="D62" s="68" t="s">
        <v>1128</v>
      </c>
      <c r="E62" s="68" t="s">
        <v>10</v>
      </c>
      <c r="F62" s="69">
        <v>40836</v>
      </c>
      <c r="G62" s="68" t="s">
        <v>1129</v>
      </c>
      <c r="H62" s="68" t="s">
        <v>1130</v>
      </c>
      <c r="I62" s="68" t="s">
        <v>66</v>
      </c>
      <c r="J62" s="70" t="s">
        <v>1131</v>
      </c>
      <c r="K62" s="68" t="s">
        <v>1132</v>
      </c>
      <c r="L62" s="79" t="s">
        <v>3129</v>
      </c>
      <c r="M62" s="71"/>
    </row>
    <row r="63" spans="1:13" ht="15.75" thickBot="1" x14ac:dyDescent="0.3">
      <c r="A63" s="72">
        <v>45998.794594907406</v>
      </c>
      <c r="B63" s="73" t="s">
        <v>998</v>
      </c>
      <c r="C63" s="73" t="s">
        <v>214</v>
      </c>
      <c r="D63" s="73" t="s">
        <v>1133</v>
      </c>
      <c r="E63" s="73" t="s">
        <v>10</v>
      </c>
      <c r="F63" s="74">
        <v>41588</v>
      </c>
      <c r="G63" s="73" t="s">
        <v>1134</v>
      </c>
      <c r="H63" s="73" t="s">
        <v>1135</v>
      </c>
      <c r="I63" s="73" t="s">
        <v>66</v>
      </c>
      <c r="J63" s="75" t="s">
        <v>1136</v>
      </c>
      <c r="K63" s="73" t="s">
        <v>1137</v>
      </c>
      <c r="L63" s="80" t="s">
        <v>3130</v>
      </c>
      <c r="M63" s="71"/>
    </row>
    <row r="64" spans="1:13" ht="15.75" thickBot="1" x14ac:dyDescent="0.3">
      <c r="A64" s="67">
        <v>45998.826412037037</v>
      </c>
      <c r="B64" s="68" t="s">
        <v>998</v>
      </c>
      <c r="C64" s="68" t="s">
        <v>214</v>
      </c>
      <c r="D64" s="68" t="s">
        <v>1138</v>
      </c>
      <c r="E64" s="68" t="s">
        <v>59</v>
      </c>
      <c r="F64" s="69">
        <v>42629</v>
      </c>
      <c r="G64" s="68" t="s">
        <v>1139</v>
      </c>
      <c r="H64" s="68" t="s">
        <v>1140</v>
      </c>
      <c r="I64" s="68" t="s">
        <v>66</v>
      </c>
      <c r="J64" s="70" t="s">
        <v>1141</v>
      </c>
      <c r="K64" s="68" t="s">
        <v>1142</v>
      </c>
      <c r="L64" s="79" t="s">
        <v>3131</v>
      </c>
      <c r="M64" s="71"/>
    </row>
    <row r="65" spans="1:13" ht="15.75" thickBot="1" x14ac:dyDescent="0.3">
      <c r="A65" s="72">
        <v>45998.851597222223</v>
      </c>
      <c r="B65" s="73" t="s">
        <v>998</v>
      </c>
      <c r="C65" s="73" t="s">
        <v>214</v>
      </c>
      <c r="D65" s="73" t="s">
        <v>1143</v>
      </c>
      <c r="E65" s="73" t="s">
        <v>59</v>
      </c>
      <c r="F65" s="74">
        <v>42334</v>
      </c>
      <c r="G65" s="73" t="s">
        <v>1144</v>
      </c>
      <c r="H65" s="73" t="s">
        <v>1145</v>
      </c>
      <c r="I65" s="73" t="s">
        <v>66</v>
      </c>
      <c r="J65" s="75" t="s">
        <v>1146</v>
      </c>
      <c r="K65" s="73" t="s">
        <v>1147</v>
      </c>
      <c r="L65" s="80" t="s">
        <v>3132</v>
      </c>
      <c r="M65" s="71"/>
    </row>
    <row r="66" spans="1:13" ht="15.75" thickBot="1" x14ac:dyDescent="0.3">
      <c r="A66" s="67">
        <v>45998.892847222225</v>
      </c>
      <c r="B66" s="68" t="s">
        <v>998</v>
      </c>
      <c r="C66" s="68" t="s">
        <v>214</v>
      </c>
      <c r="D66" s="68" t="s">
        <v>1143</v>
      </c>
      <c r="E66" s="68" t="s">
        <v>59</v>
      </c>
      <c r="F66" s="69">
        <v>42334</v>
      </c>
      <c r="G66" s="68" t="s">
        <v>1144</v>
      </c>
      <c r="H66" s="68" t="s">
        <v>1145</v>
      </c>
      <c r="I66" s="68" t="s">
        <v>66</v>
      </c>
      <c r="J66" s="70" t="s">
        <v>1148</v>
      </c>
      <c r="K66" s="68" t="s">
        <v>1149</v>
      </c>
      <c r="L66" s="79" t="s">
        <v>3133</v>
      </c>
      <c r="M66" s="71"/>
    </row>
    <row r="67" spans="1:13" ht="15.75" thickBot="1" x14ac:dyDescent="0.3">
      <c r="A67" s="28">
        <v>45999.208379629628</v>
      </c>
      <c r="B67" s="29" t="s">
        <v>10</v>
      </c>
      <c r="C67" s="29" t="s">
        <v>14</v>
      </c>
      <c r="D67" s="29" t="s">
        <v>258</v>
      </c>
      <c r="E67" s="29" t="s">
        <v>259</v>
      </c>
      <c r="F67" s="30">
        <v>42162</v>
      </c>
      <c r="G67" s="29" t="s">
        <v>260</v>
      </c>
      <c r="H67" s="29" t="s">
        <v>261</v>
      </c>
      <c r="I67" s="29" t="s">
        <v>2</v>
      </c>
      <c r="J67" s="31" t="s">
        <v>1150</v>
      </c>
      <c r="K67" s="29" t="s">
        <v>1151</v>
      </c>
      <c r="L67" s="77" t="s">
        <v>257</v>
      </c>
      <c r="M67" s="32" t="s">
        <v>1152</v>
      </c>
    </row>
    <row r="68" spans="1:13" ht="15.75" thickBot="1" x14ac:dyDescent="0.3">
      <c r="A68" s="67">
        <v>45999.226817129631</v>
      </c>
      <c r="B68" s="68" t="s">
        <v>1153</v>
      </c>
      <c r="C68" s="68" t="s">
        <v>256</v>
      </c>
      <c r="D68" s="68" t="s">
        <v>1154</v>
      </c>
      <c r="E68" s="68" t="s">
        <v>1155</v>
      </c>
      <c r="F68" s="69">
        <v>42269</v>
      </c>
      <c r="G68" s="68" t="s">
        <v>1156</v>
      </c>
      <c r="H68" s="68" t="s">
        <v>1157</v>
      </c>
      <c r="I68" s="68" t="s">
        <v>2</v>
      </c>
      <c r="J68" s="70" t="s">
        <v>1158</v>
      </c>
      <c r="K68" s="68" t="s">
        <v>1159</v>
      </c>
      <c r="L68" s="79" t="s">
        <v>3152</v>
      </c>
      <c r="M68" s="71"/>
    </row>
    <row r="69" spans="1:13" ht="15.75" thickBot="1" x14ac:dyDescent="0.3">
      <c r="A69" s="28">
        <v>45999.232488425929</v>
      </c>
      <c r="B69" s="29" t="s">
        <v>953</v>
      </c>
      <c r="C69" s="29" t="s">
        <v>268</v>
      </c>
      <c r="D69" s="29" t="s">
        <v>264</v>
      </c>
      <c r="E69" s="29" t="s">
        <v>10</v>
      </c>
      <c r="F69" s="30">
        <v>42318</v>
      </c>
      <c r="G69" s="29" t="s">
        <v>265</v>
      </c>
      <c r="H69" s="29" t="s">
        <v>266</v>
      </c>
      <c r="I69" s="29" t="s">
        <v>2</v>
      </c>
      <c r="J69" s="31" t="s">
        <v>1160</v>
      </c>
      <c r="K69" s="29" t="s">
        <v>1161</v>
      </c>
      <c r="L69" s="77" t="s">
        <v>263</v>
      </c>
      <c r="M69" s="32" t="s">
        <v>1162</v>
      </c>
    </row>
    <row r="70" spans="1:13" ht="15.75" thickBot="1" x14ac:dyDescent="0.3">
      <c r="A70" s="33">
        <v>45999.268159722225</v>
      </c>
      <c r="B70" s="34" t="s">
        <v>953</v>
      </c>
      <c r="C70" s="34" t="s">
        <v>268</v>
      </c>
      <c r="D70" s="34" t="s">
        <v>270</v>
      </c>
      <c r="E70" s="34" t="s">
        <v>10</v>
      </c>
      <c r="F70" s="35">
        <v>42312</v>
      </c>
      <c r="G70" s="34" t="s">
        <v>271</v>
      </c>
      <c r="H70" s="34" t="s">
        <v>272</v>
      </c>
      <c r="I70" s="34" t="s">
        <v>2</v>
      </c>
      <c r="J70" s="36" t="s">
        <v>1163</v>
      </c>
      <c r="K70" s="34" t="s">
        <v>1164</v>
      </c>
      <c r="L70" s="78" t="s">
        <v>269</v>
      </c>
      <c r="M70" s="37" t="s">
        <v>1165</v>
      </c>
    </row>
    <row r="71" spans="1:13" ht="15.75" thickBot="1" x14ac:dyDescent="0.3">
      <c r="A71" s="28">
        <v>45999.285891203705</v>
      </c>
      <c r="B71" s="29" t="s">
        <v>953</v>
      </c>
      <c r="C71" s="29" t="s">
        <v>268</v>
      </c>
      <c r="D71" s="29" t="s">
        <v>275</v>
      </c>
      <c r="E71" s="29" t="s">
        <v>116</v>
      </c>
      <c r="F71" s="30">
        <v>42191</v>
      </c>
      <c r="G71" s="29" t="s">
        <v>276</v>
      </c>
      <c r="H71" s="29" t="s">
        <v>277</v>
      </c>
      <c r="I71" s="29" t="s">
        <v>2</v>
      </c>
      <c r="J71" s="31" t="s">
        <v>1166</v>
      </c>
      <c r="K71" s="29" t="s">
        <v>1167</v>
      </c>
      <c r="L71" s="77" t="s">
        <v>274</v>
      </c>
      <c r="M71" s="32" t="s">
        <v>1168</v>
      </c>
    </row>
    <row r="72" spans="1:13" ht="15.75" thickBot="1" x14ac:dyDescent="0.3">
      <c r="A72" s="33">
        <v>45999.288935185185</v>
      </c>
      <c r="B72" s="34" t="s">
        <v>10</v>
      </c>
      <c r="C72" s="34" t="s">
        <v>14</v>
      </c>
      <c r="D72" s="34" t="s">
        <v>280</v>
      </c>
      <c r="E72" s="34" t="s">
        <v>28</v>
      </c>
      <c r="F72" s="35">
        <v>42022</v>
      </c>
      <c r="G72" s="34" t="s">
        <v>281</v>
      </c>
      <c r="H72" s="34" t="s">
        <v>282</v>
      </c>
      <c r="I72" s="34" t="s">
        <v>66</v>
      </c>
      <c r="J72" s="36" t="s">
        <v>1169</v>
      </c>
      <c r="K72" s="34" t="s">
        <v>1170</v>
      </c>
      <c r="L72" s="78" t="s">
        <v>279</v>
      </c>
      <c r="M72" s="37" t="s">
        <v>1171</v>
      </c>
    </row>
    <row r="73" spans="1:13" ht="15.75" thickBot="1" x14ac:dyDescent="0.3">
      <c r="A73" s="28">
        <v>45999.311712962961</v>
      </c>
      <c r="B73" s="29" t="s">
        <v>953</v>
      </c>
      <c r="C73" s="29" t="s">
        <v>289</v>
      </c>
      <c r="D73" s="29" t="s">
        <v>285</v>
      </c>
      <c r="E73" s="29" t="s">
        <v>28</v>
      </c>
      <c r="F73" s="30">
        <v>41826</v>
      </c>
      <c r="G73" s="29" t="s">
        <v>286</v>
      </c>
      <c r="H73" s="29" t="s">
        <v>287</v>
      </c>
      <c r="I73" s="29" t="s">
        <v>2</v>
      </c>
      <c r="J73" s="31" t="s">
        <v>1172</v>
      </c>
      <c r="K73" s="29" t="s">
        <v>1173</v>
      </c>
      <c r="L73" s="77" t="s">
        <v>284</v>
      </c>
      <c r="M73" s="32" t="s">
        <v>1174</v>
      </c>
    </row>
    <row r="74" spans="1:13" ht="15.75" thickBot="1" x14ac:dyDescent="0.3">
      <c r="A74" s="33">
        <v>45999.319699074076</v>
      </c>
      <c r="B74" s="34" t="s">
        <v>953</v>
      </c>
      <c r="C74" s="34" t="s">
        <v>289</v>
      </c>
      <c r="D74" s="34" t="s">
        <v>291</v>
      </c>
      <c r="E74" s="34" t="s">
        <v>28</v>
      </c>
      <c r="F74" s="35">
        <v>41995</v>
      </c>
      <c r="G74" s="34" t="s">
        <v>292</v>
      </c>
      <c r="H74" s="34" t="s">
        <v>293</v>
      </c>
      <c r="I74" s="34" t="s">
        <v>2</v>
      </c>
      <c r="J74" s="36" t="s">
        <v>1175</v>
      </c>
      <c r="K74" s="34" t="s">
        <v>1176</v>
      </c>
      <c r="L74" s="78" t="s">
        <v>290</v>
      </c>
      <c r="M74" s="37" t="s">
        <v>1177</v>
      </c>
    </row>
    <row r="75" spans="1:13" ht="15.75" thickBot="1" x14ac:dyDescent="0.3">
      <c r="A75" s="28">
        <v>45999.323113425926</v>
      </c>
      <c r="B75" s="29" t="s">
        <v>10</v>
      </c>
      <c r="C75" s="29" t="s">
        <v>14</v>
      </c>
      <c r="D75" s="29" t="s">
        <v>296</v>
      </c>
      <c r="E75" s="29" t="s">
        <v>10</v>
      </c>
      <c r="F75" s="30">
        <v>41644</v>
      </c>
      <c r="G75" s="29" t="s">
        <v>297</v>
      </c>
      <c r="H75" s="29" t="s">
        <v>298</v>
      </c>
      <c r="I75" s="29" t="s">
        <v>2</v>
      </c>
      <c r="J75" s="31" t="s">
        <v>1178</v>
      </c>
      <c r="K75" s="29" t="s">
        <v>1179</v>
      </c>
      <c r="L75" s="77" t="s">
        <v>295</v>
      </c>
      <c r="M75" s="32" t="s">
        <v>1180</v>
      </c>
    </row>
    <row r="76" spans="1:13" ht="15.75" thickBot="1" x14ac:dyDescent="0.3">
      <c r="A76" s="67">
        <v>45999.327546296299</v>
      </c>
      <c r="B76" s="68" t="s">
        <v>998</v>
      </c>
      <c r="C76" s="68" t="s">
        <v>1181</v>
      </c>
      <c r="D76" s="68" t="s">
        <v>1182</v>
      </c>
      <c r="E76" s="68" t="s">
        <v>28</v>
      </c>
      <c r="F76" s="69">
        <v>42069</v>
      </c>
      <c r="G76" s="68" t="s">
        <v>1183</v>
      </c>
      <c r="H76" s="68" t="s">
        <v>1184</v>
      </c>
      <c r="I76" s="68" t="s">
        <v>66</v>
      </c>
      <c r="J76" s="70" t="s">
        <v>1185</v>
      </c>
      <c r="K76" s="68" t="s">
        <v>1186</v>
      </c>
      <c r="L76" s="79" t="s">
        <v>3134</v>
      </c>
      <c r="M76" s="71"/>
    </row>
    <row r="77" spans="1:13" ht="15.75" thickBot="1" x14ac:dyDescent="0.3">
      <c r="A77" s="28">
        <v>45999.342673611114</v>
      </c>
      <c r="B77" s="29" t="s">
        <v>10</v>
      </c>
      <c r="C77" s="29" t="s">
        <v>14</v>
      </c>
      <c r="D77" s="29" t="s">
        <v>301</v>
      </c>
      <c r="E77" s="29" t="s">
        <v>10</v>
      </c>
      <c r="F77" s="30">
        <v>42367</v>
      </c>
      <c r="G77" s="29" t="s">
        <v>302</v>
      </c>
      <c r="H77" s="29" t="s">
        <v>303</v>
      </c>
      <c r="I77" s="29" t="s">
        <v>2</v>
      </c>
      <c r="J77" s="31" t="s">
        <v>1187</v>
      </c>
      <c r="K77" s="29" t="s">
        <v>1188</v>
      </c>
      <c r="L77" s="77" t="s">
        <v>300</v>
      </c>
      <c r="M77" s="32" t="s">
        <v>1189</v>
      </c>
    </row>
    <row r="78" spans="1:13" ht="15.75" thickBot="1" x14ac:dyDescent="0.3">
      <c r="A78" s="67">
        <v>45999.346712962964</v>
      </c>
      <c r="B78" s="68" t="s">
        <v>1153</v>
      </c>
      <c r="C78" s="68" t="s">
        <v>1190</v>
      </c>
      <c r="D78" s="68" t="s">
        <v>1191</v>
      </c>
      <c r="E78" s="68" t="s">
        <v>28</v>
      </c>
      <c r="F78" s="69">
        <v>41633</v>
      </c>
      <c r="G78" s="68" t="s">
        <v>1192</v>
      </c>
      <c r="H78" s="68" t="s">
        <v>1193</v>
      </c>
      <c r="I78" s="68" t="s">
        <v>66</v>
      </c>
      <c r="J78" s="70" t="s">
        <v>1194</v>
      </c>
      <c r="K78" s="68" t="s">
        <v>1195</v>
      </c>
      <c r="L78" s="79" t="s">
        <v>3017</v>
      </c>
      <c r="M78" s="71"/>
    </row>
    <row r="79" spans="1:13" ht="15.75" thickBot="1" x14ac:dyDescent="0.3">
      <c r="A79" s="72">
        <v>45999.350659722222</v>
      </c>
      <c r="B79" s="73" t="s">
        <v>1153</v>
      </c>
      <c r="C79" s="73" t="s">
        <v>1190</v>
      </c>
      <c r="D79" s="73" t="s">
        <v>1196</v>
      </c>
      <c r="E79" s="73" t="s">
        <v>28</v>
      </c>
      <c r="F79" s="74">
        <v>40962</v>
      </c>
      <c r="G79" s="73" t="s">
        <v>1197</v>
      </c>
      <c r="H79" s="73" t="s">
        <v>1198</v>
      </c>
      <c r="I79" s="73" t="s">
        <v>2</v>
      </c>
      <c r="J79" s="75" t="s">
        <v>1199</v>
      </c>
      <c r="K79" s="73" t="s">
        <v>1200</v>
      </c>
      <c r="L79" s="80" t="s">
        <v>3018</v>
      </c>
      <c r="M79" s="71"/>
    </row>
    <row r="80" spans="1:13" ht="15.75" thickBot="1" x14ac:dyDescent="0.3">
      <c r="A80" s="67">
        <v>45999.354155092595</v>
      </c>
      <c r="B80" s="68" t="s">
        <v>998</v>
      </c>
      <c r="C80" s="68" t="s">
        <v>1201</v>
      </c>
      <c r="D80" s="68" t="s">
        <v>1202</v>
      </c>
      <c r="E80" s="68" t="s">
        <v>28</v>
      </c>
      <c r="F80" s="69">
        <v>42095</v>
      </c>
      <c r="G80" s="68" t="s">
        <v>1203</v>
      </c>
      <c r="H80" s="68" t="s">
        <v>1204</v>
      </c>
      <c r="I80" s="68" t="s">
        <v>66</v>
      </c>
      <c r="J80" s="70" t="s">
        <v>1205</v>
      </c>
      <c r="K80" s="68" t="s">
        <v>1206</v>
      </c>
      <c r="L80" s="79" t="s">
        <v>3135</v>
      </c>
      <c r="M80" s="71"/>
    </row>
    <row r="81" spans="1:13" ht="15.75" thickBot="1" x14ac:dyDescent="0.3">
      <c r="A81" s="72">
        <v>45999.358749999999</v>
      </c>
      <c r="B81" s="73" t="s">
        <v>1153</v>
      </c>
      <c r="C81" s="73" t="s">
        <v>1190</v>
      </c>
      <c r="D81" s="73" t="s">
        <v>1207</v>
      </c>
      <c r="E81" s="73" t="s">
        <v>28</v>
      </c>
      <c r="F81" s="74">
        <v>41907</v>
      </c>
      <c r="G81" s="73" t="s">
        <v>1208</v>
      </c>
      <c r="H81" s="73" t="s">
        <v>1209</v>
      </c>
      <c r="I81" s="73" t="s">
        <v>2</v>
      </c>
      <c r="J81" s="75" t="s">
        <v>1210</v>
      </c>
      <c r="K81" s="73" t="s">
        <v>1211</v>
      </c>
      <c r="L81" s="80" t="s">
        <v>3019</v>
      </c>
      <c r="M81" s="71"/>
    </row>
    <row r="82" spans="1:13" ht="15.75" thickBot="1" x14ac:dyDescent="0.3">
      <c r="A82" s="67">
        <v>45999.360659722224</v>
      </c>
      <c r="B82" s="68" t="s">
        <v>1153</v>
      </c>
      <c r="C82" s="68" t="s">
        <v>1190</v>
      </c>
      <c r="D82" s="68" t="s">
        <v>1212</v>
      </c>
      <c r="E82" s="68" t="s">
        <v>28</v>
      </c>
      <c r="F82" s="69">
        <v>41674</v>
      </c>
      <c r="G82" s="68" t="s">
        <v>1213</v>
      </c>
      <c r="H82" s="68" t="s">
        <v>1214</v>
      </c>
      <c r="I82" s="68" t="s">
        <v>2</v>
      </c>
      <c r="J82" s="70" t="s">
        <v>1215</v>
      </c>
      <c r="K82" s="68" t="s">
        <v>1216</v>
      </c>
      <c r="L82" s="79" t="s">
        <v>3020</v>
      </c>
      <c r="M82" s="71"/>
    </row>
    <row r="83" spans="1:13" ht="15.75" thickBot="1" x14ac:dyDescent="0.3">
      <c r="A83" s="72">
        <v>45999.362696759257</v>
      </c>
      <c r="B83" s="73" t="s">
        <v>1153</v>
      </c>
      <c r="C83" s="73" t="s">
        <v>1190</v>
      </c>
      <c r="D83" s="73" t="s">
        <v>1217</v>
      </c>
      <c r="E83" s="73" t="s">
        <v>28</v>
      </c>
      <c r="F83" s="74">
        <v>41481</v>
      </c>
      <c r="G83" s="73" t="s">
        <v>1218</v>
      </c>
      <c r="H83" s="73" t="s">
        <v>1219</v>
      </c>
      <c r="I83" s="73" t="s">
        <v>2</v>
      </c>
      <c r="J83" s="75" t="s">
        <v>1220</v>
      </c>
      <c r="K83" s="73" t="s">
        <v>1221</v>
      </c>
      <c r="L83" s="80" t="s">
        <v>3021</v>
      </c>
      <c r="M83" s="71"/>
    </row>
    <row r="84" spans="1:13" ht="15.75" thickBot="1" x14ac:dyDescent="0.3">
      <c r="A84" s="67">
        <v>45999.364212962966</v>
      </c>
      <c r="B84" s="68" t="s">
        <v>1153</v>
      </c>
      <c r="C84" s="68" t="s">
        <v>1190</v>
      </c>
      <c r="D84" s="68" t="s">
        <v>1222</v>
      </c>
      <c r="E84" s="68" t="s">
        <v>28</v>
      </c>
      <c r="F84" s="69">
        <v>41783</v>
      </c>
      <c r="G84" s="68" t="s">
        <v>1223</v>
      </c>
      <c r="H84" s="68" t="s">
        <v>1224</v>
      </c>
      <c r="I84" s="68" t="s">
        <v>2</v>
      </c>
      <c r="J84" s="70" t="s">
        <v>1225</v>
      </c>
      <c r="K84" s="68" t="s">
        <v>1226</v>
      </c>
      <c r="L84" s="79" t="s">
        <v>3022</v>
      </c>
      <c r="M84" s="71"/>
    </row>
    <row r="85" spans="1:13" ht="15.75" thickBot="1" x14ac:dyDescent="0.3">
      <c r="A85" s="72">
        <v>45999.367615740739</v>
      </c>
      <c r="B85" s="73" t="s">
        <v>998</v>
      </c>
      <c r="C85" s="73" t="s">
        <v>1201</v>
      </c>
      <c r="D85" s="73" t="s">
        <v>1227</v>
      </c>
      <c r="E85" s="73" t="s">
        <v>10</v>
      </c>
      <c r="F85" s="74">
        <v>41750</v>
      </c>
      <c r="G85" s="73" t="s">
        <v>1228</v>
      </c>
      <c r="H85" s="73" t="s">
        <v>1229</v>
      </c>
      <c r="I85" s="73" t="s">
        <v>66</v>
      </c>
      <c r="J85" s="75" t="s">
        <v>1230</v>
      </c>
      <c r="K85" s="73" t="s">
        <v>1231</v>
      </c>
      <c r="L85" s="80" t="s">
        <v>3136</v>
      </c>
      <c r="M85" s="71"/>
    </row>
    <row r="86" spans="1:13" ht="15.75" thickBot="1" x14ac:dyDescent="0.3">
      <c r="A86" s="33">
        <v>45999.374583333331</v>
      </c>
      <c r="B86" s="34" t="s">
        <v>953</v>
      </c>
      <c r="C86" s="34" t="s">
        <v>268</v>
      </c>
      <c r="D86" s="34" t="s">
        <v>306</v>
      </c>
      <c r="E86" s="34" t="s">
        <v>10</v>
      </c>
      <c r="F86" s="35">
        <v>42542</v>
      </c>
      <c r="G86" s="34" t="s">
        <v>307</v>
      </c>
      <c r="H86" s="34" t="s">
        <v>308</v>
      </c>
      <c r="I86" s="34" t="s">
        <v>2</v>
      </c>
      <c r="J86" s="36" t="s">
        <v>1232</v>
      </c>
      <c r="K86" s="34" t="s">
        <v>1233</v>
      </c>
      <c r="L86" s="78" t="s">
        <v>305</v>
      </c>
      <c r="M86" s="37" t="s">
        <v>1234</v>
      </c>
    </row>
    <row r="87" spans="1:13" ht="15.75" thickBot="1" x14ac:dyDescent="0.3">
      <c r="A87" s="28">
        <v>45999.37462962963</v>
      </c>
      <c r="B87" s="29" t="s">
        <v>953</v>
      </c>
      <c r="C87" s="29" t="s">
        <v>268</v>
      </c>
      <c r="D87" s="29" t="s">
        <v>306</v>
      </c>
      <c r="E87" s="29" t="s">
        <v>10</v>
      </c>
      <c r="F87" s="30">
        <v>42542</v>
      </c>
      <c r="G87" s="29" t="s">
        <v>311</v>
      </c>
      <c r="H87" s="29" t="s">
        <v>308</v>
      </c>
      <c r="I87" s="29" t="s">
        <v>2</v>
      </c>
      <c r="J87" s="31" t="s">
        <v>1235</v>
      </c>
      <c r="K87" s="29" t="s">
        <v>1236</v>
      </c>
      <c r="L87" s="77" t="s">
        <v>310</v>
      </c>
      <c r="M87" s="32" t="s">
        <v>1237</v>
      </c>
    </row>
    <row r="88" spans="1:13" ht="15.75" thickBot="1" x14ac:dyDescent="0.3">
      <c r="A88" s="67">
        <v>45999.389027777775</v>
      </c>
      <c r="B88" s="68" t="s">
        <v>1153</v>
      </c>
      <c r="C88" s="68" t="s">
        <v>1238</v>
      </c>
      <c r="D88" s="68" t="s">
        <v>1239</v>
      </c>
      <c r="E88" s="68" t="s">
        <v>10</v>
      </c>
      <c r="F88" s="69">
        <v>42043</v>
      </c>
      <c r="G88" s="68" t="s">
        <v>1240</v>
      </c>
      <c r="H88" s="68" t="s">
        <v>1241</v>
      </c>
      <c r="I88" s="68" t="s">
        <v>66</v>
      </c>
      <c r="J88" s="70" t="s">
        <v>1242</v>
      </c>
      <c r="K88" s="68" t="s">
        <v>1243</v>
      </c>
      <c r="L88" s="79" t="s">
        <v>3023</v>
      </c>
      <c r="M88" s="71"/>
    </row>
    <row r="89" spans="1:13" ht="15.75" thickBot="1" x14ac:dyDescent="0.3">
      <c r="A89" s="28">
        <v>45999.423275462963</v>
      </c>
      <c r="B89" s="29" t="s">
        <v>10</v>
      </c>
      <c r="C89" s="29" t="s">
        <v>319</v>
      </c>
      <c r="D89" s="29" t="s">
        <v>314</v>
      </c>
      <c r="E89" s="29" t="s">
        <v>315</v>
      </c>
      <c r="F89" s="30">
        <v>40393</v>
      </c>
      <c r="G89" s="29" t="s">
        <v>316</v>
      </c>
      <c r="H89" s="29" t="s">
        <v>317</v>
      </c>
      <c r="I89" s="29" t="s">
        <v>66</v>
      </c>
      <c r="J89" s="31" t="s">
        <v>1244</v>
      </c>
      <c r="K89" s="29" t="s">
        <v>1245</v>
      </c>
      <c r="L89" s="77" t="s">
        <v>313</v>
      </c>
      <c r="M89" s="32" t="s">
        <v>1246</v>
      </c>
    </row>
    <row r="90" spans="1:13" ht="15.75" thickBot="1" x14ac:dyDescent="0.3">
      <c r="A90" s="33">
        <v>45999.423483796294</v>
      </c>
      <c r="B90" s="34" t="s">
        <v>10</v>
      </c>
      <c r="C90" s="34" t="s">
        <v>14</v>
      </c>
      <c r="D90" s="34" t="s">
        <v>321</v>
      </c>
      <c r="E90" s="34" t="s">
        <v>322</v>
      </c>
      <c r="F90" s="35">
        <v>42501</v>
      </c>
      <c r="G90" s="34" t="s">
        <v>323</v>
      </c>
      <c r="H90" s="34" t="s">
        <v>324</v>
      </c>
      <c r="I90" s="34" t="s">
        <v>2</v>
      </c>
      <c r="J90" s="36" t="s">
        <v>1247</v>
      </c>
      <c r="K90" s="34" t="s">
        <v>1248</v>
      </c>
      <c r="L90" s="78" t="s">
        <v>320</v>
      </c>
      <c r="M90" s="37" t="s">
        <v>1249</v>
      </c>
    </row>
    <row r="91" spans="1:13" ht="15.75" thickBot="1" x14ac:dyDescent="0.3">
      <c r="A91" s="28">
        <v>45999.431342592594</v>
      </c>
      <c r="B91" s="29" t="s">
        <v>905</v>
      </c>
      <c r="C91" s="29" t="s">
        <v>332</v>
      </c>
      <c r="D91" s="29" t="s">
        <v>327</v>
      </c>
      <c r="E91" s="29" t="s">
        <v>328</v>
      </c>
      <c r="F91" s="30">
        <v>40488</v>
      </c>
      <c r="G91" s="29" t="s">
        <v>329</v>
      </c>
      <c r="H91" s="29" t="s">
        <v>330</v>
      </c>
      <c r="I91" s="29" t="s">
        <v>66</v>
      </c>
      <c r="J91" s="31" t="s">
        <v>1250</v>
      </c>
      <c r="K91" s="29" t="s">
        <v>1251</v>
      </c>
      <c r="L91" s="77" t="s">
        <v>326</v>
      </c>
      <c r="M91" s="32" t="s">
        <v>1252</v>
      </c>
    </row>
    <row r="92" spans="1:13" ht="15.75" thickBot="1" x14ac:dyDescent="0.3">
      <c r="A92" s="67">
        <v>45999.433692129627</v>
      </c>
      <c r="B92" s="68" t="s">
        <v>998</v>
      </c>
      <c r="C92" s="68" t="s">
        <v>1253</v>
      </c>
      <c r="D92" s="68" t="s">
        <v>1254</v>
      </c>
      <c r="E92" s="68" t="s">
        <v>1255</v>
      </c>
      <c r="F92" s="69">
        <v>40671</v>
      </c>
      <c r="G92" s="68" t="s">
        <v>1256</v>
      </c>
      <c r="H92" s="68" t="s">
        <v>1257</v>
      </c>
      <c r="I92" s="68" t="s">
        <v>2</v>
      </c>
      <c r="J92" s="70" t="s">
        <v>1258</v>
      </c>
      <c r="K92" s="68" t="s">
        <v>1259</v>
      </c>
      <c r="L92" s="79" t="s">
        <v>3137</v>
      </c>
      <c r="M92" s="71"/>
    </row>
    <row r="93" spans="1:13" ht="15.75" thickBot="1" x14ac:dyDescent="0.3">
      <c r="A93" s="72">
        <v>45999.439074074071</v>
      </c>
      <c r="B93" s="73" t="s">
        <v>1153</v>
      </c>
      <c r="C93" s="73" t="s">
        <v>1260</v>
      </c>
      <c r="D93" s="73" t="s">
        <v>1261</v>
      </c>
      <c r="E93" s="73" t="s">
        <v>10</v>
      </c>
      <c r="F93" s="74">
        <v>43233</v>
      </c>
      <c r="G93" s="73" t="s">
        <v>1262</v>
      </c>
      <c r="H93" s="73" t="s">
        <v>1263</v>
      </c>
      <c r="I93" s="73" t="s">
        <v>66</v>
      </c>
      <c r="J93" s="75" t="s">
        <v>1264</v>
      </c>
      <c r="K93" s="73" t="s">
        <v>1265</v>
      </c>
      <c r="L93" s="80" t="s">
        <v>3024</v>
      </c>
      <c r="M93" s="71"/>
    </row>
    <row r="94" spans="1:13" ht="15.75" thickBot="1" x14ac:dyDescent="0.3">
      <c r="A94" s="67">
        <v>45999.45753472222</v>
      </c>
      <c r="B94" s="68" t="s">
        <v>998</v>
      </c>
      <c r="C94" s="68" t="s">
        <v>1253</v>
      </c>
      <c r="D94" s="68" t="s">
        <v>1266</v>
      </c>
      <c r="E94" s="68" t="s">
        <v>1255</v>
      </c>
      <c r="F94" s="69">
        <v>40505</v>
      </c>
      <c r="G94" s="68" t="s">
        <v>1267</v>
      </c>
      <c r="H94" s="68" t="s">
        <v>1268</v>
      </c>
      <c r="I94" s="68" t="s">
        <v>728</v>
      </c>
      <c r="J94" s="70" t="s">
        <v>1269</v>
      </c>
      <c r="K94" s="68" t="s">
        <v>1270</v>
      </c>
      <c r="L94" s="79" t="s">
        <v>3138</v>
      </c>
      <c r="M94" s="71"/>
    </row>
    <row r="95" spans="1:13" ht="15.75" thickBot="1" x14ac:dyDescent="0.3">
      <c r="A95" s="72">
        <v>45999.470185185186</v>
      </c>
      <c r="B95" s="73" t="s">
        <v>1153</v>
      </c>
      <c r="C95" s="73" t="s">
        <v>1260</v>
      </c>
      <c r="D95" s="73" t="s">
        <v>1271</v>
      </c>
      <c r="E95" s="73" t="s">
        <v>10</v>
      </c>
      <c r="F95" s="74">
        <v>43587</v>
      </c>
      <c r="G95" s="73" t="s">
        <v>1272</v>
      </c>
      <c r="H95" s="73" t="s">
        <v>1273</v>
      </c>
      <c r="I95" s="73" t="s">
        <v>2</v>
      </c>
      <c r="J95" s="75" t="s">
        <v>1274</v>
      </c>
      <c r="K95" s="73" t="s">
        <v>1275</v>
      </c>
      <c r="L95" s="80" t="s">
        <v>3025</v>
      </c>
      <c r="M95" s="71"/>
    </row>
    <row r="96" spans="1:13" ht="15.75" thickBot="1" x14ac:dyDescent="0.3">
      <c r="A96" s="33">
        <v>45999.484826388885</v>
      </c>
      <c r="B96" s="34" t="s">
        <v>10</v>
      </c>
      <c r="C96" s="34" t="s">
        <v>14</v>
      </c>
      <c r="D96" s="34" t="s">
        <v>334</v>
      </c>
      <c r="E96" s="34" t="s">
        <v>10</v>
      </c>
      <c r="F96" s="35">
        <v>42774</v>
      </c>
      <c r="G96" s="34" t="s">
        <v>335</v>
      </c>
      <c r="H96" s="34" t="s">
        <v>336</v>
      </c>
      <c r="I96" s="34" t="s">
        <v>66</v>
      </c>
      <c r="J96" s="36" t="s">
        <v>1276</v>
      </c>
      <c r="K96" s="34" t="s">
        <v>1277</v>
      </c>
      <c r="L96" s="78" t="s">
        <v>333</v>
      </c>
      <c r="M96" s="37" t="s">
        <v>1278</v>
      </c>
    </row>
    <row r="97" spans="1:13" ht="15.75" thickBot="1" x14ac:dyDescent="0.3">
      <c r="A97" s="72">
        <v>45999.49324074074</v>
      </c>
      <c r="B97" s="73" t="s">
        <v>1153</v>
      </c>
      <c r="C97" s="73" t="s">
        <v>1260</v>
      </c>
      <c r="D97" s="73" t="s">
        <v>1279</v>
      </c>
      <c r="E97" s="73" t="s">
        <v>10</v>
      </c>
      <c r="F97" s="74">
        <v>43543</v>
      </c>
      <c r="G97" s="73" t="s">
        <v>1280</v>
      </c>
      <c r="H97" s="73" t="s">
        <v>1281</v>
      </c>
      <c r="I97" s="73" t="s">
        <v>2</v>
      </c>
      <c r="J97" s="75" t="s">
        <v>1282</v>
      </c>
      <c r="K97" s="73" t="s">
        <v>1283</v>
      </c>
      <c r="L97" s="80" t="s">
        <v>3026</v>
      </c>
      <c r="M97" s="71"/>
    </row>
    <row r="98" spans="1:13" ht="15.75" thickBot="1" x14ac:dyDescent="0.3">
      <c r="A98" s="67">
        <v>45999.499525462961</v>
      </c>
      <c r="B98" s="68" t="s">
        <v>1153</v>
      </c>
      <c r="C98" s="68" t="s">
        <v>1260</v>
      </c>
      <c r="D98" s="68" t="s">
        <v>1284</v>
      </c>
      <c r="E98" s="68" t="s">
        <v>28</v>
      </c>
      <c r="F98" s="69">
        <v>43663</v>
      </c>
      <c r="G98" s="68" t="s">
        <v>1285</v>
      </c>
      <c r="H98" s="68" t="s">
        <v>1286</v>
      </c>
      <c r="I98" s="68" t="s">
        <v>2</v>
      </c>
      <c r="J98" s="70" t="s">
        <v>1287</v>
      </c>
      <c r="K98" s="68" t="s">
        <v>1288</v>
      </c>
      <c r="L98" s="79" t="s">
        <v>3027</v>
      </c>
      <c r="M98" s="71"/>
    </row>
    <row r="99" spans="1:13" ht="15.75" thickBot="1" x14ac:dyDescent="0.3">
      <c r="A99" s="28">
        <v>45999.503854166665</v>
      </c>
      <c r="B99" s="29" t="s">
        <v>10</v>
      </c>
      <c r="C99" s="29" t="s">
        <v>342</v>
      </c>
      <c r="D99" s="29" t="s">
        <v>339</v>
      </c>
      <c r="E99" s="29" t="s">
        <v>28</v>
      </c>
      <c r="F99" s="30">
        <v>41405</v>
      </c>
      <c r="G99" s="29" t="s">
        <v>1289</v>
      </c>
      <c r="H99" s="29" t="s">
        <v>340</v>
      </c>
      <c r="I99" s="29" t="s">
        <v>66</v>
      </c>
      <c r="J99" s="31" t="s">
        <v>1290</v>
      </c>
      <c r="K99" s="29" t="s">
        <v>1291</v>
      </c>
      <c r="L99" s="77" t="s">
        <v>338</v>
      </c>
      <c r="M99" s="32" t="s">
        <v>1292</v>
      </c>
    </row>
    <row r="100" spans="1:13" ht="15.75" thickBot="1" x14ac:dyDescent="0.3">
      <c r="A100" s="33">
        <v>45999.509189814817</v>
      </c>
      <c r="B100" s="34" t="s">
        <v>10</v>
      </c>
      <c r="C100" s="34" t="s">
        <v>348</v>
      </c>
      <c r="D100" s="34" t="s">
        <v>344</v>
      </c>
      <c r="E100" s="34" t="s">
        <v>10</v>
      </c>
      <c r="F100" s="35">
        <v>43448</v>
      </c>
      <c r="G100" s="34" t="s">
        <v>345</v>
      </c>
      <c r="H100" s="34" t="s">
        <v>346</v>
      </c>
      <c r="I100" s="34" t="s">
        <v>66</v>
      </c>
      <c r="J100" s="36" t="s">
        <v>1293</v>
      </c>
      <c r="K100" s="34" t="s">
        <v>1294</v>
      </c>
      <c r="L100" s="78" t="s">
        <v>343</v>
      </c>
      <c r="M100" s="37" t="s">
        <v>1295</v>
      </c>
    </row>
    <row r="101" spans="1:13" ht="15.75" thickBot="1" x14ac:dyDescent="0.3">
      <c r="A101" s="28">
        <v>45999.523113425923</v>
      </c>
      <c r="B101" s="29" t="s">
        <v>10</v>
      </c>
      <c r="C101" s="95" t="s">
        <v>902</v>
      </c>
      <c r="D101" s="29" t="s">
        <v>350</v>
      </c>
      <c r="E101" s="29" t="s">
        <v>10</v>
      </c>
      <c r="F101" s="30">
        <v>41951</v>
      </c>
      <c r="G101" s="29" t="s">
        <v>351</v>
      </c>
      <c r="H101" s="29" t="s">
        <v>184</v>
      </c>
      <c r="I101" s="29" t="s">
        <v>2</v>
      </c>
      <c r="J101" s="31" t="s">
        <v>1297</v>
      </c>
      <c r="K101" s="29" t="s">
        <v>1298</v>
      </c>
      <c r="L101" s="77" t="s">
        <v>349</v>
      </c>
      <c r="M101" s="32" t="s">
        <v>1299</v>
      </c>
    </row>
    <row r="102" spans="1:13" ht="15.75" thickBot="1" x14ac:dyDescent="0.3">
      <c r="A102" s="67">
        <v>45999.528321759259</v>
      </c>
      <c r="B102" s="68" t="s">
        <v>998</v>
      </c>
      <c r="C102" s="68" t="s">
        <v>319</v>
      </c>
      <c r="D102" s="68" t="s">
        <v>1300</v>
      </c>
      <c r="E102" s="68" t="s">
        <v>28</v>
      </c>
      <c r="F102" s="69">
        <v>40593</v>
      </c>
      <c r="G102" s="68" t="s">
        <v>1301</v>
      </c>
      <c r="H102" s="68" t="s">
        <v>1302</v>
      </c>
      <c r="I102" s="68" t="s">
        <v>66</v>
      </c>
      <c r="J102" s="70" t="s">
        <v>1303</v>
      </c>
      <c r="K102" s="68" t="s">
        <v>1304</v>
      </c>
      <c r="L102" s="79" t="s">
        <v>3139</v>
      </c>
      <c r="M102" s="71"/>
    </row>
    <row r="103" spans="1:13" ht="15.75" thickBot="1" x14ac:dyDescent="0.3">
      <c r="A103" s="28">
        <v>45999.559201388889</v>
      </c>
      <c r="B103" s="29" t="s">
        <v>10</v>
      </c>
      <c r="C103" s="29" t="s">
        <v>14</v>
      </c>
      <c r="D103" s="29" t="s">
        <v>354</v>
      </c>
      <c r="E103" s="29" t="s">
        <v>10</v>
      </c>
      <c r="F103" s="30">
        <v>41756</v>
      </c>
      <c r="G103" s="29" t="s">
        <v>355</v>
      </c>
      <c r="H103" s="29" t="s">
        <v>356</v>
      </c>
      <c r="I103" s="29" t="s">
        <v>66</v>
      </c>
      <c r="J103" s="31" t="s">
        <v>1305</v>
      </c>
      <c r="K103" s="29" t="s">
        <v>1306</v>
      </c>
      <c r="L103" s="77" t="s">
        <v>353</v>
      </c>
      <c r="M103" s="32" t="s">
        <v>1307</v>
      </c>
    </row>
    <row r="104" spans="1:13" ht="15.75" thickBot="1" x14ac:dyDescent="0.3">
      <c r="A104" s="33">
        <v>45999.561053240737</v>
      </c>
      <c r="B104" s="34" t="s">
        <v>10</v>
      </c>
      <c r="C104" s="92" t="s">
        <v>902</v>
      </c>
      <c r="D104" s="34" t="s">
        <v>359</v>
      </c>
      <c r="E104" s="34" t="s">
        <v>28</v>
      </c>
      <c r="F104" s="35">
        <v>42489</v>
      </c>
      <c r="G104" s="34" t="s">
        <v>360</v>
      </c>
      <c r="H104" s="34" t="s">
        <v>361</v>
      </c>
      <c r="I104" s="34" t="s">
        <v>2</v>
      </c>
      <c r="J104" s="36" t="s">
        <v>1308</v>
      </c>
      <c r="K104" s="34" t="s">
        <v>1309</v>
      </c>
      <c r="L104" s="78" t="s">
        <v>358</v>
      </c>
      <c r="M104" s="37" t="s">
        <v>1310</v>
      </c>
    </row>
    <row r="105" spans="1:13" ht="15.75" thickBot="1" x14ac:dyDescent="0.3">
      <c r="A105" s="28">
        <v>45999.564456018517</v>
      </c>
      <c r="B105" s="29" t="s">
        <v>10</v>
      </c>
      <c r="C105" s="95" t="s">
        <v>902</v>
      </c>
      <c r="D105" s="29" t="s">
        <v>364</v>
      </c>
      <c r="E105" s="29" t="s">
        <v>365</v>
      </c>
      <c r="F105" s="30">
        <v>42382</v>
      </c>
      <c r="G105" s="29" t="s">
        <v>366</v>
      </c>
      <c r="H105" s="29" t="s">
        <v>367</v>
      </c>
      <c r="I105" s="29" t="s">
        <v>2</v>
      </c>
      <c r="J105" s="31" t="s">
        <v>1311</v>
      </c>
      <c r="K105" s="29" t="s">
        <v>1312</v>
      </c>
      <c r="L105" s="77" t="s">
        <v>363</v>
      </c>
      <c r="M105" s="32" t="s">
        <v>1313</v>
      </c>
    </row>
    <row r="106" spans="1:13" ht="15.75" thickBot="1" x14ac:dyDescent="0.3">
      <c r="A106" s="33">
        <v>45999.568472222221</v>
      </c>
      <c r="B106" s="34" t="s">
        <v>10</v>
      </c>
      <c r="C106" s="92" t="s">
        <v>902</v>
      </c>
      <c r="D106" s="34" t="s">
        <v>370</v>
      </c>
      <c r="E106" s="34" t="s">
        <v>28</v>
      </c>
      <c r="F106" s="35">
        <v>41019</v>
      </c>
      <c r="G106" s="34" t="s">
        <v>371</v>
      </c>
      <c r="H106" s="34" t="s">
        <v>372</v>
      </c>
      <c r="I106" s="34" t="s">
        <v>2</v>
      </c>
      <c r="J106" s="36" t="s">
        <v>1314</v>
      </c>
      <c r="K106" s="34" t="s">
        <v>1315</v>
      </c>
      <c r="L106" s="78" t="s">
        <v>369</v>
      </c>
      <c r="M106" s="37" t="s">
        <v>1316</v>
      </c>
    </row>
    <row r="107" spans="1:13" ht="15.75" thickBot="1" x14ac:dyDescent="0.3">
      <c r="A107" s="72">
        <v>45999.568807870368</v>
      </c>
      <c r="B107" s="73" t="s">
        <v>1317</v>
      </c>
      <c r="C107" s="73" t="s">
        <v>593</v>
      </c>
      <c r="D107" s="73" t="s">
        <v>1318</v>
      </c>
      <c r="E107" s="73" t="s">
        <v>10</v>
      </c>
      <c r="F107" s="74">
        <v>42281</v>
      </c>
      <c r="G107" s="73" t="s">
        <v>1319</v>
      </c>
      <c r="H107" s="73" t="s">
        <v>1320</v>
      </c>
      <c r="I107" s="73" t="s">
        <v>66</v>
      </c>
      <c r="J107" s="75" t="s">
        <v>1321</v>
      </c>
      <c r="K107" s="73" t="s">
        <v>1322</v>
      </c>
      <c r="L107" s="80" t="s">
        <v>3050</v>
      </c>
      <c r="M107" s="71"/>
    </row>
    <row r="108" spans="1:13" ht="15.75" thickBot="1" x14ac:dyDescent="0.3">
      <c r="A108" s="33">
        <v>45999.582627314812</v>
      </c>
      <c r="B108" s="34" t="s">
        <v>10</v>
      </c>
      <c r="C108" s="92" t="s">
        <v>902</v>
      </c>
      <c r="D108" s="34" t="s">
        <v>375</v>
      </c>
      <c r="E108" s="34" t="s">
        <v>28</v>
      </c>
      <c r="F108" s="35">
        <v>42161</v>
      </c>
      <c r="G108" s="34" t="s">
        <v>376</v>
      </c>
      <c r="H108" s="34" t="s">
        <v>377</v>
      </c>
      <c r="I108" s="34" t="s">
        <v>2</v>
      </c>
      <c r="J108" s="36" t="s">
        <v>1323</v>
      </c>
      <c r="K108" s="34" t="s">
        <v>1324</v>
      </c>
      <c r="L108" s="78" t="s">
        <v>374</v>
      </c>
      <c r="M108" s="37" t="s">
        <v>1325</v>
      </c>
    </row>
    <row r="109" spans="1:13" ht="15.75" thickBot="1" x14ac:dyDescent="0.3">
      <c r="A109" s="28">
        <v>45999.586354166669</v>
      </c>
      <c r="B109" s="29" t="s">
        <v>10</v>
      </c>
      <c r="C109" s="95" t="s">
        <v>902</v>
      </c>
      <c r="D109" s="29" t="s">
        <v>380</v>
      </c>
      <c r="E109" s="29" t="s">
        <v>28</v>
      </c>
      <c r="F109" s="30">
        <v>41601</v>
      </c>
      <c r="G109" s="29" t="s">
        <v>381</v>
      </c>
      <c r="H109" s="29" t="s">
        <v>382</v>
      </c>
      <c r="I109" s="29" t="s">
        <v>2</v>
      </c>
      <c r="J109" s="31" t="s">
        <v>1326</v>
      </c>
      <c r="K109" s="29" t="s">
        <v>1327</v>
      </c>
      <c r="L109" s="77" t="s">
        <v>379</v>
      </c>
      <c r="M109" s="32" t="s">
        <v>1328</v>
      </c>
    </row>
    <row r="110" spans="1:13" ht="15.75" thickBot="1" x14ac:dyDescent="0.3">
      <c r="A110" s="67">
        <v>45999.589317129627</v>
      </c>
      <c r="B110" s="68" t="s">
        <v>1317</v>
      </c>
      <c r="C110" s="68" t="s">
        <v>593</v>
      </c>
      <c r="D110" s="68" t="s">
        <v>1329</v>
      </c>
      <c r="E110" s="68" t="s">
        <v>1330</v>
      </c>
      <c r="F110" s="69">
        <v>42837</v>
      </c>
      <c r="G110" s="68" t="s">
        <v>1331</v>
      </c>
      <c r="H110" s="68" t="s">
        <v>1332</v>
      </c>
      <c r="I110" s="68" t="s">
        <v>66</v>
      </c>
      <c r="J110" s="70" t="s">
        <v>1333</v>
      </c>
      <c r="K110" s="68" t="s">
        <v>1334</v>
      </c>
      <c r="L110" s="79" t="s">
        <v>3051</v>
      </c>
      <c r="M110" s="71"/>
    </row>
    <row r="111" spans="1:13" ht="15.75" thickBot="1" x14ac:dyDescent="0.3">
      <c r="A111" s="28">
        <v>45999.595324074071</v>
      </c>
      <c r="B111" s="29" t="s">
        <v>10</v>
      </c>
      <c r="C111" s="95" t="s">
        <v>902</v>
      </c>
      <c r="D111" s="29" t="s">
        <v>385</v>
      </c>
      <c r="E111" s="29" t="s">
        <v>28</v>
      </c>
      <c r="F111" s="30">
        <v>41616</v>
      </c>
      <c r="G111" s="29" t="s">
        <v>386</v>
      </c>
      <c r="H111" s="29" t="s">
        <v>387</v>
      </c>
      <c r="I111" s="29" t="s">
        <v>2</v>
      </c>
      <c r="J111" s="31" t="s">
        <v>1335</v>
      </c>
      <c r="K111" s="29" t="s">
        <v>1336</v>
      </c>
      <c r="L111" s="77" t="s">
        <v>384</v>
      </c>
      <c r="M111" s="32" t="s">
        <v>1337</v>
      </c>
    </row>
    <row r="112" spans="1:13" ht="15.75" thickBot="1" x14ac:dyDescent="0.3">
      <c r="A112" s="33">
        <v>45999.59884259259</v>
      </c>
      <c r="B112" s="34" t="s">
        <v>10</v>
      </c>
      <c r="C112" s="34" t="s">
        <v>14</v>
      </c>
      <c r="D112" s="34" t="s">
        <v>392</v>
      </c>
      <c r="E112" s="34" t="s">
        <v>10</v>
      </c>
      <c r="F112" s="35">
        <v>41889</v>
      </c>
      <c r="G112" s="34" t="s">
        <v>393</v>
      </c>
      <c r="H112" s="34" t="s">
        <v>394</v>
      </c>
      <c r="I112" s="34" t="s">
        <v>2</v>
      </c>
      <c r="J112" s="36" t="s">
        <v>1338</v>
      </c>
      <c r="K112" s="34" t="s">
        <v>1339</v>
      </c>
      <c r="L112" s="78" t="s">
        <v>391</v>
      </c>
      <c r="M112" s="37" t="s">
        <v>1340</v>
      </c>
    </row>
    <row r="113" spans="1:13" ht="15.75" thickBot="1" x14ac:dyDescent="0.3">
      <c r="A113" s="72">
        <v>45999.599537037036</v>
      </c>
      <c r="B113" s="73" t="s">
        <v>1153</v>
      </c>
      <c r="C113" s="73" t="s">
        <v>256</v>
      </c>
      <c r="D113" s="73" t="s">
        <v>1341</v>
      </c>
      <c r="E113" s="73" t="s">
        <v>1342</v>
      </c>
      <c r="F113" s="74">
        <v>40962</v>
      </c>
      <c r="G113" s="73" t="s">
        <v>1343</v>
      </c>
      <c r="H113" s="73" t="s">
        <v>1344</v>
      </c>
      <c r="I113" s="73" t="s">
        <v>66</v>
      </c>
      <c r="J113" s="75" t="s">
        <v>1345</v>
      </c>
      <c r="K113" s="73" t="s">
        <v>1346</v>
      </c>
      <c r="L113" s="80" t="s">
        <v>3028</v>
      </c>
      <c r="M113" s="71"/>
    </row>
    <row r="114" spans="1:13" ht="15.75" thickBot="1" x14ac:dyDescent="0.3">
      <c r="A114" s="67">
        <v>45999.601631944446</v>
      </c>
      <c r="B114" s="68" t="s">
        <v>1153</v>
      </c>
      <c r="C114" s="68" t="s">
        <v>1534</v>
      </c>
      <c r="D114" s="68" t="s">
        <v>1347</v>
      </c>
      <c r="E114" s="68" t="s">
        <v>10</v>
      </c>
      <c r="F114" s="69">
        <v>42540</v>
      </c>
      <c r="G114" s="68" t="s">
        <v>1348</v>
      </c>
      <c r="H114" s="68" t="s">
        <v>1349</v>
      </c>
      <c r="I114" s="68" t="s">
        <v>2</v>
      </c>
      <c r="J114" s="70" t="s">
        <v>1350</v>
      </c>
      <c r="K114" s="68" t="s">
        <v>1351</v>
      </c>
      <c r="L114" s="79" t="s">
        <v>3029</v>
      </c>
      <c r="M114" s="71"/>
    </row>
    <row r="115" spans="1:13" ht="15.75" thickBot="1" x14ac:dyDescent="0.3">
      <c r="A115" s="72">
        <v>45999.617511574077</v>
      </c>
      <c r="B115" s="73" t="s">
        <v>1153</v>
      </c>
      <c r="C115" s="73" t="s">
        <v>256</v>
      </c>
      <c r="D115" s="73" t="s">
        <v>1352</v>
      </c>
      <c r="E115" s="73" t="s">
        <v>1353</v>
      </c>
      <c r="F115" s="74">
        <v>41984</v>
      </c>
      <c r="G115" s="73" t="s">
        <v>1354</v>
      </c>
      <c r="H115" s="73" t="s">
        <v>1355</v>
      </c>
      <c r="I115" s="73" t="s">
        <v>2</v>
      </c>
      <c r="J115" s="75" t="s">
        <v>1356</v>
      </c>
      <c r="K115" s="73" t="s">
        <v>1357</v>
      </c>
      <c r="L115" s="80" t="s">
        <v>3030</v>
      </c>
      <c r="M115" s="71"/>
    </row>
    <row r="116" spans="1:13" ht="15.75" thickBot="1" x14ac:dyDescent="0.3">
      <c r="A116" s="33">
        <v>45999.62400462963</v>
      </c>
      <c r="B116" s="34" t="s">
        <v>10</v>
      </c>
      <c r="C116" s="34" t="s">
        <v>14</v>
      </c>
      <c r="D116" s="34" t="s">
        <v>397</v>
      </c>
      <c r="E116" s="34" t="s">
        <v>10</v>
      </c>
      <c r="F116" s="35">
        <v>42591</v>
      </c>
      <c r="G116" s="34" t="s">
        <v>398</v>
      </c>
      <c r="H116" s="34" t="s">
        <v>399</v>
      </c>
      <c r="I116" s="34" t="s">
        <v>2</v>
      </c>
      <c r="J116" s="36" t="s">
        <v>1358</v>
      </c>
      <c r="K116" s="34" t="s">
        <v>1359</v>
      </c>
      <c r="L116" s="78" t="s">
        <v>396</v>
      </c>
      <c r="M116" s="37" t="s">
        <v>1360</v>
      </c>
    </row>
    <row r="117" spans="1:13" ht="15.75" thickBot="1" x14ac:dyDescent="0.3">
      <c r="A117" s="28">
        <v>45999.648738425924</v>
      </c>
      <c r="B117" s="29" t="s">
        <v>10</v>
      </c>
      <c r="C117" s="29" t="s">
        <v>14</v>
      </c>
      <c r="D117" s="29" t="s">
        <v>16</v>
      </c>
      <c r="E117" s="29" t="s">
        <v>402</v>
      </c>
      <c r="F117" s="30">
        <v>41776</v>
      </c>
      <c r="G117" s="29" t="s">
        <v>403</v>
      </c>
      <c r="H117" s="29" t="s">
        <v>404</v>
      </c>
      <c r="I117" s="29" t="s">
        <v>2</v>
      </c>
      <c r="J117" s="31" t="s">
        <v>1361</v>
      </c>
      <c r="K117" s="29" t="s">
        <v>1362</v>
      </c>
      <c r="L117" s="77" t="s">
        <v>401</v>
      </c>
      <c r="M117" s="32" t="s">
        <v>1363</v>
      </c>
    </row>
    <row r="118" spans="1:13" ht="15.75" thickBot="1" x14ac:dyDescent="0.3">
      <c r="A118" s="33">
        <v>45999.650555555556</v>
      </c>
      <c r="B118" s="34" t="s">
        <v>10</v>
      </c>
      <c r="C118" s="34" t="s">
        <v>14</v>
      </c>
      <c r="D118" s="34" t="s">
        <v>407</v>
      </c>
      <c r="E118" s="34" t="s">
        <v>10</v>
      </c>
      <c r="F118" s="35">
        <v>41776</v>
      </c>
      <c r="G118" s="34" t="s">
        <v>408</v>
      </c>
      <c r="H118" s="34" t="s">
        <v>409</v>
      </c>
      <c r="I118" s="34" t="s">
        <v>2</v>
      </c>
      <c r="J118" s="36" t="s">
        <v>1364</v>
      </c>
      <c r="K118" s="34" t="s">
        <v>1365</v>
      </c>
      <c r="L118" s="78" t="s">
        <v>406</v>
      </c>
      <c r="M118" s="37" t="s">
        <v>1366</v>
      </c>
    </row>
    <row r="119" spans="1:13" ht="15.75" thickBot="1" x14ac:dyDescent="0.3">
      <c r="A119" s="28">
        <v>45999.652499999997</v>
      </c>
      <c r="B119" s="29" t="s">
        <v>10</v>
      </c>
      <c r="C119" s="29" t="s">
        <v>14</v>
      </c>
      <c r="D119" s="29" t="s">
        <v>412</v>
      </c>
      <c r="E119" s="29" t="s">
        <v>59</v>
      </c>
      <c r="F119" s="30">
        <v>41903</v>
      </c>
      <c r="G119" s="29" t="s">
        <v>413</v>
      </c>
      <c r="H119" s="29" t="s">
        <v>414</v>
      </c>
      <c r="I119" s="29" t="s">
        <v>2</v>
      </c>
      <c r="J119" s="31" t="s">
        <v>1367</v>
      </c>
      <c r="K119" s="29" t="s">
        <v>1368</v>
      </c>
      <c r="L119" s="77" t="s">
        <v>411</v>
      </c>
      <c r="M119" s="32" t="s">
        <v>1369</v>
      </c>
    </row>
    <row r="120" spans="1:13" ht="15.75" thickBot="1" x14ac:dyDescent="0.3">
      <c r="A120" s="33">
        <v>45999.653136574074</v>
      </c>
      <c r="B120" s="34" t="s">
        <v>10</v>
      </c>
      <c r="C120" s="34" t="s">
        <v>14</v>
      </c>
      <c r="D120" s="34" t="s">
        <v>417</v>
      </c>
      <c r="E120" s="34" t="s">
        <v>28</v>
      </c>
      <c r="F120" s="35">
        <v>41702</v>
      </c>
      <c r="G120" s="34" t="s">
        <v>418</v>
      </c>
      <c r="H120" s="34" t="s">
        <v>419</v>
      </c>
      <c r="I120" s="34" t="s">
        <v>2</v>
      </c>
      <c r="J120" s="36" t="s">
        <v>1370</v>
      </c>
      <c r="K120" s="34" t="s">
        <v>1371</v>
      </c>
      <c r="L120" s="78" t="s">
        <v>416</v>
      </c>
      <c r="M120" s="37" t="s">
        <v>1372</v>
      </c>
    </row>
    <row r="121" spans="1:13" ht="15.75" thickBot="1" x14ac:dyDescent="0.3">
      <c r="A121" s="28">
        <v>45999.655682870369</v>
      </c>
      <c r="B121" s="29" t="s">
        <v>10</v>
      </c>
      <c r="C121" s="29" t="s">
        <v>14</v>
      </c>
      <c r="D121" s="29" t="s">
        <v>422</v>
      </c>
      <c r="E121" s="29" t="s">
        <v>423</v>
      </c>
      <c r="F121" s="30">
        <v>41644</v>
      </c>
      <c r="G121" s="29" t="s">
        <v>297</v>
      </c>
      <c r="H121" s="29" t="s">
        <v>298</v>
      </c>
      <c r="I121" s="29" t="s">
        <v>2</v>
      </c>
      <c r="J121" s="31" t="s">
        <v>1373</v>
      </c>
      <c r="K121" s="29" t="s">
        <v>1374</v>
      </c>
      <c r="L121" s="77" t="s">
        <v>421</v>
      </c>
      <c r="M121" s="32" t="s">
        <v>1375</v>
      </c>
    </row>
    <row r="122" spans="1:13" ht="15.75" thickBot="1" x14ac:dyDescent="0.3">
      <c r="A122" s="33">
        <v>45999.659560185188</v>
      </c>
      <c r="B122" s="34" t="s">
        <v>10</v>
      </c>
      <c r="C122" s="92" t="s">
        <v>902</v>
      </c>
      <c r="D122" s="34" t="s">
        <v>426</v>
      </c>
      <c r="E122" s="34" t="s">
        <v>28</v>
      </c>
      <c r="F122" s="35">
        <v>41634</v>
      </c>
      <c r="G122" s="34" t="s">
        <v>427</v>
      </c>
      <c r="H122" s="34" t="s">
        <v>428</v>
      </c>
      <c r="I122" s="34" t="s">
        <v>66</v>
      </c>
      <c r="J122" s="36" t="s">
        <v>1376</v>
      </c>
      <c r="K122" s="34" t="s">
        <v>1377</v>
      </c>
      <c r="L122" s="78" t="s">
        <v>425</v>
      </c>
      <c r="M122" s="37" t="s">
        <v>1378</v>
      </c>
    </row>
    <row r="123" spans="1:13" ht="15.75" thickBot="1" x14ac:dyDescent="0.3">
      <c r="A123" s="28">
        <v>45999.671435185184</v>
      </c>
      <c r="B123" s="29" t="s">
        <v>10</v>
      </c>
      <c r="C123" s="29" t="s">
        <v>435</v>
      </c>
      <c r="D123" s="29" t="s">
        <v>431</v>
      </c>
      <c r="E123" s="29" t="s">
        <v>10</v>
      </c>
      <c r="F123" s="30">
        <v>41619</v>
      </c>
      <c r="G123" s="29" t="s">
        <v>432</v>
      </c>
      <c r="H123" s="29" t="s">
        <v>433</v>
      </c>
      <c r="I123" s="29" t="s">
        <v>66</v>
      </c>
      <c r="J123" s="31" t="s">
        <v>1379</v>
      </c>
      <c r="K123" s="29" t="s">
        <v>1380</v>
      </c>
      <c r="L123" s="77" t="s">
        <v>430</v>
      </c>
      <c r="M123" s="32" t="s">
        <v>1381</v>
      </c>
    </row>
    <row r="124" spans="1:13" ht="15.75" thickBot="1" x14ac:dyDescent="0.3">
      <c r="A124" s="33">
        <v>45999.67560185185</v>
      </c>
      <c r="B124" s="34" t="s">
        <v>10</v>
      </c>
      <c r="C124" s="34" t="s">
        <v>441</v>
      </c>
      <c r="D124" s="34" t="s">
        <v>437</v>
      </c>
      <c r="E124" s="34" t="s">
        <v>28</v>
      </c>
      <c r="F124" s="35">
        <v>41900</v>
      </c>
      <c r="G124" s="34" t="s">
        <v>438</v>
      </c>
      <c r="H124" s="34" t="s">
        <v>439</v>
      </c>
      <c r="I124" s="34" t="s">
        <v>66</v>
      </c>
      <c r="J124" s="36" t="s">
        <v>1382</v>
      </c>
      <c r="K124" s="34" t="s">
        <v>1383</v>
      </c>
      <c r="L124" s="78" t="s">
        <v>436</v>
      </c>
      <c r="M124" s="37" t="s">
        <v>1384</v>
      </c>
    </row>
    <row r="125" spans="1:13" ht="15.75" thickBot="1" x14ac:dyDescent="0.3">
      <c r="A125" s="72">
        <v>45999.690312500003</v>
      </c>
      <c r="B125" s="73" t="s">
        <v>1153</v>
      </c>
      <c r="C125" s="73" t="s">
        <v>256</v>
      </c>
      <c r="D125" s="73" t="s">
        <v>1385</v>
      </c>
      <c r="E125" s="73" t="s">
        <v>10</v>
      </c>
      <c r="F125" s="74">
        <v>43194</v>
      </c>
      <c r="G125" s="73" t="s">
        <v>1386</v>
      </c>
      <c r="H125" s="73" t="s">
        <v>1387</v>
      </c>
      <c r="I125" s="73" t="s">
        <v>66</v>
      </c>
      <c r="J125" s="75" t="s">
        <v>1388</v>
      </c>
      <c r="K125" s="73" t="s">
        <v>1389</v>
      </c>
      <c r="L125" s="80" t="s">
        <v>3031</v>
      </c>
      <c r="M125" s="71"/>
    </row>
    <row r="126" spans="1:13" ht="15.75" thickBot="1" x14ac:dyDescent="0.3">
      <c r="A126" s="67">
        <v>45999.699733796297</v>
      </c>
      <c r="B126" s="68" t="s">
        <v>1153</v>
      </c>
      <c r="C126" s="68" t="s">
        <v>256</v>
      </c>
      <c r="D126" s="68" t="s">
        <v>1390</v>
      </c>
      <c r="E126" s="68" t="s">
        <v>10</v>
      </c>
      <c r="F126" s="69">
        <v>41884</v>
      </c>
      <c r="G126" s="68" t="s">
        <v>1391</v>
      </c>
      <c r="H126" s="68" t="s">
        <v>1392</v>
      </c>
      <c r="I126" s="68" t="s">
        <v>66</v>
      </c>
      <c r="J126" s="70" t="s">
        <v>1393</v>
      </c>
      <c r="K126" s="68" t="s">
        <v>1394</v>
      </c>
      <c r="L126" s="79" t="s">
        <v>3032</v>
      </c>
      <c r="M126" s="71"/>
    </row>
    <row r="127" spans="1:13" ht="15.75" thickBot="1" x14ac:dyDescent="0.3">
      <c r="A127" s="72">
        <v>45999.707453703704</v>
      </c>
      <c r="B127" s="73" t="s">
        <v>1153</v>
      </c>
      <c r="C127" s="73" t="s">
        <v>256</v>
      </c>
      <c r="D127" s="73" t="s">
        <v>1395</v>
      </c>
      <c r="E127" s="73" t="s">
        <v>10</v>
      </c>
      <c r="F127" s="74">
        <v>41789</v>
      </c>
      <c r="G127" s="73" t="s">
        <v>1396</v>
      </c>
      <c r="H127" s="73" t="s">
        <v>1397</v>
      </c>
      <c r="I127" s="73" t="s">
        <v>2</v>
      </c>
      <c r="J127" s="75" t="s">
        <v>1398</v>
      </c>
      <c r="K127" s="73" t="s">
        <v>1399</v>
      </c>
      <c r="L127" s="80" t="s">
        <v>3033</v>
      </c>
      <c r="M127" s="71"/>
    </row>
    <row r="128" spans="1:13" ht="15.75" thickBot="1" x14ac:dyDescent="0.3">
      <c r="A128" s="33">
        <v>45999.709398148145</v>
      </c>
      <c r="B128" s="34" t="s">
        <v>10</v>
      </c>
      <c r="C128" s="34" t="s">
        <v>14</v>
      </c>
      <c r="D128" s="34" t="s">
        <v>443</v>
      </c>
      <c r="E128" s="34" t="s">
        <v>315</v>
      </c>
      <c r="F128" s="35">
        <v>42181</v>
      </c>
      <c r="G128" s="34" t="s">
        <v>444</v>
      </c>
      <c r="H128" s="34" t="s">
        <v>194</v>
      </c>
      <c r="I128" s="34" t="s">
        <v>2</v>
      </c>
      <c r="J128" s="36" t="s">
        <v>1400</v>
      </c>
      <c r="K128" s="34" t="s">
        <v>1401</v>
      </c>
      <c r="L128" s="78" t="s">
        <v>442</v>
      </c>
      <c r="M128" s="37" t="s">
        <v>1402</v>
      </c>
    </row>
    <row r="129" spans="1:13" ht="15.75" thickBot="1" x14ac:dyDescent="0.3">
      <c r="A129" s="28">
        <v>45999.729201388887</v>
      </c>
      <c r="B129" s="29" t="s">
        <v>953</v>
      </c>
      <c r="C129" s="29" t="s">
        <v>268</v>
      </c>
      <c r="D129" s="29" t="s">
        <v>447</v>
      </c>
      <c r="E129" s="29" t="s">
        <v>10</v>
      </c>
      <c r="F129" s="30">
        <v>42404</v>
      </c>
      <c r="G129" s="29" t="s">
        <v>448</v>
      </c>
      <c r="H129" s="29" t="s">
        <v>449</v>
      </c>
      <c r="I129" s="29" t="s">
        <v>2</v>
      </c>
      <c r="J129" s="31" t="s">
        <v>1403</v>
      </c>
      <c r="K129" s="29" t="s">
        <v>1404</v>
      </c>
      <c r="L129" s="77" t="s">
        <v>446</v>
      </c>
      <c r="M129" s="32" t="s">
        <v>1405</v>
      </c>
    </row>
    <row r="130" spans="1:13" ht="15.75" thickBot="1" x14ac:dyDescent="0.3">
      <c r="A130" s="33">
        <v>45999.736030092594</v>
      </c>
      <c r="B130" s="34" t="s">
        <v>10</v>
      </c>
      <c r="C130" s="34" t="s">
        <v>457</v>
      </c>
      <c r="D130" s="34" t="s">
        <v>452</v>
      </c>
      <c r="E130" s="34" t="s">
        <v>453</v>
      </c>
      <c r="F130" s="35">
        <v>42703</v>
      </c>
      <c r="G130" s="34" t="s">
        <v>454</v>
      </c>
      <c r="H130" s="34" t="s">
        <v>455</v>
      </c>
      <c r="I130" s="34" t="s">
        <v>2</v>
      </c>
      <c r="J130" s="36" t="s">
        <v>1406</v>
      </c>
      <c r="K130" s="34" t="s">
        <v>1407</v>
      </c>
      <c r="L130" s="78" t="s">
        <v>451</v>
      </c>
      <c r="M130" s="37" t="s">
        <v>1408</v>
      </c>
    </row>
    <row r="131" spans="1:13" ht="15.75" thickBot="1" x14ac:dyDescent="0.3">
      <c r="A131" s="28">
        <v>45999.748252314814</v>
      </c>
      <c r="B131" s="29" t="s">
        <v>10</v>
      </c>
      <c r="C131" s="29" t="s">
        <v>14</v>
      </c>
      <c r="D131" s="29" t="s">
        <v>459</v>
      </c>
      <c r="E131" s="29" t="s">
        <v>28</v>
      </c>
      <c r="F131" s="30">
        <v>41599</v>
      </c>
      <c r="G131" s="29" t="s">
        <v>460</v>
      </c>
      <c r="H131" s="29" t="s">
        <v>461</v>
      </c>
      <c r="I131" s="29" t="s">
        <v>2</v>
      </c>
      <c r="J131" s="31" t="s">
        <v>1409</v>
      </c>
      <c r="K131" s="29" t="s">
        <v>1410</v>
      </c>
      <c r="L131" s="77" t="s">
        <v>458</v>
      </c>
      <c r="M131" s="32" t="s">
        <v>1411</v>
      </c>
    </row>
    <row r="132" spans="1:13" ht="15.75" thickBot="1" x14ac:dyDescent="0.3">
      <c r="A132" s="33">
        <v>45999.759918981479</v>
      </c>
      <c r="B132" s="34" t="s">
        <v>10</v>
      </c>
      <c r="C132" s="34" t="s">
        <v>14</v>
      </c>
      <c r="D132" s="34" t="s">
        <v>464</v>
      </c>
      <c r="E132" s="34" t="s">
        <v>28</v>
      </c>
      <c r="F132" s="35">
        <v>42256</v>
      </c>
      <c r="G132" s="34" t="s">
        <v>465</v>
      </c>
      <c r="H132" s="34" t="s">
        <v>466</v>
      </c>
      <c r="I132" s="34" t="s">
        <v>2</v>
      </c>
      <c r="J132" s="36" t="s">
        <v>1412</v>
      </c>
      <c r="K132" s="34" t="s">
        <v>1413</v>
      </c>
      <c r="L132" s="78" t="s">
        <v>463</v>
      </c>
      <c r="M132" s="37" t="s">
        <v>1414</v>
      </c>
    </row>
    <row r="133" spans="1:13" ht="15.75" thickBot="1" x14ac:dyDescent="0.3">
      <c r="A133" s="28">
        <v>45999.843460648146</v>
      </c>
      <c r="B133" s="29" t="s">
        <v>10</v>
      </c>
      <c r="C133" s="29" t="s">
        <v>473</v>
      </c>
      <c r="D133" s="29" t="s">
        <v>469</v>
      </c>
      <c r="E133" s="29" t="s">
        <v>28</v>
      </c>
      <c r="F133" s="30">
        <v>41513</v>
      </c>
      <c r="G133" s="29" t="s">
        <v>470</v>
      </c>
      <c r="H133" s="29" t="s">
        <v>471</v>
      </c>
      <c r="I133" s="29" t="s">
        <v>2</v>
      </c>
      <c r="J133" s="31" t="s">
        <v>1415</v>
      </c>
      <c r="K133" s="29" t="s">
        <v>1416</v>
      </c>
      <c r="L133" s="77" t="s">
        <v>468</v>
      </c>
      <c r="M133" s="32" t="s">
        <v>1417</v>
      </c>
    </row>
    <row r="134" spans="1:13" ht="15.75" thickBot="1" x14ac:dyDescent="0.3">
      <c r="A134" s="67">
        <v>45999.878692129627</v>
      </c>
      <c r="B134" s="68" t="s">
        <v>1153</v>
      </c>
      <c r="C134" s="68" t="s">
        <v>1260</v>
      </c>
      <c r="D134" s="68" t="s">
        <v>1418</v>
      </c>
      <c r="E134" s="68" t="s">
        <v>328</v>
      </c>
      <c r="F134" s="69">
        <v>43922</v>
      </c>
      <c r="G134" s="68" t="s">
        <v>1419</v>
      </c>
      <c r="H134" s="68" t="s">
        <v>1420</v>
      </c>
      <c r="I134" s="68" t="s">
        <v>2</v>
      </c>
      <c r="J134" s="70" t="s">
        <v>1421</v>
      </c>
      <c r="K134" s="68" t="s">
        <v>1422</v>
      </c>
      <c r="L134" s="79" t="s">
        <v>3034</v>
      </c>
      <c r="M134" s="71"/>
    </row>
    <row r="135" spans="1:13" ht="15.75" thickBot="1" x14ac:dyDescent="0.3">
      <c r="A135" s="72">
        <v>45999.893194444441</v>
      </c>
      <c r="B135" s="73" t="s">
        <v>1317</v>
      </c>
      <c r="C135" s="73" t="s">
        <v>484</v>
      </c>
      <c r="D135" s="73" t="s">
        <v>1423</v>
      </c>
      <c r="E135" s="73" t="s">
        <v>28</v>
      </c>
      <c r="F135" s="74">
        <v>41621</v>
      </c>
      <c r="G135" s="73" t="s">
        <v>1424</v>
      </c>
      <c r="H135" s="73" t="s">
        <v>1425</v>
      </c>
      <c r="I135" s="73" t="s">
        <v>66</v>
      </c>
      <c r="J135" s="75" t="s">
        <v>1426</v>
      </c>
      <c r="K135" s="73" t="s">
        <v>1427</v>
      </c>
      <c r="L135" s="80" t="s">
        <v>3052</v>
      </c>
      <c r="M135" s="71"/>
    </row>
    <row r="136" spans="1:13" ht="15.75" thickBot="1" x14ac:dyDescent="0.3">
      <c r="A136" s="67">
        <v>45999.898599537039</v>
      </c>
      <c r="B136" s="68" t="s">
        <v>998</v>
      </c>
      <c r="C136" s="68" t="s">
        <v>214</v>
      </c>
      <c r="D136" s="68" t="s">
        <v>1428</v>
      </c>
      <c r="E136" s="68" t="s">
        <v>59</v>
      </c>
      <c r="F136" s="69">
        <v>42531</v>
      </c>
      <c r="G136" s="68" t="s">
        <v>1429</v>
      </c>
      <c r="H136" s="68" t="s">
        <v>1430</v>
      </c>
      <c r="I136" s="68" t="s">
        <v>2</v>
      </c>
      <c r="J136" s="70" t="s">
        <v>1431</v>
      </c>
      <c r="K136" s="68" t="s">
        <v>1432</v>
      </c>
      <c r="L136" s="79" t="s">
        <v>3140</v>
      </c>
      <c r="M136" s="71"/>
    </row>
    <row r="137" spans="1:13" ht="15.75" thickBot="1" x14ac:dyDescent="0.3">
      <c r="A137" s="72">
        <v>45999.935717592591</v>
      </c>
      <c r="B137" s="73" t="s">
        <v>1153</v>
      </c>
      <c r="C137" s="73" t="s">
        <v>256</v>
      </c>
      <c r="D137" s="73" t="s">
        <v>1154</v>
      </c>
      <c r="E137" s="73" t="s">
        <v>1155</v>
      </c>
      <c r="F137" s="74">
        <v>42269</v>
      </c>
      <c r="G137" s="73" t="s">
        <v>1156</v>
      </c>
      <c r="H137" s="73" t="s">
        <v>1157</v>
      </c>
      <c r="I137" s="73" t="s">
        <v>2</v>
      </c>
      <c r="J137" s="75" t="s">
        <v>1433</v>
      </c>
      <c r="K137" s="73" t="s">
        <v>1434</v>
      </c>
      <c r="L137" s="80" t="s">
        <v>3035</v>
      </c>
      <c r="M137" s="71"/>
    </row>
    <row r="138" spans="1:13" ht="15.75" thickBot="1" x14ac:dyDescent="0.3">
      <c r="A138" s="33">
        <v>45999.946087962962</v>
      </c>
      <c r="B138" s="34" t="s">
        <v>953</v>
      </c>
      <c r="C138" s="34" t="s">
        <v>268</v>
      </c>
      <c r="D138" s="34" t="s">
        <v>475</v>
      </c>
      <c r="E138" s="34" t="s">
        <v>28</v>
      </c>
      <c r="F138" s="35">
        <v>41600</v>
      </c>
      <c r="G138" s="34" t="s">
        <v>476</v>
      </c>
      <c r="H138" s="34" t="s">
        <v>477</v>
      </c>
      <c r="I138" s="34" t="s">
        <v>2</v>
      </c>
      <c r="J138" s="36" t="s">
        <v>1435</v>
      </c>
      <c r="K138" s="34" t="s">
        <v>1436</v>
      </c>
      <c r="L138" s="78" t="s">
        <v>474</v>
      </c>
      <c r="M138" s="37" t="s">
        <v>1437</v>
      </c>
    </row>
    <row r="139" spans="1:13" ht="15.75" thickBot="1" x14ac:dyDescent="0.3">
      <c r="A139" s="28">
        <v>46000.236875000002</v>
      </c>
      <c r="B139" s="29" t="s">
        <v>10</v>
      </c>
      <c r="C139" s="29" t="s">
        <v>484</v>
      </c>
      <c r="D139" s="29" t="s">
        <v>480</v>
      </c>
      <c r="E139" s="29" t="s">
        <v>10</v>
      </c>
      <c r="F139" s="30">
        <v>41779</v>
      </c>
      <c r="G139" s="29" t="s">
        <v>481</v>
      </c>
      <c r="H139" s="29" t="s">
        <v>482</v>
      </c>
      <c r="I139" s="29" t="s">
        <v>66</v>
      </c>
      <c r="J139" s="31" t="s">
        <v>1438</v>
      </c>
      <c r="K139" s="29" t="s">
        <v>1439</v>
      </c>
      <c r="L139" s="77" t="s">
        <v>479</v>
      </c>
      <c r="M139" s="32" t="s">
        <v>1440</v>
      </c>
    </row>
    <row r="140" spans="1:13" ht="15.75" thickBot="1" x14ac:dyDescent="0.3">
      <c r="A140" s="33">
        <v>46000.290266203701</v>
      </c>
      <c r="B140" s="34" t="s">
        <v>10</v>
      </c>
      <c r="C140" s="34" t="s">
        <v>490</v>
      </c>
      <c r="D140" s="34" t="s">
        <v>486</v>
      </c>
      <c r="E140" s="34" t="s">
        <v>10</v>
      </c>
      <c r="F140" s="35">
        <v>42134</v>
      </c>
      <c r="G140" s="34" t="s">
        <v>487</v>
      </c>
      <c r="H140" s="34" t="s">
        <v>488</v>
      </c>
      <c r="I140" s="34" t="s">
        <v>2</v>
      </c>
      <c r="J140" s="36" t="s">
        <v>1441</v>
      </c>
      <c r="K140" s="34" t="s">
        <v>1442</v>
      </c>
      <c r="L140" s="78" t="s">
        <v>485</v>
      </c>
      <c r="M140" s="37" t="s">
        <v>1443</v>
      </c>
    </row>
    <row r="141" spans="1:13" ht="15.75" thickBot="1" x14ac:dyDescent="0.3">
      <c r="A141" s="28">
        <v>46000.299780092595</v>
      </c>
      <c r="B141" s="29" t="s">
        <v>10</v>
      </c>
      <c r="C141" s="29" t="s">
        <v>490</v>
      </c>
      <c r="D141" s="29" t="s">
        <v>492</v>
      </c>
      <c r="E141" s="29" t="s">
        <v>10</v>
      </c>
      <c r="F141" s="30">
        <v>41917</v>
      </c>
      <c r="G141" s="29" t="s">
        <v>493</v>
      </c>
      <c r="H141" s="29" t="s">
        <v>494</v>
      </c>
      <c r="I141" s="29" t="s">
        <v>66</v>
      </c>
      <c r="J141" s="31" t="s">
        <v>1444</v>
      </c>
      <c r="K141" s="29" t="s">
        <v>1445</v>
      </c>
      <c r="L141" s="77" t="s">
        <v>491</v>
      </c>
      <c r="M141" s="32" t="s">
        <v>1446</v>
      </c>
    </row>
    <row r="142" spans="1:13" ht="15.75" thickBot="1" x14ac:dyDescent="0.3">
      <c r="A142" s="67">
        <v>46000.303946759261</v>
      </c>
      <c r="B142" s="68" t="s">
        <v>1317</v>
      </c>
      <c r="C142" s="68" t="s">
        <v>511</v>
      </c>
      <c r="D142" s="68" t="s">
        <v>1447</v>
      </c>
      <c r="E142" s="68" t="s">
        <v>10</v>
      </c>
      <c r="F142" s="69">
        <v>41653</v>
      </c>
      <c r="G142" s="68" t="s">
        <v>1448</v>
      </c>
      <c r="H142" s="68" t="s">
        <v>1449</v>
      </c>
      <c r="I142" s="68" t="s">
        <v>2</v>
      </c>
      <c r="J142" s="70" t="s">
        <v>1450</v>
      </c>
      <c r="K142" s="68" t="s">
        <v>1451</v>
      </c>
      <c r="L142" s="79" t="s">
        <v>3053</v>
      </c>
      <c r="M142" s="71"/>
    </row>
    <row r="143" spans="1:13" ht="15.75" thickBot="1" x14ac:dyDescent="0.3">
      <c r="A143" s="28">
        <v>46000.304131944446</v>
      </c>
      <c r="B143" s="29" t="s">
        <v>10</v>
      </c>
      <c r="C143" s="95" t="s">
        <v>902</v>
      </c>
      <c r="D143" s="29" t="s">
        <v>497</v>
      </c>
      <c r="E143" s="29" t="s">
        <v>365</v>
      </c>
      <c r="F143" s="30">
        <v>41407</v>
      </c>
      <c r="G143" s="29" t="s">
        <v>498</v>
      </c>
      <c r="H143" s="29" t="s">
        <v>499</v>
      </c>
      <c r="I143" s="29" t="s">
        <v>66</v>
      </c>
      <c r="J143" s="31" t="s">
        <v>1453</v>
      </c>
      <c r="K143" s="29" t="s">
        <v>1454</v>
      </c>
      <c r="L143" s="77" t="s">
        <v>496</v>
      </c>
      <c r="M143" s="32" t="s">
        <v>1455</v>
      </c>
    </row>
    <row r="144" spans="1:13" ht="15.75" thickBot="1" x14ac:dyDescent="0.3">
      <c r="A144" s="33">
        <v>46000.305312500001</v>
      </c>
      <c r="B144" s="34" t="s">
        <v>10</v>
      </c>
      <c r="C144" s="34" t="s">
        <v>490</v>
      </c>
      <c r="D144" s="34" t="s">
        <v>502</v>
      </c>
      <c r="E144" s="34" t="s">
        <v>10</v>
      </c>
      <c r="F144" s="35">
        <v>41708</v>
      </c>
      <c r="G144" s="34" t="s">
        <v>503</v>
      </c>
      <c r="H144" s="34" t="s">
        <v>504</v>
      </c>
      <c r="I144" s="34" t="s">
        <v>66</v>
      </c>
      <c r="J144" s="36" t="s">
        <v>1456</v>
      </c>
      <c r="K144" s="34" t="s">
        <v>1457</v>
      </c>
      <c r="L144" s="78" t="s">
        <v>501</v>
      </c>
      <c r="M144" s="37" t="s">
        <v>1458</v>
      </c>
    </row>
    <row r="145" spans="1:13" ht="15.75" thickBot="1" x14ac:dyDescent="0.3">
      <c r="A145" s="49">
        <v>46000.324421296296</v>
      </c>
      <c r="B145" s="52" t="s">
        <v>10</v>
      </c>
      <c r="C145" s="52" t="s">
        <v>511</v>
      </c>
      <c r="D145" s="52" t="s">
        <v>507</v>
      </c>
      <c r="E145" s="52" t="s">
        <v>116</v>
      </c>
      <c r="F145" s="56">
        <v>42541</v>
      </c>
      <c r="G145" s="52" t="s">
        <v>508</v>
      </c>
      <c r="H145" s="52" t="s">
        <v>509</v>
      </c>
      <c r="I145" s="52" t="s">
        <v>2</v>
      </c>
      <c r="J145" s="59" t="s">
        <v>1464</v>
      </c>
      <c r="K145" s="52" t="s">
        <v>1465</v>
      </c>
      <c r="L145" s="77" t="s">
        <v>506</v>
      </c>
      <c r="M145" s="37" t="s">
        <v>1466</v>
      </c>
    </row>
    <row r="146" spans="1:13" ht="15.75" thickBot="1" x14ac:dyDescent="0.3">
      <c r="A146" s="50">
        <v>46000.397268518522</v>
      </c>
      <c r="B146" s="53" t="s">
        <v>10</v>
      </c>
      <c r="C146" s="92" t="s">
        <v>902</v>
      </c>
      <c r="D146" s="53" t="s">
        <v>513</v>
      </c>
      <c r="E146" s="53" t="s">
        <v>204</v>
      </c>
      <c r="F146" s="57">
        <v>41841</v>
      </c>
      <c r="G146" s="53" t="s">
        <v>514</v>
      </c>
      <c r="H146" s="53" t="s">
        <v>515</v>
      </c>
      <c r="I146" s="53" t="s">
        <v>66</v>
      </c>
      <c r="J146" s="60" t="s">
        <v>1468</v>
      </c>
      <c r="K146" s="53" t="s">
        <v>1469</v>
      </c>
      <c r="L146" s="78" t="s">
        <v>512</v>
      </c>
      <c r="M146" s="32" t="s">
        <v>1470</v>
      </c>
    </row>
    <row r="147" spans="1:13" ht="15.75" thickBot="1" x14ac:dyDescent="0.3">
      <c r="A147" s="49">
        <v>46000.397430555553</v>
      </c>
      <c r="B147" s="52" t="s">
        <v>10</v>
      </c>
      <c r="C147" s="95" t="s">
        <v>902</v>
      </c>
      <c r="D147" s="52" t="s">
        <v>518</v>
      </c>
      <c r="E147" s="52" t="s">
        <v>10</v>
      </c>
      <c r="F147" s="56">
        <v>41762</v>
      </c>
      <c r="G147" s="52" t="s">
        <v>519</v>
      </c>
      <c r="H147" s="52" t="s">
        <v>520</v>
      </c>
      <c r="I147" s="52" t="s">
        <v>66</v>
      </c>
      <c r="J147" s="59" t="s">
        <v>1471</v>
      </c>
      <c r="K147" s="52" t="s">
        <v>1472</v>
      </c>
      <c r="L147" s="77" t="s">
        <v>517</v>
      </c>
      <c r="M147" s="37" t="s">
        <v>1473</v>
      </c>
    </row>
    <row r="148" spans="1:13" ht="15.75" thickBot="1" x14ac:dyDescent="0.3">
      <c r="A148" s="50">
        <v>46000.397615740738</v>
      </c>
      <c r="B148" s="53" t="s">
        <v>953</v>
      </c>
      <c r="C148" s="53" t="s">
        <v>268</v>
      </c>
      <c r="D148" s="53" t="s">
        <v>523</v>
      </c>
      <c r="E148" s="53" t="s">
        <v>402</v>
      </c>
      <c r="F148" s="57">
        <v>41460</v>
      </c>
      <c r="G148" s="53" t="s">
        <v>524</v>
      </c>
      <c r="H148" s="53" t="s">
        <v>525</v>
      </c>
      <c r="I148" s="53" t="s">
        <v>2</v>
      </c>
      <c r="J148" s="60" t="s">
        <v>1474</v>
      </c>
      <c r="K148" s="53" t="s">
        <v>1475</v>
      </c>
      <c r="L148" s="78" t="s">
        <v>522</v>
      </c>
      <c r="M148" s="32" t="s">
        <v>1476</v>
      </c>
    </row>
    <row r="149" spans="1:13" ht="15.75" thickBot="1" x14ac:dyDescent="0.3">
      <c r="A149" s="49">
        <v>46000.399884259263</v>
      </c>
      <c r="B149" s="52" t="s">
        <v>10</v>
      </c>
      <c r="C149" s="95" t="s">
        <v>902</v>
      </c>
      <c r="D149" s="52" t="s">
        <v>528</v>
      </c>
      <c r="E149" s="52" t="s">
        <v>28</v>
      </c>
      <c r="F149" s="56">
        <v>42087</v>
      </c>
      <c r="G149" s="52" t="s">
        <v>529</v>
      </c>
      <c r="H149" s="52" t="s">
        <v>530</v>
      </c>
      <c r="I149" s="52" t="s">
        <v>66</v>
      </c>
      <c r="J149" s="59" t="s">
        <v>1477</v>
      </c>
      <c r="K149" s="52" t="s">
        <v>1478</v>
      </c>
      <c r="L149" s="77" t="s">
        <v>527</v>
      </c>
      <c r="M149" s="37" t="s">
        <v>1479</v>
      </c>
    </row>
    <row r="150" spans="1:13" ht="15.75" thickBot="1" x14ac:dyDescent="0.3">
      <c r="A150" s="50">
        <v>46000.407106481478</v>
      </c>
      <c r="B150" s="53" t="s">
        <v>10</v>
      </c>
      <c r="C150" s="92" t="s">
        <v>902</v>
      </c>
      <c r="D150" s="53" t="s">
        <v>533</v>
      </c>
      <c r="E150" s="53" t="s">
        <v>204</v>
      </c>
      <c r="F150" s="57">
        <v>41871</v>
      </c>
      <c r="G150" s="53" t="s">
        <v>534</v>
      </c>
      <c r="H150" s="53" t="s">
        <v>535</v>
      </c>
      <c r="I150" s="53" t="s">
        <v>2</v>
      </c>
      <c r="J150" s="60" t="s">
        <v>1480</v>
      </c>
      <c r="K150" s="53" t="s">
        <v>1481</v>
      </c>
      <c r="L150" s="78" t="s">
        <v>532</v>
      </c>
      <c r="M150" s="32" t="s">
        <v>1482</v>
      </c>
    </row>
    <row r="151" spans="1:13" ht="15.75" thickBot="1" x14ac:dyDescent="0.3">
      <c r="A151" s="49">
        <v>46000.410995370374</v>
      </c>
      <c r="B151" s="52" t="s">
        <v>10</v>
      </c>
      <c r="C151" s="95" t="s">
        <v>902</v>
      </c>
      <c r="D151" s="52" t="s">
        <v>538</v>
      </c>
      <c r="E151" s="52" t="s">
        <v>28</v>
      </c>
      <c r="F151" s="56">
        <v>41895</v>
      </c>
      <c r="G151" s="52" t="s">
        <v>539</v>
      </c>
      <c r="H151" s="52" t="s">
        <v>540</v>
      </c>
      <c r="I151" s="52" t="s">
        <v>66</v>
      </c>
      <c r="J151" s="59" t="s">
        <v>1484</v>
      </c>
      <c r="K151" s="52" t="s">
        <v>1485</v>
      </c>
      <c r="L151" s="77" t="s">
        <v>537</v>
      </c>
      <c r="M151" s="37" t="s">
        <v>1486</v>
      </c>
    </row>
    <row r="152" spans="1:13" ht="15.75" thickBot="1" x14ac:dyDescent="0.3">
      <c r="A152" s="50">
        <v>46000.412083333336</v>
      </c>
      <c r="B152" s="53" t="s">
        <v>953</v>
      </c>
      <c r="C152" s="53" t="s">
        <v>268</v>
      </c>
      <c r="D152" s="53" t="s">
        <v>475</v>
      </c>
      <c r="E152" s="53" t="s">
        <v>10</v>
      </c>
      <c r="F152" s="57">
        <v>41600</v>
      </c>
      <c r="G152" s="53" t="s">
        <v>476</v>
      </c>
      <c r="H152" s="53" t="s">
        <v>543</v>
      </c>
      <c r="I152" s="53" t="s">
        <v>2</v>
      </c>
      <c r="J152" s="60" t="s">
        <v>1487</v>
      </c>
      <c r="K152" s="53" t="s">
        <v>1488</v>
      </c>
      <c r="L152" s="78" t="s">
        <v>542</v>
      </c>
      <c r="M152" s="32" t="s">
        <v>1489</v>
      </c>
    </row>
    <row r="153" spans="1:13" ht="15.75" thickBot="1" x14ac:dyDescent="0.3">
      <c r="A153" s="49">
        <v>46000.413148148145</v>
      </c>
      <c r="B153" s="52" t="s">
        <v>10</v>
      </c>
      <c r="C153" s="52" t="s">
        <v>550</v>
      </c>
      <c r="D153" s="52" t="s">
        <v>546</v>
      </c>
      <c r="E153" s="52" t="s">
        <v>28</v>
      </c>
      <c r="F153" s="56">
        <v>43177</v>
      </c>
      <c r="G153" s="52" t="s">
        <v>547</v>
      </c>
      <c r="H153" s="52" t="s">
        <v>548</v>
      </c>
      <c r="I153" s="52" t="s">
        <v>2</v>
      </c>
      <c r="J153" s="59" t="s">
        <v>1490</v>
      </c>
      <c r="K153" s="52" t="s">
        <v>1491</v>
      </c>
      <c r="L153" s="77" t="s">
        <v>545</v>
      </c>
      <c r="M153" s="37" t="s">
        <v>1492</v>
      </c>
    </row>
    <row r="154" spans="1:13" ht="15.75" thickBot="1" x14ac:dyDescent="0.3">
      <c r="A154" s="50">
        <v>46000.41777777778</v>
      </c>
      <c r="B154" s="53" t="s">
        <v>10</v>
      </c>
      <c r="C154" s="92" t="s">
        <v>902</v>
      </c>
      <c r="D154" s="53" t="s">
        <v>552</v>
      </c>
      <c r="E154" s="53" t="s">
        <v>553</v>
      </c>
      <c r="F154" s="57">
        <v>41574</v>
      </c>
      <c r="G154" s="53" t="s">
        <v>554</v>
      </c>
      <c r="H154" s="53" t="s">
        <v>555</v>
      </c>
      <c r="I154" s="53" t="s">
        <v>66</v>
      </c>
      <c r="J154" s="60" t="s">
        <v>1494</v>
      </c>
      <c r="K154" s="53" t="s">
        <v>1495</v>
      </c>
      <c r="L154" s="78" t="s">
        <v>551</v>
      </c>
      <c r="M154" s="32" t="s">
        <v>1496</v>
      </c>
    </row>
    <row r="155" spans="1:13" ht="15.75" thickBot="1" x14ac:dyDescent="0.3">
      <c r="A155" s="49">
        <v>46000.42224537037</v>
      </c>
      <c r="B155" s="52" t="s">
        <v>10</v>
      </c>
      <c r="C155" s="95" t="s">
        <v>902</v>
      </c>
      <c r="D155" s="52" t="s">
        <v>558</v>
      </c>
      <c r="E155" s="52" t="s">
        <v>10</v>
      </c>
      <c r="F155" s="56">
        <v>42141</v>
      </c>
      <c r="G155" s="52" t="s">
        <v>559</v>
      </c>
      <c r="H155" s="52" t="s">
        <v>560</v>
      </c>
      <c r="I155" s="52" t="s">
        <v>2</v>
      </c>
      <c r="J155" s="59" t="s">
        <v>1498</v>
      </c>
      <c r="K155" s="52" t="s">
        <v>1499</v>
      </c>
      <c r="L155" s="77" t="s">
        <v>557</v>
      </c>
      <c r="M155" s="37" t="s">
        <v>1500</v>
      </c>
    </row>
    <row r="156" spans="1:13" ht="15.75" thickBot="1" x14ac:dyDescent="0.3">
      <c r="A156" s="67">
        <v>46000.464108796295</v>
      </c>
      <c r="B156" s="68" t="s">
        <v>1317</v>
      </c>
      <c r="C156" s="68" t="s">
        <v>484</v>
      </c>
      <c r="D156" s="68" t="s">
        <v>1501</v>
      </c>
      <c r="E156" s="68" t="s">
        <v>1502</v>
      </c>
      <c r="F156" s="69">
        <v>45722</v>
      </c>
      <c r="G156" s="68" t="s">
        <v>1503</v>
      </c>
      <c r="H156" s="68" t="s">
        <v>1504</v>
      </c>
      <c r="I156" s="68" t="s">
        <v>66</v>
      </c>
      <c r="J156" s="70" t="s">
        <v>1505</v>
      </c>
      <c r="K156" s="68" t="s">
        <v>1506</v>
      </c>
      <c r="L156" s="79" t="s">
        <v>3055</v>
      </c>
      <c r="M156" s="71"/>
    </row>
    <row r="157" spans="1:13" ht="15.75" thickBot="1" x14ac:dyDescent="0.3">
      <c r="A157" s="49">
        <v>46000.466643518521</v>
      </c>
      <c r="B157" s="52" t="s">
        <v>10</v>
      </c>
      <c r="C157" s="52" t="s">
        <v>567</v>
      </c>
      <c r="D157" s="52" t="s">
        <v>563</v>
      </c>
      <c r="E157" s="52" t="s">
        <v>10</v>
      </c>
      <c r="F157" s="56">
        <v>42621</v>
      </c>
      <c r="G157" s="52" t="s">
        <v>564</v>
      </c>
      <c r="H157" s="52" t="s">
        <v>565</v>
      </c>
      <c r="I157" s="52" t="s">
        <v>2</v>
      </c>
      <c r="J157" s="59" t="s">
        <v>1507</v>
      </c>
      <c r="K157" s="52" t="s">
        <v>1508</v>
      </c>
      <c r="L157" s="77" t="s">
        <v>562</v>
      </c>
      <c r="M157" s="37" t="s">
        <v>1509</v>
      </c>
    </row>
    <row r="158" spans="1:13" ht="15.75" thickBot="1" x14ac:dyDescent="0.3">
      <c r="A158" s="50">
        <v>46000.479803240742</v>
      </c>
      <c r="B158" s="53" t="s">
        <v>10</v>
      </c>
      <c r="C158" s="53" t="s">
        <v>567</v>
      </c>
      <c r="D158" s="53" t="s">
        <v>569</v>
      </c>
      <c r="E158" s="53" t="s">
        <v>10</v>
      </c>
      <c r="F158" s="57">
        <v>42412</v>
      </c>
      <c r="G158" s="53" t="s">
        <v>570</v>
      </c>
      <c r="H158" s="53" t="s">
        <v>571</v>
      </c>
      <c r="I158" s="53" t="s">
        <v>2</v>
      </c>
      <c r="J158" s="60" t="s">
        <v>1510</v>
      </c>
      <c r="K158" s="53" t="s">
        <v>1511</v>
      </c>
      <c r="L158" s="78" t="s">
        <v>568</v>
      </c>
      <c r="M158" s="32" t="s">
        <v>1512</v>
      </c>
    </row>
    <row r="159" spans="1:13" ht="15.75" thickBot="1" x14ac:dyDescent="0.3">
      <c r="A159" s="28">
        <v>46000.482233796298</v>
      </c>
      <c r="B159" s="29" t="s">
        <v>10</v>
      </c>
      <c r="C159" s="29" t="s">
        <v>567</v>
      </c>
      <c r="D159" s="29" t="s">
        <v>574</v>
      </c>
      <c r="E159" s="29" t="s">
        <v>10</v>
      </c>
      <c r="F159" s="30">
        <v>42543</v>
      </c>
      <c r="G159" s="29" t="s">
        <v>575</v>
      </c>
      <c r="H159" s="29" t="s">
        <v>576</v>
      </c>
      <c r="I159" s="29" t="s">
        <v>2</v>
      </c>
      <c r="J159" s="31" t="s">
        <v>1515</v>
      </c>
      <c r="K159" s="29" t="s">
        <v>1516</v>
      </c>
      <c r="L159" s="77" t="s">
        <v>573</v>
      </c>
      <c r="M159" s="32" t="s">
        <v>1517</v>
      </c>
    </row>
    <row r="160" spans="1:13" ht="15.75" thickBot="1" x14ac:dyDescent="0.3">
      <c r="A160" s="67">
        <v>46000.482233796298</v>
      </c>
      <c r="B160" s="68" t="s">
        <v>10</v>
      </c>
      <c r="C160" s="68" t="s">
        <v>567</v>
      </c>
      <c r="D160" s="68" t="s">
        <v>578</v>
      </c>
      <c r="E160" s="68" t="s">
        <v>579</v>
      </c>
      <c r="F160" s="69">
        <v>40834</v>
      </c>
      <c r="G160" s="68" t="s">
        <v>580</v>
      </c>
      <c r="H160" s="68" t="s">
        <v>581</v>
      </c>
      <c r="I160" s="68" t="s">
        <v>66</v>
      </c>
      <c r="J160" s="70" t="s">
        <v>1513</v>
      </c>
      <c r="K160" s="68" t="s">
        <v>1514</v>
      </c>
      <c r="L160" s="79" t="s">
        <v>3016</v>
      </c>
      <c r="M160" s="71"/>
    </row>
    <row r="161" spans="1:13" ht="15.75" thickBot="1" x14ac:dyDescent="0.3">
      <c r="A161" s="72">
        <v>46000.492789351854</v>
      </c>
      <c r="B161" s="73" t="s">
        <v>1153</v>
      </c>
      <c r="C161" s="73" t="s">
        <v>256</v>
      </c>
      <c r="D161" s="73" t="s">
        <v>1518</v>
      </c>
      <c r="E161" s="73" t="s">
        <v>10</v>
      </c>
      <c r="F161" s="74">
        <v>42323</v>
      </c>
      <c r="G161" s="73" t="s">
        <v>1519</v>
      </c>
      <c r="H161" s="73" t="s">
        <v>1520</v>
      </c>
      <c r="I161" s="73" t="s">
        <v>2</v>
      </c>
      <c r="J161" s="75" t="s">
        <v>1521</v>
      </c>
      <c r="K161" s="73" t="s">
        <v>1522</v>
      </c>
      <c r="L161" s="80" t="s">
        <v>3036</v>
      </c>
      <c r="M161" s="71"/>
    </row>
    <row r="162" spans="1:13" ht="15.75" thickBot="1" x14ac:dyDescent="0.3">
      <c r="A162" s="67">
        <v>46000.497175925928</v>
      </c>
      <c r="B162" s="68" t="s">
        <v>1317</v>
      </c>
      <c r="C162" s="68" t="s">
        <v>473</v>
      </c>
      <c r="D162" s="68" t="s">
        <v>1523</v>
      </c>
      <c r="E162" s="68" t="s">
        <v>10</v>
      </c>
      <c r="F162" s="69">
        <v>42364</v>
      </c>
      <c r="G162" s="68" t="s">
        <v>1524</v>
      </c>
      <c r="H162" s="68" t="s">
        <v>1525</v>
      </c>
      <c r="I162" s="68" t="s">
        <v>2</v>
      </c>
      <c r="J162" s="70" t="s">
        <v>1526</v>
      </c>
      <c r="K162" s="68" t="s">
        <v>1527</v>
      </c>
      <c r="L162" s="79" t="s">
        <v>3056</v>
      </c>
      <c r="M162" s="71"/>
    </row>
    <row r="163" spans="1:13" ht="15.75" thickBot="1" x14ac:dyDescent="0.3">
      <c r="A163" s="49">
        <v>46000.512731481482</v>
      </c>
      <c r="B163" s="52" t="s">
        <v>10</v>
      </c>
      <c r="C163" s="52" t="s">
        <v>567</v>
      </c>
      <c r="D163" s="52" t="s">
        <v>583</v>
      </c>
      <c r="E163" s="52" t="s">
        <v>28</v>
      </c>
      <c r="F163" s="56">
        <v>41261</v>
      </c>
      <c r="G163" s="52" t="s">
        <v>584</v>
      </c>
      <c r="H163" s="52" t="s">
        <v>585</v>
      </c>
      <c r="I163" s="52" t="s">
        <v>66</v>
      </c>
      <c r="J163" s="59" t="s">
        <v>1528</v>
      </c>
      <c r="K163" s="52" t="s">
        <v>1529</v>
      </c>
      <c r="L163" s="77" t="s">
        <v>582</v>
      </c>
      <c r="M163" s="37" t="s">
        <v>1530</v>
      </c>
    </row>
    <row r="164" spans="1:13" ht="15.75" thickBot="1" x14ac:dyDescent="0.3">
      <c r="A164" s="50">
        <v>46000.530138888891</v>
      </c>
      <c r="B164" s="53" t="s">
        <v>10</v>
      </c>
      <c r="C164" s="53" t="s">
        <v>593</v>
      </c>
      <c r="D164" s="53" t="s">
        <v>588</v>
      </c>
      <c r="E164" s="53" t="s">
        <v>589</v>
      </c>
      <c r="F164" s="57">
        <v>41607</v>
      </c>
      <c r="G164" s="53" t="s">
        <v>590</v>
      </c>
      <c r="H164" s="53" t="s">
        <v>591</v>
      </c>
      <c r="I164" s="53" t="s">
        <v>66</v>
      </c>
      <c r="J164" s="60" t="s">
        <v>1531</v>
      </c>
      <c r="K164" s="53" t="s">
        <v>1532</v>
      </c>
      <c r="L164" s="78" t="s">
        <v>587</v>
      </c>
      <c r="M164" s="32" t="s">
        <v>1533</v>
      </c>
    </row>
    <row r="165" spans="1:13" ht="15.75" thickBot="1" x14ac:dyDescent="0.3">
      <c r="A165" s="72">
        <v>46000.535185185188</v>
      </c>
      <c r="B165" s="73" t="s">
        <v>1153</v>
      </c>
      <c r="C165" s="73" t="s">
        <v>1534</v>
      </c>
      <c r="D165" s="73" t="s">
        <v>1535</v>
      </c>
      <c r="E165" s="73" t="s">
        <v>10</v>
      </c>
      <c r="F165" s="74">
        <v>42118</v>
      </c>
      <c r="G165" s="73" t="s">
        <v>1536</v>
      </c>
      <c r="H165" s="73" t="s">
        <v>1537</v>
      </c>
      <c r="I165" s="73" t="s">
        <v>2</v>
      </c>
      <c r="J165" s="75" t="s">
        <v>1538</v>
      </c>
      <c r="K165" s="73" t="s">
        <v>1539</v>
      </c>
      <c r="L165" s="80" t="s">
        <v>3037</v>
      </c>
      <c r="M165" s="71"/>
    </row>
    <row r="166" spans="1:13" ht="15.75" thickBot="1" x14ac:dyDescent="0.3">
      <c r="A166" s="67">
        <v>46000.552129629628</v>
      </c>
      <c r="B166" s="68" t="s">
        <v>1153</v>
      </c>
      <c r="C166" s="68" t="s">
        <v>1534</v>
      </c>
      <c r="D166" s="68" t="s">
        <v>1540</v>
      </c>
      <c r="E166" s="68" t="s">
        <v>10</v>
      </c>
      <c r="F166" s="69">
        <v>41609</v>
      </c>
      <c r="G166" s="68" t="s">
        <v>1541</v>
      </c>
      <c r="H166" s="68" t="s">
        <v>1542</v>
      </c>
      <c r="I166" s="68" t="s">
        <v>66</v>
      </c>
      <c r="J166" s="70" t="s">
        <v>1543</v>
      </c>
      <c r="K166" s="68" t="s">
        <v>1544</v>
      </c>
      <c r="L166" s="79" t="s">
        <v>3038</v>
      </c>
      <c r="M166" s="71"/>
    </row>
    <row r="167" spans="1:13" ht="15.75" thickBot="1" x14ac:dyDescent="0.3">
      <c r="A167" s="72">
        <v>46000.567384259259</v>
      </c>
      <c r="B167" s="73" t="s">
        <v>1153</v>
      </c>
      <c r="C167" s="73" t="s">
        <v>1534</v>
      </c>
      <c r="D167" s="73" t="s">
        <v>1545</v>
      </c>
      <c r="E167" s="73" t="s">
        <v>10</v>
      </c>
      <c r="F167" s="74">
        <v>42137</v>
      </c>
      <c r="G167" s="73" t="s">
        <v>1546</v>
      </c>
      <c r="H167" s="73" t="s">
        <v>1547</v>
      </c>
      <c r="I167" s="73" t="s">
        <v>2</v>
      </c>
      <c r="J167" s="75" t="s">
        <v>1548</v>
      </c>
      <c r="K167" s="73" t="s">
        <v>1549</v>
      </c>
      <c r="L167" s="80" t="s">
        <v>3039</v>
      </c>
      <c r="M167" s="71"/>
    </row>
    <row r="168" spans="1:13" ht="15.75" thickBot="1" x14ac:dyDescent="0.3">
      <c r="A168" s="50">
        <v>46000.567465277774</v>
      </c>
      <c r="B168" s="53" t="s">
        <v>10</v>
      </c>
      <c r="C168" s="53" t="s">
        <v>319</v>
      </c>
      <c r="D168" s="53" t="s">
        <v>595</v>
      </c>
      <c r="E168" s="53" t="s">
        <v>10</v>
      </c>
      <c r="F168" s="57">
        <v>40625</v>
      </c>
      <c r="G168" s="53" t="s">
        <v>596</v>
      </c>
      <c r="H168" s="53" t="s">
        <v>597</v>
      </c>
      <c r="I168" s="53" t="s">
        <v>66</v>
      </c>
      <c r="J168" s="60" t="s">
        <v>1550</v>
      </c>
      <c r="K168" s="53" t="s">
        <v>1551</v>
      </c>
      <c r="L168" s="78" t="s">
        <v>594</v>
      </c>
      <c r="M168" s="32" t="s">
        <v>1552</v>
      </c>
    </row>
    <row r="169" spans="1:13" ht="15.75" thickBot="1" x14ac:dyDescent="0.3">
      <c r="A169" s="49">
        <v>46000.571250000001</v>
      </c>
      <c r="B169" s="52" t="s">
        <v>953</v>
      </c>
      <c r="C169" s="52" t="s">
        <v>268</v>
      </c>
      <c r="D169" s="52" t="s">
        <v>600</v>
      </c>
      <c r="E169" s="52" t="s">
        <v>10</v>
      </c>
      <c r="F169" s="56">
        <v>42646</v>
      </c>
      <c r="G169" s="52" t="s">
        <v>601</v>
      </c>
      <c r="H169" s="52" t="s">
        <v>602</v>
      </c>
      <c r="I169" s="52" t="s">
        <v>2</v>
      </c>
      <c r="J169" s="59" t="s">
        <v>1553</v>
      </c>
      <c r="K169" s="52" t="s">
        <v>1554</v>
      </c>
      <c r="L169" s="77" t="s">
        <v>599</v>
      </c>
      <c r="M169" s="37" t="s">
        <v>1555</v>
      </c>
    </row>
    <row r="170" spans="1:13" ht="15.75" thickBot="1" x14ac:dyDescent="0.3">
      <c r="A170" s="50">
        <v>46000.617118055554</v>
      </c>
      <c r="B170" s="53" t="s">
        <v>953</v>
      </c>
      <c r="C170" s="53" t="s">
        <v>609</v>
      </c>
      <c r="D170" s="53" t="s">
        <v>605</v>
      </c>
      <c r="E170" s="53" t="s">
        <v>10</v>
      </c>
      <c r="F170" s="57">
        <v>42627</v>
      </c>
      <c r="G170" s="53" t="s">
        <v>606</v>
      </c>
      <c r="H170" s="53" t="s">
        <v>607</v>
      </c>
      <c r="I170" s="53" t="s">
        <v>66</v>
      </c>
      <c r="J170" s="60" t="s">
        <v>1556</v>
      </c>
      <c r="K170" s="53" t="s">
        <v>1557</v>
      </c>
      <c r="L170" s="78" t="s">
        <v>604</v>
      </c>
      <c r="M170" s="32" t="s">
        <v>1558</v>
      </c>
    </row>
    <row r="171" spans="1:13" ht="15.75" thickBot="1" x14ac:dyDescent="0.3">
      <c r="A171" s="72">
        <v>46000.619629629633</v>
      </c>
      <c r="B171" s="73" t="s">
        <v>1317</v>
      </c>
      <c r="C171" s="73" t="s">
        <v>473</v>
      </c>
      <c r="D171" s="73" t="s">
        <v>1559</v>
      </c>
      <c r="E171" s="73" t="s">
        <v>28</v>
      </c>
      <c r="F171" s="74">
        <v>42083</v>
      </c>
      <c r="G171" s="73" t="s">
        <v>1560</v>
      </c>
      <c r="H171" s="73" t="s">
        <v>1561</v>
      </c>
      <c r="I171" s="73" t="s">
        <v>66</v>
      </c>
      <c r="J171" s="75" t="s">
        <v>1562</v>
      </c>
      <c r="K171" s="73" t="s">
        <v>1563</v>
      </c>
      <c r="L171" s="80" t="s">
        <v>3057</v>
      </c>
      <c r="M171" s="71"/>
    </row>
    <row r="172" spans="1:13" ht="15.75" thickBot="1" x14ac:dyDescent="0.3">
      <c r="A172" s="50">
        <v>46000.621099537035</v>
      </c>
      <c r="B172" s="53" t="s">
        <v>953</v>
      </c>
      <c r="C172" s="53" t="s">
        <v>609</v>
      </c>
      <c r="D172" s="53" t="s">
        <v>611</v>
      </c>
      <c r="E172" s="53" t="s">
        <v>10</v>
      </c>
      <c r="F172" s="57">
        <v>42499</v>
      </c>
      <c r="G172" s="53" t="s">
        <v>612</v>
      </c>
      <c r="H172" s="53" t="s">
        <v>613</v>
      </c>
      <c r="I172" s="53" t="s">
        <v>66</v>
      </c>
      <c r="J172" s="60" t="s">
        <v>1564</v>
      </c>
      <c r="K172" s="53" t="s">
        <v>1565</v>
      </c>
      <c r="L172" s="78" t="s">
        <v>610</v>
      </c>
      <c r="M172" s="32" t="s">
        <v>1566</v>
      </c>
    </row>
    <row r="173" spans="1:13" ht="15.75" thickBot="1" x14ac:dyDescent="0.3">
      <c r="A173" s="49">
        <v>46000.628287037034</v>
      </c>
      <c r="B173" s="52" t="s">
        <v>10</v>
      </c>
      <c r="C173" s="95" t="s">
        <v>902</v>
      </c>
      <c r="D173" s="52" t="s">
        <v>616</v>
      </c>
      <c r="E173" s="52" t="s">
        <v>28</v>
      </c>
      <c r="F173" s="56">
        <v>41586</v>
      </c>
      <c r="G173" s="52" t="s">
        <v>376</v>
      </c>
      <c r="H173" s="52" t="s">
        <v>377</v>
      </c>
      <c r="I173" s="52" t="s">
        <v>66</v>
      </c>
      <c r="J173" s="59" t="s">
        <v>1567</v>
      </c>
      <c r="K173" s="52" t="s">
        <v>1568</v>
      </c>
      <c r="L173" s="77" t="s">
        <v>615</v>
      </c>
      <c r="M173" s="37" t="s">
        <v>1569</v>
      </c>
    </row>
    <row r="174" spans="1:13" ht="15.75" thickBot="1" x14ac:dyDescent="0.3">
      <c r="A174" s="50">
        <v>46000.628750000003</v>
      </c>
      <c r="B174" s="53" t="s">
        <v>953</v>
      </c>
      <c r="C174" s="53" t="s">
        <v>609</v>
      </c>
      <c r="D174" s="53" t="s">
        <v>619</v>
      </c>
      <c r="E174" s="53" t="s">
        <v>10</v>
      </c>
      <c r="F174" s="57">
        <v>42694</v>
      </c>
      <c r="G174" s="53" t="s">
        <v>620</v>
      </c>
      <c r="H174" s="53" t="s">
        <v>621</v>
      </c>
      <c r="I174" s="53" t="s">
        <v>66</v>
      </c>
      <c r="J174" s="60" t="s">
        <v>1570</v>
      </c>
      <c r="K174" s="53" t="s">
        <v>1571</v>
      </c>
      <c r="L174" s="78" t="s">
        <v>618</v>
      </c>
      <c r="M174" s="32" t="s">
        <v>1572</v>
      </c>
    </row>
    <row r="175" spans="1:13" ht="15.75" thickBot="1" x14ac:dyDescent="0.3">
      <c r="A175" s="49">
        <v>46000.632384259261</v>
      </c>
      <c r="B175" s="52" t="s">
        <v>953</v>
      </c>
      <c r="C175" s="52" t="s">
        <v>609</v>
      </c>
      <c r="D175" s="52" t="s">
        <v>624</v>
      </c>
      <c r="E175" s="52" t="s">
        <v>10</v>
      </c>
      <c r="F175" s="56">
        <v>42252</v>
      </c>
      <c r="G175" s="52" t="s">
        <v>625</v>
      </c>
      <c r="H175" s="52" t="s">
        <v>626</v>
      </c>
      <c r="I175" s="52" t="s">
        <v>2</v>
      </c>
      <c r="J175" s="59" t="s">
        <v>1573</v>
      </c>
      <c r="K175" s="52" t="s">
        <v>1574</v>
      </c>
      <c r="L175" s="77" t="s">
        <v>623</v>
      </c>
      <c r="M175" s="37" t="s">
        <v>1575</v>
      </c>
    </row>
    <row r="176" spans="1:13" ht="15.75" thickBot="1" x14ac:dyDescent="0.3">
      <c r="A176" s="50">
        <v>46000.635613425926</v>
      </c>
      <c r="B176" s="53" t="s">
        <v>953</v>
      </c>
      <c r="C176" s="53" t="s">
        <v>609</v>
      </c>
      <c r="D176" s="53" t="s">
        <v>629</v>
      </c>
      <c r="E176" s="53" t="s">
        <v>10</v>
      </c>
      <c r="F176" s="57">
        <v>42138</v>
      </c>
      <c r="G176" s="53" t="s">
        <v>630</v>
      </c>
      <c r="H176" s="53" t="s">
        <v>631</v>
      </c>
      <c r="I176" s="53" t="s">
        <v>2</v>
      </c>
      <c r="J176" s="60" t="s">
        <v>1576</v>
      </c>
      <c r="K176" s="53" t="s">
        <v>1577</v>
      </c>
      <c r="L176" s="78" t="s">
        <v>628</v>
      </c>
      <c r="M176" s="32" t="s">
        <v>1578</v>
      </c>
    </row>
    <row r="177" spans="1:13" ht="15.75" thickBot="1" x14ac:dyDescent="0.3">
      <c r="A177" s="49">
        <v>46000.638437499998</v>
      </c>
      <c r="B177" s="52" t="s">
        <v>953</v>
      </c>
      <c r="C177" s="52" t="s">
        <v>609</v>
      </c>
      <c r="D177" s="52" t="s">
        <v>634</v>
      </c>
      <c r="E177" s="52" t="s">
        <v>10</v>
      </c>
      <c r="F177" s="56">
        <v>42640</v>
      </c>
      <c r="G177" s="52" t="s">
        <v>635</v>
      </c>
      <c r="H177" s="52" t="s">
        <v>636</v>
      </c>
      <c r="I177" s="52" t="s">
        <v>2</v>
      </c>
      <c r="J177" s="59" t="s">
        <v>1579</v>
      </c>
      <c r="K177" s="52" t="s">
        <v>1580</v>
      </c>
      <c r="L177" s="77" t="s">
        <v>633</v>
      </c>
      <c r="M177" s="37" t="s">
        <v>1581</v>
      </c>
    </row>
    <row r="178" spans="1:13" ht="15.75" thickBot="1" x14ac:dyDescent="0.3">
      <c r="A178" s="50">
        <v>46000.640509259261</v>
      </c>
      <c r="B178" s="53" t="s">
        <v>953</v>
      </c>
      <c r="C178" s="53" t="s">
        <v>609</v>
      </c>
      <c r="D178" s="53" t="s">
        <v>639</v>
      </c>
      <c r="E178" s="53" t="s">
        <v>10</v>
      </c>
      <c r="F178" s="57">
        <v>41933</v>
      </c>
      <c r="G178" s="53" t="s">
        <v>640</v>
      </c>
      <c r="H178" s="53" t="s">
        <v>641</v>
      </c>
      <c r="I178" s="53" t="s">
        <v>66</v>
      </c>
      <c r="J178" s="60" t="s">
        <v>1582</v>
      </c>
      <c r="K178" s="53" t="s">
        <v>1583</v>
      </c>
      <c r="L178" s="78" t="s">
        <v>638</v>
      </c>
      <c r="M178" s="32" t="s">
        <v>1584</v>
      </c>
    </row>
    <row r="179" spans="1:13" ht="15.75" thickBot="1" x14ac:dyDescent="0.3">
      <c r="A179" s="72">
        <v>46000.649259259262</v>
      </c>
      <c r="B179" s="73" t="s">
        <v>1317</v>
      </c>
      <c r="C179" s="73" t="s">
        <v>473</v>
      </c>
      <c r="D179" s="73" t="s">
        <v>1585</v>
      </c>
      <c r="E179" s="73" t="s">
        <v>10</v>
      </c>
      <c r="F179" s="74">
        <v>41863</v>
      </c>
      <c r="G179" s="73" t="s">
        <v>1586</v>
      </c>
      <c r="H179" s="73" t="s">
        <v>1587</v>
      </c>
      <c r="I179" s="73" t="s">
        <v>66</v>
      </c>
      <c r="J179" s="75" t="s">
        <v>1588</v>
      </c>
      <c r="K179" s="73" t="s">
        <v>1589</v>
      </c>
      <c r="L179" s="80" t="s">
        <v>3058</v>
      </c>
      <c r="M179" s="71"/>
    </row>
    <row r="180" spans="1:13" ht="15.75" thickBot="1" x14ac:dyDescent="0.3">
      <c r="A180" s="50">
        <v>46000.654803240737</v>
      </c>
      <c r="B180" s="53" t="s">
        <v>953</v>
      </c>
      <c r="C180" s="53" t="s">
        <v>609</v>
      </c>
      <c r="D180" s="53" t="s">
        <v>644</v>
      </c>
      <c r="E180" s="53" t="s">
        <v>10</v>
      </c>
      <c r="F180" s="57">
        <v>42465</v>
      </c>
      <c r="G180" s="53" t="s">
        <v>645</v>
      </c>
      <c r="H180" s="53" t="s">
        <v>646</v>
      </c>
      <c r="I180" s="53" t="s">
        <v>66</v>
      </c>
      <c r="J180" s="60" t="s">
        <v>1590</v>
      </c>
      <c r="K180" s="53" t="s">
        <v>1591</v>
      </c>
      <c r="L180" s="78" t="s">
        <v>643</v>
      </c>
      <c r="M180" s="32" t="s">
        <v>1592</v>
      </c>
    </row>
    <row r="181" spans="1:13" ht="15.75" thickBot="1" x14ac:dyDescent="0.3">
      <c r="A181" s="72">
        <v>46000.658587962964</v>
      </c>
      <c r="B181" s="73" t="s">
        <v>953</v>
      </c>
      <c r="C181" s="73" t="s">
        <v>609</v>
      </c>
      <c r="D181" s="73" t="s">
        <v>653</v>
      </c>
      <c r="E181" s="73" t="s">
        <v>10</v>
      </c>
      <c r="F181" s="74">
        <v>42056</v>
      </c>
      <c r="G181" s="73" t="s">
        <v>654</v>
      </c>
      <c r="H181" s="73" t="s">
        <v>655</v>
      </c>
      <c r="I181" s="73" t="s">
        <v>2</v>
      </c>
      <c r="J181" s="75" t="s">
        <v>1593</v>
      </c>
      <c r="K181" s="73" t="s">
        <v>1594</v>
      </c>
      <c r="L181" s="80" t="s">
        <v>3015</v>
      </c>
      <c r="M181" s="71"/>
    </row>
    <row r="182" spans="1:13" ht="15.75" thickBot="1" x14ac:dyDescent="0.3">
      <c r="A182" s="50">
        <v>46000.658622685187</v>
      </c>
      <c r="B182" s="53" t="s">
        <v>953</v>
      </c>
      <c r="C182" s="53" t="s">
        <v>609</v>
      </c>
      <c r="D182" s="53" t="s">
        <v>649</v>
      </c>
      <c r="E182" s="53" t="s">
        <v>10</v>
      </c>
      <c r="F182" s="57">
        <v>42642</v>
      </c>
      <c r="G182" s="53" t="s">
        <v>650</v>
      </c>
      <c r="H182" s="53" t="s">
        <v>651</v>
      </c>
      <c r="I182" s="53" t="s">
        <v>2</v>
      </c>
      <c r="J182" s="60" t="s">
        <v>1595</v>
      </c>
      <c r="K182" s="53" t="s">
        <v>1596</v>
      </c>
      <c r="L182" s="78" t="s">
        <v>648</v>
      </c>
      <c r="M182" s="32" t="s">
        <v>1597</v>
      </c>
    </row>
    <row r="183" spans="1:13" ht="15.75" thickBot="1" x14ac:dyDescent="0.3">
      <c r="A183" s="72">
        <v>46000.659247685187</v>
      </c>
      <c r="B183" s="73" t="s">
        <v>1317</v>
      </c>
      <c r="C183" s="73" t="s">
        <v>511</v>
      </c>
      <c r="D183" s="73" t="s">
        <v>1598</v>
      </c>
      <c r="E183" s="73" t="s">
        <v>365</v>
      </c>
      <c r="F183" s="74">
        <v>42323</v>
      </c>
      <c r="G183" s="73" t="s">
        <v>1599</v>
      </c>
      <c r="H183" s="73" t="s">
        <v>1600</v>
      </c>
      <c r="I183" s="73" t="s">
        <v>2</v>
      </c>
      <c r="J183" s="75" t="s">
        <v>1601</v>
      </c>
      <c r="K183" s="73" t="s">
        <v>1602</v>
      </c>
      <c r="L183" s="80" t="s">
        <v>3059</v>
      </c>
      <c r="M183" s="71"/>
    </row>
    <row r="184" spans="1:13" ht="15.75" thickBot="1" x14ac:dyDescent="0.3">
      <c r="A184" s="50">
        <v>46000.669560185182</v>
      </c>
      <c r="B184" s="53" t="s">
        <v>953</v>
      </c>
      <c r="C184" s="53" t="s">
        <v>609</v>
      </c>
      <c r="D184" s="53" t="s">
        <v>657</v>
      </c>
      <c r="E184" s="53" t="s">
        <v>10</v>
      </c>
      <c r="F184" s="57">
        <v>43172</v>
      </c>
      <c r="G184" s="53" t="s">
        <v>658</v>
      </c>
      <c r="H184" s="53" t="s">
        <v>659</v>
      </c>
      <c r="I184" s="53" t="s">
        <v>66</v>
      </c>
      <c r="J184" s="60" t="s">
        <v>1603</v>
      </c>
      <c r="K184" s="53" t="s">
        <v>1604</v>
      </c>
      <c r="L184" s="78" t="s">
        <v>656</v>
      </c>
      <c r="M184" s="32" t="s">
        <v>1605</v>
      </c>
    </row>
    <row r="185" spans="1:13" ht="15.75" thickBot="1" x14ac:dyDescent="0.3">
      <c r="A185" s="72">
        <v>46000.670185185183</v>
      </c>
      <c r="B185" s="73" t="s">
        <v>1317</v>
      </c>
      <c r="C185" s="73" t="s">
        <v>473</v>
      </c>
      <c r="D185" s="73" t="s">
        <v>1606</v>
      </c>
      <c r="E185" s="73" t="s">
        <v>10</v>
      </c>
      <c r="F185" s="74">
        <v>42407</v>
      </c>
      <c r="G185" s="73" t="s">
        <v>1607</v>
      </c>
      <c r="H185" s="73" t="s">
        <v>1608</v>
      </c>
      <c r="I185" s="73" t="s">
        <v>66</v>
      </c>
      <c r="J185" s="75" t="s">
        <v>1609</v>
      </c>
      <c r="K185" s="73" t="s">
        <v>1610</v>
      </c>
      <c r="L185" s="80" t="s">
        <v>3060</v>
      </c>
      <c r="M185" s="71"/>
    </row>
    <row r="186" spans="1:13" ht="15.75" thickBot="1" x14ac:dyDescent="0.3">
      <c r="A186" s="50">
        <v>46000.672025462962</v>
      </c>
      <c r="B186" s="53" t="s">
        <v>953</v>
      </c>
      <c r="C186" s="53" t="s">
        <v>609</v>
      </c>
      <c r="D186" s="53" t="s">
        <v>662</v>
      </c>
      <c r="E186" s="53" t="s">
        <v>10</v>
      </c>
      <c r="F186" s="57">
        <v>42792</v>
      </c>
      <c r="G186" s="53" t="s">
        <v>663</v>
      </c>
      <c r="H186" s="53" t="s">
        <v>664</v>
      </c>
      <c r="I186" s="53" t="s">
        <v>2</v>
      </c>
      <c r="J186" s="60" t="s">
        <v>1611</v>
      </c>
      <c r="K186" s="53" t="s">
        <v>1612</v>
      </c>
      <c r="L186" s="78" t="s">
        <v>661</v>
      </c>
      <c r="M186" s="32" t="s">
        <v>1613</v>
      </c>
    </row>
    <row r="187" spans="1:13" ht="15.75" thickBot="1" x14ac:dyDescent="0.3">
      <c r="A187" s="72">
        <v>46000.674074074072</v>
      </c>
      <c r="B187" s="73" t="s">
        <v>1317</v>
      </c>
      <c r="C187" s="73" t="s">
        <v>473</v>
      </c>
      <c r="D187" s="73" t="s">
        <v>1614</v>
      </c>
      <c r="E187" s="73" t="s">
        <v>10</v>
      </c>
      <c r="F187" s="74">
        <v>41804</v>
      </c>
      <c r="G187" s="73" t="s">
        <v>1615</v>
      </c>
      <c r="H187" s="73" t="s">
        <v>1616</v>
      </c>
      <c r="I187" s="73" t="s">
        <v>2</v>
      </c>
      <c r="J187" s="75" t="s">
        <v>1617</v>
      </c>
      <c r="K187" s="73" t="s">
        <v>1618</v>
      </c>
      <c r="L187" s="80" t="s">
        <v>3061</v>
      </c>
      <c r="M187" s="71"/>
    </row>
    <row r="188" spans="1:13" ht="15.75" thickBot="1" x14ac:dyDescent="0.3">
      <c r="A188" s="50">
        <v>46000.681655092594</v>
      </c>
      <c r="B188" s="53" t="s">
        <v>10</v>
      </c>
      <c r="C188" s="53" t="s">
        <v>671</v>
      </c>
      <c r="D188" s="53" t="s">
        <v>667</v>
      </c>
      <c r="E188" s="53" t="s">
        <v>28</v>
      </c>
      <c r="F188" s="57">
        <v>42464</v>
      </c>
      <c r="G188" s="53" t="s">
        <v>668</v>
      </c>
      <c r="H188" s="53" t="s">
        <v>669</v>
      </c>
      <c r="I188" s="53" t="s">
        <v>2</v>
      </c>
      <c r="J188" s="60" t="s">
        <v>1619</v>
      </c>
      <c r="K188" s="53" t="s">
        <v>1620</v>
      </c>
      <c r="L188" s="78" t="s">
        <v>666</v>
      </c>
      <c r="M188" s="32" t="s">
        <v>1621</v>
      </c>
    </row>
    <row r="189" spans="1:13" ht="15.75" thickBot="1" x14ac:dyDescent="0.3">
      <c r="A189" s="72">
        <v>46000.683182870373</v>
      </c>
      <c r="B189" s="73" t="s">
        <v>1317</v>
      </c>
      <c r="C189" s="73" t="s">
        <v>742</v>
      </c>
      <c r="D189" s="73" t="s">
        <v>1622</v>
      </c>
      <c r="E189" s="73" t="s">
        <v>10</v>
      </c>
      <c r="F189" s="74">
        <v>41982</v>
      </c>
      <c r="G189" s="73" t="s">
        <v>1623</v>
      </c>
      <c r="H189" s="73" t="s">
        <v>1624</v>
      </c>
      <c r="I189" s="73" t="s">
        <v>2</v>
      </c>
      <c r="J189" s="75" t="s">
        <v>1625</v>
      </c>
      <c r="K189" s="73" t="s">
        <v>1626</v>
      </c>
      <c r="L189" s="80" t="s">
        <v>3062</v>
      </c>
      <c r="M189" s="71"/>
    </row>
    <row r="190" spans="1:13" ht="15.75" thickBot="1" x14ac:dyDescent="0.3">
      <c r="A190" s="67">
        <v>46000.685787037037</v>
      </c>
      <c r="B190" s="68" t="s">
        <v>1317</v>
      </c>
      <c r="C190" s="68" t="s">
        <v>473</v>
      </c>
      <c r="D190" s="68" t="s">
        <v>1627</v>
      </c>
      <c r="E190" s="68" t="s">
        <v>10</v>
      </c>
      <c r="F190" s="69">
        <v>42193</v>
      </c>
      <c r="G190" s="68" t="s">
        <v>1628</v>
      </c>
      <c r="H190" s="68" t="s">
        <v>1629</v>
      </c>
      <c r="I190" s="68" t="s">
        <v>2</v>
      </c>
      <c r="J190" s="70" t="s">
        <v>1630</v>
      </c>
      <c r="K190" s="68" t="s">
        <v>1631</v>
      </c>
      <c r="L190" s="79" t="s">
        <v>3063</v>
      </c>
      <c r="M190" s="71"/>
    </row>
    <row r="191" spans="1:13" ht="15.75" thickBot="1" x14ac:dyDescent="0.3">
      <c r="A191" s="49">
        <v>46000.687164351853</v>
      </c>
      <c r="B191" s="52" t="s">
        <v>953</v>
      </c>
      <c r="C191" s="52" t="s">
        <v>677</v>
      </c>
      <c r="D191" s="52" t="s">
        <v>673</v>
      </c>
      <c r="E191" s="52" t="s">
        <v>28</v>
      </c>
      <c r="F191" s="56">
        <v>42683</v>
      </c>
      <c r="G191" s="52" t="s">
        <v>674</v>
      </c>
      <c r="H191" s="52" t="s">
        <v>675</v>
      </c>
      <c r="I191" s="52" t="s">
        <v>2</v>
      </c>
      <c r="J191" s="59" t="s">
        <v>1632</v>
      </c>
      <c r="K191" s="52" t="s">
        <v>1633</v>
      </c>
      <c r="L191" s="77" t="s">
        <v>672</v>
      </c>
      <c r="M191" s="37" t="s">
        <v>1634</v>
      </c>
    </row>
    <row r="192" spans="1:13" ht="15.75" thickBot="1" x14ac:dyDescent="0.3">
      <c r="A192" s="50">
        <v>46000.687222222223</v>
      </c>
      <c r="B192" s="53" t="s">
        <v>953</v>
      </c>
      <c r="C192" s="53" t="s">
        <v>677</v>
      </c>
      <c r="D192" s="53" t="s">
        <v>679</v>
      </c>
      <c r="E192" s="53" t="s">
        <v>365</v>
      </c>
      <c r="F192" s="57">
        <v>42773</v>
      </c>
      <c r="G192" s="53" t="s">
        <v>680</v>
      </c>
      <c r="H192" s="53" t="s">
        <v>681</v>
      </c>
      <c r="I192" s="53" t="s">
        <v>2</v>
      </c>
      <c r="J192" s="60" t="s">
        <v>1635</v>
      </c>
      <c r="K192" s="53" t="s">
        <v>1636</v>
      </c>
      <c r="L192" s="78" t="s">
        <v>678</v>
      </c>
      <c r="M192" s="32" t="s">
        <v>1637</v>
      </c>
    </row>
    <row r="193" spans="1:13" ht="15.75" thickBot="1" x14ac:dyDescent="0.3">
      <c r="A193" s="49">
        <v>46000.687523148146</v>
      </c>
      <c r="B193" s="52" t="s">
        <v>953</v>
      </c>
      <c r="C193" s="52" t="s">
        <v>609</v>
      </c>
      <c r="D193" s="52" t="s">
        <v>684</v>
      </c>
      <c r="E193" s="52" t="s">
        <v>10</v>
      </c>
      <c r="F193" s="56">
        <v>42555</v>
      </c>
      <c r="G193" s="52" t="s">
        <v>685</v>
      </c>
      <c r="H193" s="52" t="s">
        <v>686</v>
      </c>
      <c r="I193" s="52" t="s">
        <v>66</v>
      </c>
      <c r="J193" s="59" t="s">
        <v>1638</v>
      </c>
      <c r="K193" s="52" t="s">
        <v>1639</v>
      </c>
      <c r="L193" s="77" t="s">
        <v>683</v>
      </c>
      <c r="M193" s="37" t="s">
        <v>1640</v>
      </c>
    </row>
    <row r="194" spans="1:13" ht="15.75" thickBot="1" x14ac:dyDescent="0.3">
      <c r="A194" s="50">
        <v>46000.687858796293</v>
      </c>
      <c r="B194" s="53" t="s">
        <v>953</v>
      </c>
      <c r="C194" s="53" t="s">
        <v>677</v>
      </c>
      <c r="D194" s="53" t="s">
        <v>689</v>
      </c>
      <c r="E194" s="53" t="s">
        <v>59</v>
      </c>
      <c r="F194" s="57">
        <v>42689</v>
      </c>
      <c r="G194" s="53" t="s">
        <v>690</v>
      </c>
      <c r="H194" s="53" t="s">
        <v>691</v>
      </c>
      <c r="I194" s="53" t="s">
        <v>2</v>
      </c>
      <c r="J194" s="60" t="s">
        <v>1641</v>
      </c>
      <c r="K194" s="53" t="s">
        <v>1642</v>
      </c>
      <c r="L194" s="78" t="s">
        <v>688</v>
      </c>
      <c r="M194" s="32" t="s">
        <v>1643</v>
      </c>
    </row>
    <row r="195" spans="1:13" ht="15.75" thickBot="1" x14ac:dyDescent="0.3">
      <c r="A195" s="49">
        <v>46000.688819444447</v>
      </c>
      <c r="B195" s="52" t="s">
        <v>10</v>
      </c>
      <c r="C195" s="52" t="s">
        <v>699</v>
      </c>
      <c r="D195" s="52" t="s">
        <v>694</v>
      </c>
      <c r="E195" s="52" t="s">
        <v>695</v>
      </c>
      <c r="F195" s="56">
        <v>41905</v>
      </c>
      <c r="G195" s="52" t="s">
        <v>696</v>
      </c>
      <c r="H195" s="52" t="s">
        <v>697</v>
      </c>
      <c r="I195" s="52" t="s">
        <v>2</v>
      </c>
      <c r="J195" s="59" t="s">
        <v>1644</v>
      </c>
      <c r="K195" s="52" t="s">
        <v>1645</v>
      </c>
      <c r="L195" s="77" t="s">
        <v>693</v>
      </c>
      <c r="M195" s="37" t="s">
        <v>1646</v>
      </c>
    </row>
    <row r="196" spans="1:13" ht="15.75" thickBot="1" x14ac:dyDescent="0.3">
      <c r="A196" s="50">
        <v>46000.690092592595</v>
      </c>
      <c r="B196" s="53" t="s">
        <v>953</v>
      </c>
      <c r="C196" s="53" t="s">
        <v>677</v>
      </c>
      <c r="D196" s="53" t="s">
        <v>701</v>
      </c>
      <c r="E196" s="53" t="s">
        <v>10</v>
      </c>
      <c r="F196" s="57">
        <v>42950</v>
      </c>
      <c r="G196" s="53" t="s">
        <v>702</v>
      </c>
      <c r="H196" s="53" t="s">
        <v>703</v>
      </c>
      <c r="I196" s="53" t="s">
        <v>2</v>
      </c>
      <c r="J196" s="60" t="s">
        <v>1647</v>
      </c>
      <c r="K196" s="53" t="s">
        <v>1648</v>
      </c>
      <c r="L196" s="78" t="s">
        <v>700</v>
      </c>
      <c r="M196" s="32" t="s">
        <v>1649</v>
      </c>
    </row>
    <row r="197" spans="1:13" ht="15.75" thickBot="1" x14ac:dyDescent="0.3">
      <c r="A197" s="49">
        <v>46000.690381944441</v>
      </c>
      <c r="B197" s="52" t="s">
        <v>953</v>
      </c>
      <c r="C197" s="52" t="s">
        <v>725</v>
      </c>
      <c r="D197" s="52" t="s">
        <v>1650</v>
      </c>
      <c r="E197" s="52" t="s">
        <v>28</v>
      </c>
      <c r="F197" s="56">
        <v>41945</v>
      </c>
      <c r="G197" s="52" t="s">
        <v>1651</v>
      </c>
      <c r="H197" s="52" t="s">
        <v>1652</v>
      </c>
      <c r="I197" s="52" t="s">
        <v>2</v>
      </c>
      <c r="J197" s="59" t="s">
        <v>1653</v>
      </c>
      <c r="K197" s="52" t="s">
        <v>1654</v>
      </c>
      <c r="L197" s="77" t="s">
        <v>1655</v>
      </c>
      <c r="M197" s="37" t="s">
        <v>1656</v>
      </c>
    </row>
    <row r="198" spans="1:13" ht="15.75" thickBot="1" x14ac:dyDescent="0.3">
      <c r="A198" s="50">
        <v>46000.690879629627</v>
      </c>
      <c r="B198" s="53" t="s">
        <v>953</v>
      </c>
      <c r="C198" s="53" t="s">
        <v>677</v>
      </c>
      <c r="D198" s="53" t="s">
        <v>706</v>
      </c>
      <c r="E198" s="53" t="s">
        <v>10</v>
      </c>
      <c r="F198" s="57">
        <v>42855</v>
      </c>
      <c r="G198" s="53" t="s">
        <v>707</v>
      </c>
      <c r="H198" s="53" t="s">
        <v>708</v>
      </c>
      <c r="I198" s="53" t="s">
        <v>2</v>
      </c>
      <c r="J198" s="60" t="s">
        <v>1657</v>
      </c>
      <c r="K198" s="53" t="s">
        <v>1658</v>
      </c>
      <c r="L198" s="78" t="s">
        <v>705</v>
      </c>
      <c r="M198" s="32" t="s">
        <v>1659</v>
      </c>
    </row>
    <row r="199" spans="1:13" ht="15.75" thickBot="1" x14ac:dyDescent="0.3">
      <c r="A199" s="72">
        <v>46000.692060185182</v>
      </c>
      <c r="B199" s="73" t="s">
        <v>1317</v>
      </c>
      <c r="C199" s="73" t="s">
        <v>742</v>
      </c>
      <c r="D199" s="73" t="s">
        <v>1660</v>
      </c>
      <c r="E199" s="73" t="s">
        <v>10</v>
      </c>
      <c r="F199" s="74">
        <v>41537</v>
      </c>
      <c r="G199" s="73" t="s">
        <v>1661</v>
      </c>
      <c r="H199" s="73" t="s">
        <v>1662</v>
      </c>
      <c r="I199" s="73" t="s">
        <v>2</v>
      </c>
      <c r="J199" s="75" t="s">
        <v>1663</v>
      </c>
      <c r="K199" s="73" t="s">
        <v>1664</v>
      </c>
      <c r="L199" s="80" t="s">
        <v>3064</v>
      </c>
      <c r="M199" s="71"/>
    </row>
    <row r="200" spans="1:13" ht="15.75" thickBot="1" x14ac:dyDescent="0.3">
      <c r="A200" s="67">
        <v>46000.692685185182</v>
      </c>
      <c r="B200" s="68" t="s">
        <v>1153</v>
      </c>
      <c r="C200" s="68" t="s">
        <v>1665</v>
      </c>
      <c r="D200" s="68" t="s">
        <v>1666</v>
      </c>
      <c r="E200" s="68" t="s">
        <v>28</v>
      </c>
      <c r="F200" s="69">
        <v>41545</v>
      </c>
      <c r="G200" s="68" t="s">
        <v>1667</v>
      </c>
      <c r="H200" s="68" t="s">
        <v>1668</v>
      </c>
      <c r="I200" s="68" t="s">
        <v>2</v>
      </c>
      <c r="J200" s="70" t="s">
        <v>1669</v>
      </c>
      <c r="K200" s="68" t="s">
        <v>1670</v>
      </c>
      <c r="L200" s="79" t="s">
        <v>3040</v>
      </c>
      <c r="M200" s="71"/>
    </row>
    <row r="201" spans="1:13" ht="15.75" thickBot="1" x14ac:dyDescent="0.3">
      <c r="A201" s="72">
        <v>46000.692881944444</v>
      </c>
      <c r="B201" s="73" t="s">
        <v>1153</v>
      </c>
      <c r="C201" s="73" t="s">
        <v>1534</v>
      </c>
      <c r="D201" s="73" t="s">
        <v>1671</v>
      </c>
      <c r="E201" s="73" t="s">
        <v>10</v>
      </c>
      <c r="F201" s="74">
        <v>41436</v>
      </c>
      <c r="G201" s="73" t="s">
        <v>1672</v>
      </c>
      <c r="H201" s="73" t="s">
        <v>1673</v>
      </c>
      <c r="I201" s="73" t="s">
        <v>2</v>
      </c>
      <c r="J201" s="75" t="s">
        <v>1674</v>
      </c>
      <c r="K201" s="73" t="s">
        <v>1675</v>
      </c>
      <c r="L201" s="80" t="s">
        <v>3041</v>
      </c>
      <c r="M201" s="71"/>
    </row>
    <row r="202" spans="1:13" ht="15.75" thickBot="1" x14ac:dyDescent="0.3">
      <c r="A202" s="67">
        <v>46000.693333333336</v>
      </c>
      <c r="B202" s="68" t="s">
        <v>1153</v>
      </c>
      <c r="C202" s="68" t="s">
        <v>1665</v>
      </c>
      <c r="D202" s="68" t="s">
        <v>1676</v>
      </c>
      <c r="E202" s="68" t="s">
        <v>28</v>
      </c>
      <c r="F202" s="69">
        <v>42087</v>
      </c>
      <c r="G202" s="68" t="s">
        <v>1677</v>
      </c>
      <c r="H202" s="68" t="s">
        <v>1678</v>
      </c>
      <c r="I202" s="68" t="s">
        <v>66</v>
      </c>
      <c r="J202" s="70" t="s">
        <v>1679</v>
      </c>
      <c r="K202" s="68" t="s">
        <v>1680</v>
      </c>
      <c r="L202" s="79" t="s">
        <v>3042</v>
      </c>
      <c r="M202" s="71"/>
    </row>
    <row r="203" spans="1:13" ht="15.75" thickBot="1" x14ac:dyDescent="0.3">
      <c r="A203" s="49">
        <v>46000.694398148145</v>
      </c>
      <c r="B203" s="52" t="s">
        <v>953</v>
      </c>
      <c r="C203" s="52" t="s">
        <v>677</v>
      </c>
      <c r="D203" s="52" t="s">
        <v>711</v>
      </c>
      <c r="E203" s="52" t="s">
        <v>10</v>
      </c>
      <c r="F203" s="56">
        <v>42884</v>
      </c>
      <c r="G203" s="52" t="s">
        <v>712</v>
      </c>
      <c r="H203" s="52" t="s">
        <v>713</v>
      </c>
      <c r="I203" s="52" t="s">
        <v>66</v>
      </c>
      <c r="J203" s="59" t="s">
        <v>1681</v>
      </c>
      <c r="K203" s="52" t="s">
        <v>1682</v>
      </c>
      <c r="L203" s="77" t="s">
        <v>710</v>
      </c>
      <c r="M203" s="37" t="s">
        <v>1683</v>
      </c>
    </row>
    <row r="204" spans="1:13" ht="15.75" thickBot="1" x14ac:dyDescent="0.3">
      <c r="A204" s="67">
        <v>46000.69462962963</v>
      </c>
      <c r="B204" s="68" t="s">
        <v>1317</v>
      </c>
      <c r="C204" s="68" t="s">
        <v>742</v>
      </c>
      <c r="D204" s="68" t="s">
        <v>1684</v>
      </c>
      <c r="E204" s="68" t="s">
        <v>10</v>
      </c>
      <c r="F204" s="69">
        <v>41739</v>
      </c>
      <c r="G204" s="68" t="s">
        <v>1685</v>
      </c>
      <c r="H204" s="68" t="s">
        <v>1686</v>
      </c>
      <c r="I204" s="68" t="s">
        <v>2</v>
      </c>
      <c r="J204" s="70" t="s">
        <v>1687</v>
      </c>
      <c r="K204" s="68" t="s">
        <v>1688</v>
      </c>
      <c r="L204" s="79" t="s">
        <v>3065</v>
      </c>
      <c r="M204" s="71"/>
    </row>
    <row r="205" spans="1:13" ht="15.75" thickBot="1" x14ac:dyDescent="0.3">
      <c r="A205" s="49">
        <v>46000.698379629626</v>
      </c>
      <c r="B205" s="52" t="s">
        <v>953</v>
      </c>
      <c r="C205" s="52" t="s">
        <v>677</v>
      </c>
      <c r="D205" s="52" t="s">
        <v>716</v>
      </c>
      <c r="E205" s="52" t="s">
        <v>10</v>
      </c>
      <c r="F205" s="56">
        <v>42948</v>
      </c>
      <c r="G205" s="52" t="s">
        <v>717</v>
      </c>
      <c r="H205" s="52" t="s">
        <v>718</v>
      </c>
      <c r="I205" s="52" t="s">
        <v>2</v>
      </c>
      <c r="J205" s="59" t="s">
        <v>1689</v>
      </c>
      <c r="K205" s="52" t="s">
        <v>1690</v>
      </c>
      <c r="L205" s="77" t="s">
        <v>715</v>
      </c>
      <c r="M205" s="37" t="s">
        <v>1691</v>
      </c>
    </row>
    <row r="206" spans="1:13" ht="15.75" thickBot="1" x14ac:dyDescent="0.3">
      <c r="A206" s="50">
        <v>46000.69971064815</v>
      </c>
      <c r="B206" s="53" t="s">
        <v>953</v>
      </c>
      <c r="C206" s="53" t="s">
        <v>725</v>
      </c>
      <c r="D206" s="53" t="s">
        <v>721</v>
      </c>
      <c r="E206" s="53" t="s">
        <v>28</v>
      </c>
      <c r="F206" s="57">
        <v>41969</v>
      </c>
      <c r="G206" s="53" t="s">
        <v>722</v>
      </c>
      <c r="H206" s="53" t="s">
        <v>723</v>
      </c>
      <c r="I206" s="53" t="s">
        <v>2</v>
      </c>
      <c r="J206" s="60" t="s">
        <v>1692</v>
      </c>
      <c r="K206" s="53" t="s">
        <v>1693</v>
      </c>
      <c r="L206" s="78" t="s">
        <v>720</v>
      </c>
      <c r="M206" s="32" t="s">
        <v>1694</v>
      </c>
    </row>
    <row r="207" spans="1:13" ht="15.75" thickBot="1" x14ac:dyDescent="0.3">
      <c r="A207" s="49">
        <v>46000.70039351852</v>
      </c>
      <c r="B207" s="52" t="s">
        <v>953</v>
      </c>
      <c r="C207" s="52" t="s">
        <v>725</v>
      </c>
      <c r="D207" s="52" t="s">
        <v>727</v>
      </c>
      <c r="E207" s="52" t="s">
        <v>28</v>
      </c>
      <c r="F207" s="56">
        <v>42316</v>
      </c>
      <c r="G207" s="52" t="s">
        <v>729</v>
      </c>
      <c r="H207" s="52" t="s">
        <v>730</v>
      </c>
      <c r="I207" s="52" t="s">
        <v>728</v>
      </c>
      <c r="J207" s="59" t="s">
        <v>1695</v>
      </c>
      <c r="K207" s="52" t="s">
        <v>1696</v>
      </c>
      <c r="L207" s="77" t="s">
        <v>726</v>
      </c>
      <c r="M207" s="37" t="s">
        <v>1697</v>
      </c>
    </row>
    <row r="208" spans="1:13" ht="15.75" thickBot="1" x14ac:dyDescent="0.3">
      <c r="A208" s="50">
        <v>46000.70103009259</v>
      </c>
      <c r="B208" s="53" t="s">
        <v>953</v>
      </c>
      <c r="C208" s="53" t="s">
        <v>677</v>
      </c>
      <c r="D208" s="53" t="s">
        <v>733</v>
      </c>
      <c r="E208" s="53" t="s">
        <v>28</v>
      </c>
      <c r="F208" s="57">
        <v>42702</v>
      </c>
      <c r="G208" s="53" t="s">
        <v>734</v>
      </c>
      <c r="H208" s="53" t="s">
        <v>735</v>
      </c>
      <c r="I208" s="53" t="s">
        <v>2</v>
      </c>
      <c r="J208" s="60" t="s">
        <v>1698</v>
      </c>
      <c r="K208" s="53" t="s">
        <v>1699</v>
      </c>
      <c r="L208" s="78" t="s">
        <v>732</v>
      </c>
      <c r="M208" s="32" t="s">
        <v>1700</v>
      </c>
    </row>
    <row r="209" spans="1:13" ht="15.75" thickBot="1" x14ac:dyDescent="0.3">
      <c r="A209" s="72">
        <v>46000.702627314815</v>
      </c>
      <c r="B209" s="73" t="s">
        <v>1153</v>
      </c>
      <c r="C209" s="73" t="s">
        <v>1665</v>
      </c>
      <c r="D209" s="73" t="s">
        <v>1701</v>
      </c>
      <c r="E209" s="73" t="s">
        <v>28</v>
      </c>
      <c r="F209" s="74">
        <v>42748</v>
      </c>
      <c r="G209" s="73" t="s">
        <v>1702</v>
      </c>
      <c r="H209" s="73" t="s">
        <v>1703</v>
      </c>
      <c r="I209" s="73" t="s">
        <v>2</v>
      </c>
      <c r="J209" s="75" t="s">
        <v>1704</v>
      </c>
      <c r="K209" s="73" t="s">
        <v>1705</v>
      </c>
      <c r="L209" s="80" t="s">
        <v>3043</v>
      </c>
      <c r="M209" s="71"/>
    </row>
    <row r="210" spans="1:13" ht="15.75" thickBot="1" x14ac:dyDescent="0.3">
      <c r="A210" s="50">
        <v>46000.703761574077</v>
      </c>
      <c r="B210" s="53" t="s">
        <v>10</v>
      </c>
      <c r="C210" s="53" t="s">
        <v>742</v>
      </c>
      <c r="D210" s="53" t="s">
        <v>738</v>
      </c>
      <c r="E210" s="53" t="s">
        <v>10</v>
      </c>
      <c r="F210" s="57">
        <v>43228</v>
      </c>
      <c r="G210" s="53" t="s">
        <v>739</v>
      </c>
      <c r="H210" s="53" t="s">
        <v>740</v>
      </c>
      <c r="I210" s="53" t="s">
        <v>66</v>
      </c>
      <c r="J210" s="60" t="s">
        <v>1706</v>
      </c>
      <c r="K210" s="53" t="s">
        <v>1707</v>
      </c>
      <c r="L210" s="78" t="s">
        <v>737</v>
      </c>
      <c r="M210" s="32" t="s">
        <v>1708</v>
      </c>
    </row>
    <row r="211" spans="1:13" ht="15.75" thickBot="1" x14ac:dyDescent="0.3">
      <c r="A211" s="72">
        <v>46000.704768518517</v>
      </c>
      <c r="B211" s="73" t="s">
        <v>1317</v>
      </c>
      <c r="C211" s="73" t="s">
        <v>742</v>
      </c>
      <c r="D211" s="73" t="s">
        <v>1709</v>
      </c>
      <c r="E211" s="73" t="s">
        <v>10</v>
      </c>
      <c r="F211" s="74">
        <v>42708</v>
      </c>
      <c r="G211" s="73" t="s">
        <v>1710</v>
      </c>
      <c r="H211" s="73" t="s">
        <v>1711</v>
      </c>
      <c r="I211" s="73" t="s">
        <v>2</v>
      </c>
      <c r="J211" s="75" t="s">
        <v>1712</v>
      </c>
      <c r="K211" s="73" t="s">
        <v>1713</v>
      </c>
      <c r="L211" s="80" t="s">
        <v>3066</v>
      </c>
      <c r="M211" s="71"/>
    </row>
    <row r="212" spans="1:13" ht="15.75" thickBot="1" x14ac:dyDescent="0.3">
      <c r="A212" s="67">
        <v>46000.706250000003</v>
      </c>
      <c r="B212" s="68" t="s">
        <v>1153</v>
      </c>
      <c r="C212" s="68" t="s">
        <v>1665</v>
      </c>
      <c r="D212" s="68" t="s">
        <v>1714</v>
      </c>
      <c r="E212" s="68" t="s">
        <v>10</v>
      </c>
      <c r="F212" s="69">
        <v>42239</v>
      </c>
      <c r="G212" s="68" t="s">
        <v>1715</v>
      </c>
      <c r="H212" s="68" t="s">
        <v>1716</v>
      </c>
      <c r="I212" s="68" t="s">
        <v>2</v>
      </c>
      <c r="J212" s="70" t="s">
        <v>1717</v>
      </c>
      <c r="K212" s="68" t="s">
        <v>1718</v>
      </c>
      <c r="L212" s="79" t="s">
        <v>3044</v>
      </c>
      <c r="M212" s="71"/>
    </row>
    <row r="213" spans="1:13" ht="15.75" thickBot="1" x14ac:dyDescent="0.3">
      <c r="A213" s="72">
        <v>46000.708784722221</v>
      </c>
      <c r="B213" s="73" t="s">
        <v>1317</v>
      </c>
      <c r="C213" s="73" t="s">
        <v>742</v>
      </c>
      <c r="D213" s="73" t="s">
        <v>1719</v>
      </c>
      <c r="E213" s="73" t="s">
        <v>116</v>
      </c>
      <c r="F213" s="74">
        <v>42374</v>
      </c>
      <c r="G213" s="73" t="s">
        <v>1720</v>
      </c>
      <c r="H213" s="73" t="s">
        <v>1721</v>
      </c>
      <c r="I213" s="73" t="s">
        <v>2</v>
      </c>
      <c r="J213" s="75" t="s">
        <v>1722</v>
      </c>
      <c r="K213" s="73" t="s">
        <v>1723</v>
      </c>
      <c r="L213" s="80" t="s">
        <v>3067</v>
      </c>
      <c r="M213" s="71"/>
    </row>
    <row r="214" spans="1:13" ht="15.75" thickBot="1" x14ac:dyDescent="0.3">
      <c r="A214" s="67">
        <v>46000.712094907409</v>
      </c>
      <c r="B214" s="68" t="s">
        <v>1317</v>
      </c>
      <c r="C214" s="68" t="s">
        <v>742</v>
      </c>
      <c r="D214" s="68" t="s">
        <v>1724</v>
      </c>
      <c r="E214" s="68" t="s">
        <v>10</v>
      </c>
      <c r="F214" s="69">
        <v>42152</v>
      </c>
      <c r="G214" s="68" t="s">
        <v>1725</v>
      </c>
      <c r="H214" s="68" t="s">
        <v>1726</v>
      </c>
      <c r="I214" s="68" t="s">
        <v>2</v>
      </c>
      <c r="J214" s="70" t="s">
        <v>1727</v>
      </c>
      <c r="K214" s="68" t="s">
        <v>1728</v>
      </c>
      <c r="L214" s="79" t="s">
        <v>3068</v>
      </c>
      <c r="M214" s="71"/>
    </row>
    <row r="215" spans="1:13" ht="15.75" thickBot="1" x14ac:dyDescent="0.3">
      <c r="A215" s="72">
        <v>46000.715462962966</v>
      </c>
      <c r="B215" s="73" t="s">
        <v>1317</v>
      </c>
      <c r="C215" s="73" t="s">
        <v>742</v>
      </c>
      <c r="D215" s="73" t="s">
        <v>1729</v>
      </c>
      <c r="E215" s="73" t="s">
        <v>116</v>
      </c>
      <c r="F215" s="74">
        <v>42437</v>
      </c>
      <c r="G215" s="73" t="s">
        <v>1730</v>
      </c>
      <c r="H215" s="73" t="s">
        <v>1731</v>
      </c>
      <c r="I215" s="73" t="s">
        <v>2</v>
      </c>
      <c r="J215" s="75" t="s">
        <v>1732</v>
      </c>
      <c r="K215" s="73" t="s">
        <v>1733</v>
      </c>
      <c r="L215" s="80" t="s">
        <v>3069</v>
      </c>
      <c r="M215" s="71"/>
    </row>
    <row r="216" spans="1:13" ht="15.75" thickBot="1" x14ac:dyDescent="0.3">
      <c r="A216" s="67">
        <v>46000.717569444445</v>
      </c>
      <c r="B216" s="68" t="s">
        <v>1317</v>
      </c>
      <c r="C216" s="68" t="s">
        <v>742</v>
      </c>
      <c r="D216" s="68" t="s">
        <v>1734</v>
      </c>
      <c r="E216" s="68" t="s">
        <v>10</v>
      </c>
      <c r="F216" s="69">
        <v>42007</v>
      </c>
      <c r="G216" s="68" t="s">
        <v>1735</v>
      </c>
      <c r="H216" s="68" t="s">
        <v>1736</v>
      </c>
      <c r="I216" s="68" t="s">
        <v>66</v>
      </c>
      <c r="J216" s="70" t="s">
        <v>1737</v>
      </c>
      <c r="K216" s="68" t="s">
        <v>1738</v>
      </c>
      <c r="L216" s="79" t="s">
        <v>3070</v>
      </c>
      <c r="M216" s="71"/>
    </row>
    <row r="217" spans="1:13" ht="15.75" thickBot="1" x14ac:dyDescent="0.3">
      <c r="A217" s="49">
        <v>46000.717858796299</v>
      </c>
      <c r="B217" s="52" t="s">
        <v>953</v>
      </c>
      <c r="C217" s="52" t="s">
        <v>725</v>
      </c>
      <c r="D217" s="52" t="s">
        <v>744</v>
      </c>
      <c r="E217" s="52" t="s">
        <v>28</v>
      </c>
      <c r="F217" s="56">
        <v>41824</v>
      </c>
      <c r="G217" s="52" t="s">
        <v>745</v>
      </c>
      <c r="H217" s="52" t="s">
        <v>746</v>
      </c>
      <c r="I217" s="52" t="s">
        <v>2</v>
      </c>
      <c r="J217" s="59" t="s">
        <v>1739</v>
      </c>
      <c r="K217" s="52" t="s">
        <v>1740</v>
      </c>
      <c r="L217" s="77" t="s">
        <v>743</v>
      </c>
      <c r="M217" s="37" t="s">
        <v>1741</v>
      </c>
    </row>
    <row r="218" spans="1:13" ht="15.75" thickBot="1" x14ac:dyDescent="0.3">
      <c r="A218" s="67">
        <v>46000.718611111108</v>
      </c>
      <c r="B218" s="68" t="s">
        <v>1317</v>
      </c>
      <c r="C218" s="68" t="s">
        <v>742</v>
      </c>
      <c r="D218" s="68" t="s">
        <v>1742</v>
      </c>
      <c r="E218" s="68" t="s">
        <v>10</v>
      </c>
      <c r="F218" s="69">
        <v>42613</v>
      </c>
      <c r="G218" s="68" t="s">
        <v>1743</v>
      </c>
      <c r="H218" s="68" t="s">
        <v>1744</v>
      </c>
      <c r="I218" s="68" t="s">
        <v>2</v>
      </c>
      <c r="J218" s="70" t="s">
        <v>1745</v>
      </c>
      <c r="K218" s="68" t="s">
        <v>1746</v>
      </c>
      <c r="L218" s="79" t="s">
        <v>3071</v>
      </c>
      <c r="M218" s="71"/>
    </row>
    <row r="219" spans="1:13" ht="15.75" thickBot="1" x14ac:dyDescent="0.3">
      <c r="A219" s="72">
        <v>46000.721597222226</v>
      </c>
      <c r="B219" s="73" t="s">
        <v>1317</v>
      </c>
      <c r="C219" s="73" t="s">
        <v>742</v>
      </c>
      <c r="D219" s="73" t="s">
        <v>1747</v>
      </c>
      <c r="E219" s="73" t="s">
        <v>10</v>
      </c>
      <c r="F219" s="74">
        <v>42007</v>
      </c>
      <c r="G219" s="73" t="s">
        <v>1735</v>
      </c>
      <c r="H219" s="73" t="s">
        <v>1736</v>
      </c>
      <c r="I219" s="73" t="s">
        <v>66</v>
      </c>
      <c r="J219" s="75" t="s">
        <v>1748</v>
      </c>
      <c r="K219" s="73" t="s">
        <v>1749</v>
      </c>
      <c r="L219" s="80" t="s">
        <v>3072</v>
      </c>
      <c r="M219" s="71"/>
    </row>
    <row r="220" spans="1:13" ht="15.75" thickBot="1" x14ac:dyDescent="0.3">
      <c r="A220" s="50">
        <v>46000.721689814818</v>
      </c>
      <c r="B220" s="53" t="s">
        <v>953</v>
      </c>
      <c r="C220" s="53" t="s">
        <v>753</v>
      </c>
      <c r="D220" s="53" t="s">
        <v>749</v>
      </c>
      <c r="E220" s="53" t="s">
        <v>28</v>
      </c>
      <c r="F220" s="57">
        <v>42478</v>
      </c>
      <c r="G220" s="53" t="s">
        <v>750</v>
      </c>
      <c r="H220" s="53" t="s">
        <v>751</v>
      </c>
      <c r="I220" s="53" t="s">
        <v>66</v>
      </c>
      <c r="J220" s="60" t="s">
        <v>1750</v>
      </c>
      <c r="K220" s="53" t="s">
        <v>1751</v>
      </c>
      <c r="L220" s="78" t="s">
        <v>748</v>
      </c>
      <c r="M220" s="32" t="s">
        <v>1752</v>
      </c>
    </row>
    <row r="221" spans="1:13" ht="15.75" thickBot="1" x14ac:dyDescent="0.3">
      <c r="A221" s="72">
        <v>46000.721817129626</v>
      </c>
      <c r="B221" s="73" t="s">
        <v>1317</v>
      </c>
      <c r="C221" s="73" t="s">
        <v>742</v>
      </c>
      <c r="D221" s="73" t="s">
        <v>1753</v>
      </c>
      <c r="E221" s="73" t="s">
        <v>10</v>
      </c>
      <c r="F221" s="74">
        <v>41774</v>
      </c>
      <c r="G221" s="73" t="s">
        <v>1754</v>
      </c>
      <c r="H221" s="73" t="s">
        <v>1755</v>
      </c>
      <c r="I221" s="73" t="s">
        <v>66</v>
      </c>
      <c r="J221" s="75" t="s">
        <v>1756</v>
      </c>
      <c r="K221" s="73" t="s">
        <v>1757</v>
      </c>
      <c r="L221" s="80" t="s">
        <v>3073</v>
      </c>
      <c r="M221" s="71"/>
    </row>
    <row r="222" spans="1:13" ht="15.75" thickBot="1" x14ac:dyDescent="0.3">
      <c r="A222" s="67">
        <v>46000.728715277779</v>
      </c>
      <c r="B222" s="68" t="s">
        <v>1317</v>
      </c>
      <c r="C222" s="68" t="s">
        <v>473</v>
      </c>
      <c r="D222" s="68" t="s">
        <v>1758</v>
      </c>
      <c r="E222" s="68" t="s">
        <v>10</v>
      </c>
      <c r="F222" s="69">
        <v>41780</v>
      </c>
      <c r="G222" s="68" t="s">
        <v>1759</v>
      </c>
      <c r="H222" s="68" t="s">
        <v>1760</v>
      </c>
      <c r="I222" s="68" t="s">
        <v>66</v>
      </c>
      <c r="J222" s="70" t="s">
        <v>1761</v>
      </c>
      <c r="K222" s="68" t="s">
        <v>1762</v>
      </c>
      <c r="L222" s="79" t="s">
        <v>3074</v>
      </c>
      <c r="M222" s="71"/>
    </row>
    <row r="223" spans="1:13" ht="15.75" thickBot="1" x14ac:dyDescent="0.3">
      <c r="A223" s="72">
        <v>46000.735069444447</v>
      </c>
      <c r="B223" s="73" t="s">
        <v>1317</v>
      </c>
      <c r="C223" s="73" t="s">
        <v>473</v>
      </c>
      <c r="D223" s="73" t="s">
        <v>1763</v>
      </c>
      <c r="E223" s="73" t="s">
        <v>28</v>
      </c>
      <c r="F223" s="74">
        <v>41651</v>
      </c>
      <c r="G223" s="73" t="s">
        <v>1764</v>
      </c>
      <c r="H223" s="73" t="s">
        <v>1765</v>
      </c>
      <c r="I223" s="73" t="s">
        <v>66</v>
      </c>
      <c r="J223" s="75" t="s">
        <v>1766</v>
      </c>
      <c r="K223" s="73" t="s">
        <v>1767</v>
      </c>
      <c r="L223" s="80" t="s">
        <v>3075</v>
      </c>
      <c r="M223" s="71"/>
    </row>
    <row r="224" spans="1:13" ht="15.75" thickBot="1" x14ac:dyDescent="0.3">
      <c r="A224" s="67">
        <v>46000.735729166663</v>
      </c>
      <c r="B224" s="68" t="s">
        <v>1317</v>
      </c>
      <c r="C224" s="68" t="s">
        <v>511</v>
      </c>
      <c r="D224" s="68" t="s">
        <v>1768</v>
      </c>
      <c r="E224" s="68" t="s">
        <v>116</v>
      </c>
      <c r="F224" s="69">
        <v>41792</v>
      </c>
      <c r="G224" s="68" t="s">
        <v>1769</v>
      </c>
      <c r="H224" s="68" t="s">
        <v>1770</v>
      </c>
      <c r="I224" s="68" t="s">
        <v>66</v>
      </c>
      <c r="J224" s="70" t="s">
        <v>1771</v>
      </c>
      <c r="K224" s="68" t="s">
        <v>1772</v>
      </c>
      <c r="L224" s="79" t="s">
        <v>3076</v>
      </c>
      <c r="M224" s="71"/>
    </row>
    <row r="225" spans="1:13" ht="15.75" thickBot="1" x14ac:dyDescent="0.3">
      <c r="A225" s="49">
        <v>46000.740162037036</v>
      </c>
      <c r="B225" s="52" t="s">
        <v>10</v>
      </c>
      <c r="C225" s="52" t="s">
        <v>435</v>
      </c>
      <c r="D225" s="52" t="s">
        <v>755</v>
      </c>
      <c r="E225" s="52" t="s">
        <v>10</v>
      </c>
      <c r="F225" s="56">
        <v>41860</v>
      </c>
      <c r="G225" s="52" t="s">
        <v>756</v>
      </c>
      <c r="H225" s="52" t="s">
        <v>757</v>
      </c>
      <c r="I225" s="52" t="s">
        <v>66</v>
      </c>
      <c r="J225" s="59" t="s">
        <v>1773</v>
      </c>
      <c r="K225" s="52" t="s">
        <v>1774</v>
      </c>
      <c r="L225" s="77" t="s">
        <v>754</v>
      </c>
      <c r="M225" s="37" t="s">
        <v>1775</v>
      </c>
    </row>
    <row r="226" spans="1:13" ht="15.75" thickBot="1" x14ac:dyDescent="0.3">
      <c r="A226" s="50">
        <v>46000.743472222224</v>
      </c>
      <c r="B226" s="53" t="s">
        <v>10</v>
      </c>
      <c r="C226" s="53" t="s">
        <v>435</v>
      </c>
      <c r="D226" s="53" t="s">
        <v>760</v>
      </c>
      <c r="E226" s="53" t="s">
        <v>10</v>
      </c>
      <c r="F226" s="57">
        <v>42697</v>
      </c>
      <c r="G226" s="53" t="s">
        <v>761</v>
      </c>
      <c r="H226" s="53" t="s">
        <v>762</v>
      </c>
      <c r="I226" s="53" t="s">
        <v>2</v>
      </c>
      <c r="J226" s="60" t="s">
        <v>1776</v>
      </c>
      <c r="K226" s="53" t="s">
        <v>1777</v>
      </c>
      <c r="L226" s="78" t="s">
        <v>759</v>
      </c>
      <c r="M226" s="32" t="s">
        <v>1778</v>
      </c>
    </row>
    <row r="227" spans="1:13" ht="15.75" thickBot="1" x14ac:dyDescent="0.3">
      <c r="A227" s="72">
        <v>46000.745462962965</v>
      </c>
      <c r="B227" s="73" t="s">
        <v>1317</v>
      </c>
      <c r="C227" s="73" t="s">
        <v>511</v>
      </c>
      <c r="D227" s="73" t="s">
        <v>1779</v>
      </c>
      <c r="E227" s="73" t="s">
        <v>10</v>
      </c>
      <c r="F227" s="74">
        <v>41947</v>
      </c>
      <c r="G227" s="73" t="s">
        <v>1780</v>
      </c>
      <c r="H227" s="73" t="s">
        <v>1781</v>
      </c>
      <c r="I227" s="73" t="s">
        <v>66</v>
      </c>
      <c r="J227" s="75" t="s">
        <v>1782</v>
      </c>
      <c r="K227" s="73" t="s">
        <v>1783</v>
      </c>
      <c r="L227" s="80" t="s">
        <v>3077</v>
      </c>
      <c r="M227" s="71"/>
    </row>
    <row r="228" spans="1:13" ht="15.75" thickBot="1" x14ac:dyDescent="0.3">
      <c r="A228" s="50">
        <v>46000.74722222222</v>
      </c>
      <c r="B228" s="53" t="s">
        <v>10</v>
      </c>
      <c r="C228" s="53" t="s">
        <v>435</v>
      </c>
      <c r="D228" s="53" t="s">
        <v>765</v>
      </c>
      <c r="E228" s="53" t="s">
        <v>10</v>
      </c>
      <c r="F228" s="57">
        <v>42049</v>
      </c>
      <c r="G228" s="53" t="s">
        <v>766</v>
      </c>
      <c r="H228" s="53" t="s">
        <v>767</v>
      </c>
      <c r="I228" s="53" t="s">
        <v>2</v>
      </c>
      <c r="J228" s="60" t="s">
        <v>1784</v>
      </c>
      <c r="K228" s="53" t="s">
        <v>1785</v>
      </c>
      <c r="L228" s="78" t="s">
        <v>764</v>
      </c>
      <c r="M228" s="32" t="s">
        <v>1786</v>
      </c>
    </row>
    <row r="229" spans="1:13" ht="15.75" thickBot="1" x14ac:dyDescent="0.3">
      <c r="A229" s="72">
        <v>46000.748229166667</v>
      </c>
      <c r="B229" s="73" t="s">
        <v>1317</v>
      </c>
      <c r="C229" s="73" t="s">
        <v>742</v>
      </c>
      <c r="D229" s="73" t="s">
        <v>667</v>
      </c>
      <c r="E229" s="73" t="s">
        <v>28</v>
      </c>
      <c r="F229" s="74">
        <v>42464</v>
      </c>
      <c r="G229" s="73" t="s">
        <v>668</v>
      </c>
      <c r="H229" s="73" t="s">
        <v>669</v>
      </c>
      <c r="I229" s="73" t="s">
        <v>2</v>
      </c>
      <c r="J229" s="75" t="s">
        <v>1787</v>
      </c>
      <c r="K229" s="73" t="s">
        <v>1788</v>
      </c>
      <c r="L229" s="80" t="s">
        <v>3078</v>
      </c>
      <c r="M229" s="71"/>
    </row>
    <row r="230" spans="1:13" ht="15.75" thickBot="1" x14ac:dyDescent="0.3">
      <c r="A230" s="50">
        <v>46000.753287037034</v>
      </c>
      <c r="B230" s="53" t="s">
        <v>10</v>
      </c>
      <c r="C230" s="53" t="s">
        <v>435</v>
      </c>
      <c r="D230" s="53" t="s">
        <v>770</v>
      </c>
      <c r="E230" s="53" t="s">
        <v>10</v>
      </c>
      <c r="F230" s="57">
        <v>41953</v>
      </c>
      <c r="G230" s="53" t="s">
        <v>771</v>
      </c>
      <c r="H230" s="53" t="s">
        <v>772</v>
      </c>
      <c r="I230" s="53" t="s">
        <v>2</v>
      </c>
      <c r="J230" s="60" t="s">
        <v>1789</v>
      </c>
      <c r="K230" s="53" t="s">
        <v>1790</v>
      </c>
      <c r="L230" s="78" t="s">
        <v>769</v>
      </c>
      <c r="M230" s="32" t="s">
        <v>1791</v>
      </c>
    </row>
    <row r="231" spans="1:13" ht="15.75" thickBot="1" x14ac:dyDescent="0.3">
      <c r="A231" s="49">
        <v>46000.755162037036</v>
      </c>
      <c r="B231" s="52" t="s">
        <v>10</v>
      </c>
      <c r="C231" s="52" t="s">
        <v>435</v>
      </c>
      <c r="D231" s="52" t="s">
        <v>775</v>
      </c>
      <c r="E231" s="52" t="s">
        <v>10</v>
      </c>
      <c r="F231" s="56">
        <v>46000</v>
      </c>
      <c r="G231" s="52" t="s">
        <v>776</v>
      </c>
      <c r="H231" s="52" t="s">
        <v>777</v>
      </c>
      <c r="I231" s="52" t="s">
        <v>66</v>
      </c>
      <c r="J231" s="59" t="s">
        <v>1792</v>
      </c>
      <c r="K231" s="52" t="s">
        <v>1793</v>
      </c>
      <c r="L231" s="77" t="s">
        <v>774</v>
      </c>
      <c r="M231" s="37" t="s">
        <v>1794</v>
      </c>
    </row>
    <row r="232" spans="1:13" ht="15.75" thickBot="1" x14ac:dyDescent="0.3">
      <c r="A232" s="50">
        <v>46000.755462962959</v>
      </c>
      <c r="B232" s="53" t="s">
        <v>953</v>
      </c>
      <c r="C232" s="53" t="s">
        <v>725</v>
      </c>
      <c r="D232" s="53" t="s">
        <v>780</v>
      </c>
      <c r="E232" s="53" t="s">
        <v>10</v>
      </c>
      <c r="F232" s="57">
        <v>43091</v>
      </c>
      <c r="G232" s="53" t="s">
        <v>781</v>
      </c>
      <c r="H232" s="53" t="s">
        <v>782</v>
      </c>
      <c r="I232" s="53" t="s">
        <v>2</v>
      </c>
      <c r="J232" s="60" t="s">
        <v>1795</v>
      </c>
      <c r="K232" s="53" t="s">
        <v>1796</v>
      </c>
      <c r="L232" s="78" t="s">
        <v>779</v>
      </c>
      <c r="M232" s="32" t="s">
        <v>1797</v>
      </c>
    </row>
    <row r="233" spans="1:13" ht="15.75" thickBot="1" x14ac:dyDescent="0.3">
      <c r="A233" s="49">
        <v>46000.757488425923</v>
      </c>
      <c r="B233" s="52" t="s">
        <v>10</v>
      </c>
      <c r="C233" s="52" t="s">
        <v>435</v>
      </c>
      <c r="D233" s="52" t="s">
        <v>785</v>
      </c>
      <c r="E233" s="52" t="s">
        <v>10</v>
      </c>
      <c r="F233" s="56">
        <v>41682</v>
      </c>
      <c r="G233" s="52" t="s">
        <v>786</v>
      </c>
      <c r="H233" s="52" t="s">
        <v>787</v>
      </c>
      <c r="I233" s="52" t="s">
        <v>66</v>
      </c>
      <c r="J233" s="59" t="s">
        <v>1798</v>
      </c>
      <c r="K233" s="52" t="s">
        <v>1799</v>
      </c>
      <c r="L233" s="77" t="s">
        <v>784</v>
      </c>
      <c r="M233" s="37" t="s">
        <v>1800</v>
      </c>
    </row>
    <row r="234" spans="1:13" ht="15.75" thickBot="1" x14ac:dyDescent="0.3">
      <c r="A234" s="50">
        <v>46000.759699074071</v>
      </c>
      <c r="B234" s="53" t="s">
        <v>10</v>
      </c>
      <c r="C234" s="53" t="s">
        <v>435</v>
      </c>
      <c r="D234" s="53" t="s">
        <v>790</v>
      </c>
      <c r="E234" s="53" t="s">
        <v>10</v>
      </c>
      <c r="F234" s="57">
        <v>42228</v>
      </c>
      <c r="G234" s="53" t="s">
        <v>791</v>
      </c>
      <c r="H234" s="53" t="s">
        <v>792</v>
      </c>
      <c r="I234" s="53" t="s">
        <v>66</v>
      </c>
      <c r="J234" s="60" t="s">
        <v>1801</v>
      </c>
      <c r="K234" s="53" t="s">
        <v>1802</v>
      </c>
      <c r="L234" s="78" t="s">
        <v>789</v>
      </c>
      <c r="M234" s="32" t="s">
        <v>1803</v>
      </c>
    </row>
    <row r="235" spans="1:13" ht="15.75" thickBot="1" x14ac:dyDescent="0.3">
      <c r="A235" s="49">
        <v>46000.761250000003</v>
      </c>
      <c r="B235" s="52" t="s">
        <v>953</v>
      </c>
      <c r="C235" s="52" t="s">
        <v>725</v>
      </c>
      <c r="D235" s="52" t="s">
        <v>795</v>
      </c>
      <c r="E235" s="52" t="s">
        <v>10</v>
      </c>
      <c r="F235" s="56">
        <v>42977</v>
      </c>
      <c r="G235" s="52" t="s">
        <v>796</v>
      </c>
      <c r="H235" s="52" t="s">
        <v>797</v>
      </c>
      <c r="I235" s="52" t="s">
        <v>2</v>
      </c>
      <c r="J235" s="59" t="s">
        <v>1804</v>
      </c>
      <c r="K235" s="52" t="s">
        <v>1805</v>
      </c>
      <c r="L235" s="77" t="s">
        <v>794</v>
      </c>
      <c r="M235" s="37" t="s">
        <v>1806</v>
      </c>
    </row>
    <row r="236" spans="1:13" ht="15.75" thickBot="1" x14ac:dyDescent="0.3">
      <c r="A236" s="67">
        <v>46000.764398148145</v>
      </c>
      <c r="B236" s="68" t="s">
        <v>1317</v>
      </c>
      <c r="C236" s="68" t="s">
        <v>1807</v>
      </c>
      <c r="D236" s="68" t="s">
        <v>1808</v>
      </c>
      <c r="E236" s="68" t="s">
        <v>116</v>
      </c>
      <c r="F236" s="69">
        <v>42439</v>
      </c>
      <c r="G236" s="68" t="s">
        <v>1809</v>
      </c>
      <c r="H236" s="68" t="s">
        <v>1810</v>
      </c>
      <c r="I236" s="68" t="s">
        <v>2</v>
      </c>
      <c r="J236" s="70" t="s">
        <v>1811</v>
      </c>
      <c r="K236" s="68" t="s">
        <v>1812</v>
      </c>
      <c r="L236" s="79" t="s">
        <v>3079</v>
      </c>
      <c r="M236" s="71"/>
    </row>
    <row r="237" spans="1:13" ht="15.75" thickBot="1" x14ac:dyDescent="0.3">
      <c r="A237" s="49">
        <v>46000.766504629632</v>
      </c>
      <c r="B237" s="52" t="s">
        <v>10</v>
      </c>
      <c r="C237" s="52" t="s">
        <v>435</v>
      </c>
      <c r="D237" s="52" t="s">
        <v>785</v>
      </c>
      <c r="E237" s="52" t="s">
        <v>10</v>
      </c>
      <c r="F237" s="56">
        <v>41682</v>
      </c>
      <c r="G237" s="52" t="s">
        <v>786</v>
      </c>
      <c r="H237" s="52" t="s">
        <v>787</v>
      </c>
      <c r="I237" s="52" t="s">
        <v>66</v>
      </c>
      <c r="J237" s="59" t="s">
        <v>1813</v>
      </c>
      <c r="K237" s="52" t="s">
        <v>1814</v>
      </c>
      <c r="L237" s="77" t="s">
        <v>799</v>
      </c>
      <c r="M237" s="37" t="s">
        <v>1815</v>
      </c>
    </row>
    <row r="238" spans="1:13" ht="15.75" thickBot="1" x14ac:dyDescent="0.3">
      <c r="A238" s="67">
        <v>46000.767754629633</v>
      </c>
      <c r="B238" s="68" t="s">
        <v>1153</v>
      </c>
      <c r="C238" s="68" t="s">
        <v>1534</v>
      </c>
      <c r="D238" s="68" t="s">
        <v>1816</v>
      </c>
      <c r="E238" s="68" t="s">
        <v>10</v>
      </c>
      <c r="F238" s="69">
        <v>43085</v>
      </c>
      <c r="G238" s="68" t="s">
        <v>1536</v>
      </c>
      <c r="H238" s="68" t="s">
        <v>1537</v>
      </c>
      <c r="I238" s="68" t="s">
        <v>2</v>
      </c>
      <c r="J238" s="70" t="s">
        <v>1817</v>
      </c>
      <c r="K238" s="68" t="s">
        <v>1818</v>
      </c>
      <c r="L238" s="79" t="s">
        <v>3045</v>
      </c>
      <c r="M238" s="71"/>
    </row>
    <row r="239" spans="1:13" ht="15.75" thickBot="1" x14ac:dyDescent="0.3">
      <c r="A239" s="49">
        <v>46000.769074074073</v>
      </c>
      <c r="B239" s="52" t="s">
        <v>10</v>
      </c>
      <c r="C239" s="52" t="s">
        <v>435</v>
      </c>
      <c r="D239" s="52" t="s">
        <v>790</v>
      </c>
      <c r="E239" s="52" t="s">
        <v>10</v>
      </c>
      <c r="F239" s="56">
        <v>42228</v>
      </c>
      <c r="G239" s="52" t="s">
        <v>791</v>
      </c>
      <c r="H239" s="52" t="s">
        <v>792</v>
      </c>
      <c r="I239" s="52" t="s">
        <v>66</v>
      </c>
      <c r="J239" s="59" t="s">
        <v>1819</v>
      </c>
      <c r="K239" s="52" t="s">
        <v>1820</v>
      </c>
      <c r="L239" s="77" t="s">
        <v>801</v>
      </c>
      <c r="M239" s="37" t="s">
        <v>1821</v>
      </c>
    </row>
    <row r="240" spans="1:13" ht="15.75" thickBot="1" x14ac:dyDescent="0.3">
      <c r="A240" s="67">
        <v>46000.773125</v>
      </c>
      <c r="B240" s="68" t="s">
        <v>1153</v>
      </c>
      <c r="C240" s="68" t="s">
        <v>1534</v>
      </c>
      <c r="D240" s="68" t="s">
        <v>1822</v>
      </c>
      <c r="E240" s="68" t="s">
        <v>10</v>
      </c>
      <c r="F240" s="69">
        <v>42055</v>
      </c>
      <c r="G240" s="68" t="s">
        <v>1823</v>
      </c>
      <c r="H240" s="68" t="s">
        <v>1824</v>
      </c>
      <c r="I240" s="68" t="s">
        <v>2</v>
      </c>
      <c r="J240" s="70" t="s">
        <v>1825</v>
      </c>
      <c r="K240" s="68" t="s">
        <v>1826</v>
      </c>
      <c r="L240" s="79" t="s">
        <v>3046</v>
      </c>
      <c r="M240" s="71"/>
    </row>
    <row r="241" spans="1:13" ht="15.75" thickBot="1" x14ac:dyDescent="0.3">
      <c r="A241" s="72">
        <v>46000.774039351854</v>
      </c>
      <c r="B241" s="73" t="s">
        <v>1317</v>
      </c>
      <c r="C241" s="73" t="s">
        <v>473</v>
      </c>
      <c r="D241" s="73" t="s">
        <v>1827</v>
      </c>
      <c r="E241" s="73" t="s">
        <v>10</v>
      </c>
      <c r="F241" s="74">
        <v>42195</v>
      </c>
      <c r="G241" s="73" t="s">
        <v>1828</v>
      </c>
      <c r="H241" s="73" t="s">
        <v>1829</v>
      </c>
      <c r="I241" s="73" t="s">
        <v>2</v>
      </c>
      <c r="J241" s="75" t="s">
        <v>1830</v>
      </c>
      <c r="K241" s="73" t="s">
        <v>1831</v>
      </c>
      <c r="L241" s="80" t="s">
        <v>3080</v>
      </c>
      <c r="M241" s="71"/>
    </row>
    <row r="242" spans="1:13" ht="15.75" thickBot="1" x14ac:dyDescent="0.3">
      <c r="A242" s="50">
        <v>46000.778449074074</v>
      </c>
      <c r="B242" s="53" t="s">
        <v>10</v>
      </c>
      <c r="C242" s="53" t="s">
        <v>435</v>
      </c>
      <c r="D242" s="53" t="s">
        <v>804</v>
      </c>
      <c r="E242" s="53" t="s">
        <v>10</v>
      </c>
      <c r="F242" s="57">
        <v>41602</v>
      </c>
      <c r="G242" s="53" t="s">
        <v>805</v>
      </c>
      <c r="H242" s="53" t="s">
        <v>806</v>
      </c>
      <c r="I242" s="53" t="s">
        <v>2</v>
      </c>
      <c r="J242" s="60" t="s">
        <v>1832</v>
      </c>
      <c r="K242" s="53" t="s">
        <v>1833</v>
      </c>
      <c r="L242" s="78" t="s">
        <v>803</v>
      </c>
      <c r="M242" s="32" t="s">
        <v>1834</v>
      </c>
    </row>
    <row r="243" spans="1:13" ht="15.75" thickBot="1" x14ac:dyDescent="0.3">
      <c r="A243" s="72">
        <v>46000.77915509259</v>
      </c>
      <c r="B243" s="73" t="s">
        <v>1317</v>
      </c>
      <c r="C243" s="73" t="s">
        <v>484</v>
      </c>
      <c r="D243" s="73" t="s">
        <v>1835</v>
      </c>
      <c r="E243" s="73" t="s">
        <v>10</v>
      </c>
      <c r="F243" s="74">
        <v>41629</v>
      </c>
      <c r="G243" s="73" t="s">
        <v>1836</v>
      </c>
      <c r="H243" s="73" t="s">
        <v>1837</v>
      </c>
      <c r="I243" s="73" t="s">
        <v>66</v>
      </c>
      <c r="J243" s="75" t="s">
        <v>1838</v>
      </c>
      <c r="K243" s="73" t="s">
        <v>1839</v>
      </c>
      <c r="L243" s="80" t="s">
        <v>3081</v>
      </c>
      <c r="M243" s="71"/>
    </row>
    <row r="244" spans="1:13" ht="15.75" thickBot="1" x14ac:dyDescent="0.3">
      <c r="A244" s="67">
        <v>46000.781458333331</v>
      </c>
      <c r="B244" s="68" t="s">
        <v>1153</v>
      </c>
      <c r="C244" s="68" t="s">
        <v>1534</v>
      </c>
      <c r="D244" s="68" t="s">
        <v>1840</v>
      </c>
      <c r="E244" s="68" t="s">
        <v>10</v>
      </c>
      <c r="F244" s="69">
        <v>42420</v>
      </c>
      <c r="G244" s="68" t="s">
        <v>1541</v>
      </c>
      <c r="H244" s="68" t="s">
        <v>1542</v>
      </c>
      <c r="I244" s="68" t="s">
        <v>66</v>
      </c>
      <c r="J244" s="70" t="s">
        <v>1841</v>
      </c>
      <c r="K244" s="68" t="s">
        <v>1842</v>
      </c>
      <c r="L244" s="79" t="s">
        <v>3047</v>
      </c>
      <c r="M244" s="71"/>
    </row>
    <row r="245" spans="1:13" ht="15.75" thickBot="1" x14ac:dyDescent="0.3">
      <c r="A245" s="72">
        <v>46000.79109953704</v>
      </c>
      <c r="B245" s="73" t="s">
        <v>1317</v>
      </c>
      <c r="C245" s="73" t="s">
        <v>511</v>
      </c>
      <c r="D245" s="73" t="s">
        <v>1843</v>
      </c>
      <c r="E245" s="73" t="s">
        <v>116</v>
      </c>
      <c r="F245" s="74">
        <v>41770</v>
      </c>
      <c r="G245" s="73" t="s">
        <v>1844</v>
      </c>
      <c r="H245" s="73" t="s">
        <v>1845</v>
      </c>
      <c r="I245" s="73" t="s">
        <v>2</v>
      </c>
      <c r="J245" s="75" t="s">
        <v>1846</v>
      </c>
      <c r="K245" s="73" t="s">
        <v>1847</v>
      </c>
      <c r="L245" s="80" t="s">
        <v>3082</v>
      </c>
      <c r="M245" s="71"/>
    </row>
    <row r="246" spans="1:13" ht="15.75" thickBot="1" x14ac:dyDescent="0.3">
      <c r="A246" s="67">
        <v>46000.794652777775</v>
      </c>
      <c r="B246" s="68" t="s">
        <v>1317</v>
      </c>
      <c r="C246" s="68" t="s">
        <v>473</v>
      </c>
      <c r="D246" s="68" t="s">
        <v>1848</v>
      </c>
      <c r="E246" s="68" t="s">
        <v>28</v>
      </c>
      <c r="F246" s="69">
        <v>42326</v>
      </c>
      <c r="G246" s="68" t="s">
        <v>1849</v>
      </c>
      <c r="H246" s="68" t="s">
        <v>1850</v>
      </c>
      <c r="I246" s="68" t="s">
        <v>2</v>
      </c>
      <c r="J246" s="70" t="s">
        <v>1851</v>
      </c>
      <c r="K246" s="68" t="s">
        <v>1852</v>
      </c>
      <c r="L246" s="79" t="s">
        <v>3083</v>
      </c>
      <c r="M246" s="71"/>
    </row>
    <row r="247" spans="1:13" ht="15.75" thickBot="1" x14ac:dyDescent="0.3">
      <c r="A247" s="49">
        <v>46000.797337962962</v>
      </c>
      <c r="B247" s="52" t="s">
        <v>10</v>
      </c>
      <c r="C247" s="52" t="s">
        <v>699</v>
      </c>
      <c r="D247" s="52" t="s">
        <v>809</v>
      </c>
      <c r="E247" s="52" t="s">
        <v>10</v>
      </c>
      <c r="F247" s="56">
        <v>41632</v>
      </c>
      <c r="G247" s="52" t="s">
        <v>810</v>
      </c>
      <c r="H247" s="52" t="s">
        <v>811</v>
      </c>
      <c r="I247" s="52" t="s">
        <v>2</v>
      </c>
      <c r="J247" s="59" t="s">
        <v>1853</v>
      </c>
      <c r="K247" s="52" t="s">
        <v>1854</v>
      </c>
      <c r="L247" s="77" t="s">
        <v>808</v>
      </c>
      <c r="M247" s="37" t="s">
        <v>1855</v>
      </c>
    </row>
    <row r="248" spans="1:13" ht="15.75" thickBot="1" x14ac:dyDescent="0.3">
      <c r="A248" s="67">
        <v>46000.799085648148</v>
      </c>
      <c r="B248" s="68" t="s">
        <v>1317</v>
      </c>
      <c r="C248" s="68" t="s">
        <v>473</v>
      </c>
      <c r="D248" s="68" t="s">
        <v>1856</v>
      </c>
      <c r="E248" s="68" t="s">
        <v>10</v>
      </c>
      <c r="F248" s="69">
        <v>41819</v>
      </c>
      <c r="G248" s="68" t="s">
        <v>1857</v>
      </c>
      <c r="H248" s="68" t="s">
        <v>1858</v>
      </c>
      <c r="I248" s="68" t="s">
        <v>2</v>
      </c>
      <c r="J248" s="70" t="s">
        <v>1859</v>
      </c>
      <c r="K248" s="68" t="s">
        <v>1860</v>
      </c>
      <c r="L248" s="79" t="s">
        <v>3084</v>
      </c>
      <c r="M248" s="71"/>
    </row>
    <row r="249" spans="1:13" ht="15.75" thickBot="1" x14ac:dyDescent="0.3">
      <c r="A249" s="72">
        <v>46000.800347222219</v>
      </c>
      <c r="B249" s="73" t="s">
        <v>1153</v>
      </c>
      <c r="C249" s="73" t="s">
        <v>1534</v>
      </c>
      <c r="D249" s="73" t="s">
        <v>1861</v>
      </c>
      <c r="E249" s="73" t="s">
        <v>116</v>
      </c>
      <c r="F249" s="74">
        <v>42864</v>
      </c>
      <c r="G249" s="73" t="s">
        <v>1862</v>
      </c>
      <c r="H249" s="73" t="s">
        <v>1863</v>
      </c>
      <c r="I249" s="73" t="s">
        <v>2</v>
      </c>
      <c r="J249" s="75" t="s">
        <v>1864</v>
      </c>
      <c r="K249" s="73" t="s">
        <v>1865</v>
      </c>
      <c r="L249" s="80" t="s">
        <v>3048</v>
      </c>
      <c r="M249" s="71"/>
    </row>
    <row r="250" spans="1:13" ht="15.75" thickBot="1" x14ac:dyDescent="0.3">
      <c r="A250" s="50">
        <v>46000.802824074075</v>
      </c>
      <c r="B250" s="53" t="s">
        <v>10</v>
      </c>
      <c r="C250" s="53" t="s">
        <v>699</v>
      </c>
      <c r="D250" s="53" t="s">
        <v>814</v>
      </c>
      <c r="E250" s="53" t="s">
        <v>815</v>
      </c>
      <c r="F250" s="57">
        <v>42005</v>
      </c>
      <c r="G250" s="53" t="s">
        <v>816</v>
      </c>
      <c r="H250" s="53" t="s">
        <v>817</v>
      </c>
      <c r="I250" s="53" t="s">
        <v>2</v>
      </c>
      <c r="J250" s="60" t="s">
        <v>1866</v>
      </c>
      <c r="K250" s="53" t="s">
        <v>1867</v>
      </c>
      <c r="L250" s="78" t="s">
        <v>813</v>
      </c>
      <c r="M250" s="32" t="s">
        <v>1868</v>
      </c>
    </row>
    <row r="251" spans="1:13" ht="15.75" thickBot="1" x14ac:dyDescent="0.3">
      <c r="A251" s="49">
        <v>46000.805555555555</v>
      </c>
      <c r="B251" s="52" t="s">
        <v>10</v>
      </c>
      <c r="C251" s="52" t="s">
        <v>435</v>
      </c>
      <c r="D251" s="52" t="s">
        <v>820</v>
      </c>
      <c r="E251" s="52" t="s">
        <v>10</v>
      </c>
      <c r="F251" s="56">
        <v>42102</v>
      </c>
      <c r="G251" s="52" t="s">
        <v>821</v>
      </c>
      <c r="H251" s="52" t="s">
        <v>822</v>
      </c>
      <c r="I251" s="52" t="s">
        <v>2</v>
      </c>
      <c r="J251" s="59" t="s">
        <v>1869</v>
      </c>
      <c r="K251" s="52" t="s">
        <v>1870</v>
      </c>
      <c r="L251" s="77" t="s">
        <v>819</v>
      </c>
      <c r="M251" s="37" t="s">
        <v>1871</v>
      </c>
    </row>
    <row r="252" spans="1:13" ht="15.75" thickBot="1" x14ac:dyDescent="0.3">
      <c r="A252" s="67">
        <v>46000.808298611111</v>
      </c>
      <c r="B252" s="68" t="s">
        <v>1317</v>
      </c>
      <c r="C252" s="68" t="s">
        <v>593</v>
      </c>
      <c r="D252" s="68" t="s">
        <v>1872</v>
      </c>
      <c r="E252" s="68" t="s">
        <v>1873</v>
      </c>
      <c r="F252" s="69">
        <v>42198</v>
      </c>
      <c r="G252" s="68" t="s">
        <v>1874</v>
      </c>
      <c r="H252" s="68" t="s">
        <v>1875</v>
      </c>
      <c r="I252" s="68" t="s">
        <v>66</v>
      </c>
      <c r="J252" s="70" t="s">
        <v>1876</v>
      </c>
      <c r="K252" s="68" t="s">
        <v>1877</v>
      </c>
      <c r="L252" s="79" t="s">
        <v>3085</v>
      </c>
      <c r="M252" s="71"/>
    </row>
    <row r="253" spans="1:13" ht="15.75" thickBot="1" x14ac:dyDescent="0.3">
      <c r="A253" s="72">
        <v>46000.829386574071</v>
      </c>
      <c r="B253" s="73" t="s">
        <v>1317</v>
      </c>
      <c r="C253" s="73" t="s">
        <v>473</v>
      </c>
      <c r="D253" s="73" t="s">
        <v>1878</v>
      </c>
      <c r="E253" s="73" t="s">
        <v>10</v>
      </c>
      <c r="F253" s="74">
        <v>41631</v>
      </c>
      <c r="G253" s="73" t="s">
        <v>1879</v>
      </c>
      <c r="H253" s="73" t="s">
        <v>1880</v>
      </c>
      <c r="I253" s="73" t="s">
        <v>2</v>
      </c>
      <c r="J253" s="75" t="s">
        <v>1881</v>
      </c>
      <c r="K253" s="73" t="s">
        <v>1882</v>
      </c>
      <c r="L253" s="80" t="s">
        <v>3086</v>
      </c>
      <c r="M253" s="71"/>
    </row>
    <row r="254" spans="1:13" ht="15.75" thickBot="1" x14ac:dyDescent="0.3">
      <c r="A254" s="50">
        <v>46000.83048611111</v>
      </c>
      <c r="B254" s="83" t="s">
        <v>953</v>
      </c>
      <c r="C254" s="53" t="s">
        <v>609</v>
      </c>
      <c r="D254" s="53" t="s">
        <v>825</v>
      </c>
      <c r="E254" s="53" t="s">
        <v>10</v>
      </c>
      <c r="F254" s="57">
        <v>41714</v>
      </c>
      <c r="G254" s="53" t="s">
        <v>826</v>
      </c>
      <c r="H254" s="53" t="s">
        <v>827</v>
      </c>
      <c r="I254" s="53" t="s">
        <v>2</v>
      </c>
      <c r="J254" s="60" t="s">
        <v>1883</v>
      </c>
      <c r="K254" s="53" t="s">
        <v>1884</v>
      </c>
      <c r="L254" s="78" t="s">
        <v>824</v>
      </c>
      <c r="M254" s="32" t="s">
        <v>1885</v>
      </c>
    </row>
    <row r="255" spans="1:13" ht="15.75" thickBot="1" x14ac:dyDescent="0.3">
      <c r="A255" s="49">
        <v>46000.833020833335</v>
      </c>
      <c r="B255" s="52" t="s">
        <v>10</v>
      </c>
      <c r="C255" s="52" t="s">
        <v>435</v>
      </c>
      <c r="D255" s="52" t="s">
        <v>830</v>
      </c>
      <c r="E255" s="52" t="s">
        <v>402</v>
      </c>
      <c r="F255" s="56">
        <v>42101</v>
      </c>
      <c r="G255" s="52" t="s">
        <v>831</v>
      </c>
      <c r="H255" s="52" t="s">
        <v>832</v>
      </c>
      <c r="I255" s="52" t="s">
        <v>2</v>
      </c>
      <c r="J255" s="59" t="s">
        <v>1886</v>
      </c>
      <c r="K255" s="52" t="s">
        <v>1887</v>
      </c>
      <c r="L255" s="77" t="s">
        <v>829</v>
      </c>
      <c r="M255" s="37" t="s">
        <v>1888</v>
      </c>
    </row>
    <row r="256" spans="1:13" ht="15.75" thickBot="1" x14ac:dyDescent="0.3">
      <c r="A256" s="50">
        <v>46000.835879629631</v>
      </c>
      <c r="B256" s="53" t="s">
        <v>10</v>
      </c>
      <c r="C256" s="53" t="s">
        <v>435</v>
      </c>
      <c r="D256" s="53" t="s">
        <v>835</v>
      </c>
      <c r="E256" s="53" t="s">
        <v>10</v>
      </c>
      <c r="F256" s="57">
        <v>42233</v>
      </c>
      <c r="G256" s="53" t="s">
        <v>836</v>
      </c>
      <c r="H256" s="53" t="s">
        <v>837</v>
      </c>
      <c r="I256" s="53" t="s">
        <v>2</v>
      </c>
      <c r="J256" s="60" t="s">
        <v>1889</v>
      </c>
      <c r="K256" s="53" t="s">
        <v>1890</v>
      </c>
      <c r="L256" s="78" t="s">
        <v>834</v>
      </c>
      <c r="M256" s="32" t="s">
        <v>1891</v>
      </c>
    </row>
    <row r="257" spans="1:13" ht="15.75" thickBot="1" x14ac:dyDescent="0.3">
      <c r="A257" s="72">
        <v>46000.837939814817</v>
      </c>
      <c r="B257" s="73" t="s">
        <v>1153</v>
      </c>
      <c r="C257" s="73" t="s">
        <v>256</v>
      </c>
      <c r="D257" s="73" t="s">
        <v>1892</v>
      </c>
      <c r="E257" s="73" t="s">
        <v>1893</v>
      </c>
      <c r="F257" s="74">
        <v>42609</v>
      </c>
      <c r="G257" s="73" t="s">
        <v>1894</v>
      </c>
      <c r="H257" s="73" t="s">
        <v>1895</v>
      </c>
      <c r="I257" s="73" t="s">
        <v>2</v>
      </c>
      <c r="J257" s="75" t="s">
        <v>1896</v>
      </c>
      <c r="K257" s="73" t="s">
        <v>1897</v>
      </c>
      <c r="L257" s="80" t="s">
        <v>3049</v>
      </c>
      <c r="M257" s="71"/>
    </row>
    <row r="258" spans="1:13" ht="15.75" thickBot="1" x14ac:dyDescent="0.3">
      <c r="A258" s="50">
        <v>46000.85355324074</v>
      </c>
      <c r="B258" s="53" t="s">
        <v>10</v>
      </c>
      <c r="C258" s="53" t="s">
        <v>435</v>
      </c>
      <c r="D258" s="53" t="s">
        <v>840</v>
      </c>
      <c r="E258" s="53" t="s">
        <v>10</v>
      </c>
      <c r="F258" s="57">
        <v>42101</v>
      </c>
      <c r="G258" s="53" t="s">
        <v>841</v>
      </c>
      <c r="H258" s="53" t="s">
        <v>842</v>
      </c>
      <c r="I258" s="53" t="s">
        <v>2</v>
      </c>
      <c r="J258" s="60" t="s">
        <v>1898</v>
      </c>
      <c r="K258" s="53" t="s">
        <v>1899</v>
      </c>
      <c r="L258" s="78" t="s">
        <v>839</v>
      </c>
      <c r="M258" s="32" t="s">
        <v>1900</v>
      </c>
    </row>
    <row r="259" spans="1:13" ht="15.75" thickBot="1" x14ac:dyDescent="0.3">
      <c r="A259" s="49">
        <v>46000.866840277777</v>
      </c>
      <c r="B259" s="52" t="s">
        <v>10</v>
      </c>
      <c r="C259" s="52" t="s">
        <v>484</v>
      </c>
      <c r="D259" s="52" t="s">
        <v>845</v>
      </c>
      <c r="E259" s="52" t="s">
        <v>10</v>
      </c>
      <c r="F259" s="56">
        <v>41548</v>
      </c>
      <c r="G259" s="52" t="s">
        <v>846</v>
      </c>
      <c r="H259" s="52" t="s">
        <v>847</v>
      </c>
      <c r="I259" s="52" t="s">
        <v>2</v>
      </c>
      <c r="J259" s="59" t="s">
        <v>1901</v>
      </c>
      <c r="K259" s="52" t="s">
        <v>1902</v>
      </c>
      <c r="L259" s="77" t="s">
        <v>844</v>
      </c>
      <c r="M259" s="37" t="s">
        <v>1903</v>
      </c>
    </row>
    <row r="260" spans="1:13" ht="15.75" thickBot="1" x14ac:dyDescent="0.3">
      <c r="A260" s="50">
        <v>46000.867546296293</v>
      </c>
      <c r="B260" s="53" t="s">
        <v>10</v>
      </c>
      <c r="C260" s="53" t="s">
        <v>854</v>
      </c>
      <c r="D260" s="53" t="s">
        <v>850</v>
      </c>
      <c r="E260" s="53" t="s">
        <v>10</v>
      </c>
      <c r="F260" s="57">
        <v>41531</v>
      </c>
      <c r="G260" s="53" t="s">
        <v>851</v>
      </c>
      <c r="H260" s="53" t="s">
        <v>852</v>
      </c>
      <c r="I260" s="53" t="s">
        <v>2</v>
      </c>
      <c r="J260" s="60" t="s">
        <v>1904</v>
      </c>
      <c r="K260" s="53" t="s">
        <v>1905</v>
      </c>
      <c r="L260" s="78" t="s">
        <v>849</v>
      </c>
      <c r="M260" s="32" t="s">
        <v>1906</v>
      </c>
    </row>
    <row r="261" spans="1:13" ht="15.75" thickBot="1" x14ac:dyDescent="0.3">
      <c r="A261" s="72">
        <v>46000.869942129626</v>
      </c>
      <c r="B261" s="73" t="s">
        <v>1317</v>
      </c>
      <c r="C261" s="73" t="s">
        <v>1907</v>
      </c>
      <c r="D261" s="73" t="s">
        <v>1908</v>
      </c>
      <c r="E261" s="73" t="s">
        <v>10</v>
      </c>
      <c r="F261" s="74">
        <v>42783</v>
      </c>
      <c r="G261" s="73" t="s">
        <v>1909</v>
      </c>
      <c r="H261" s="73" t="s">
        <v>1910</v>
      </c>
      <c r="I261" s="73" t="s">
        <v>2</v>
      </c>
      <c r="J261" s="75" t="s">
        <v>1911</v>
      </c>
      <c r="K261" s="73" t="s">
        <v>1912</v>
      </c>
      <c r="L261" s="80" t="s">
        <v>3087</v>
      </c>
      <c r="M261" s="71"/>
    </row>
    <row r="262" spans="1:13" ht="15.75" thickBot="1" x14ac:dyDescent="0.3">
      <c r="A262" s="50">
        <v>46000.870185185187</v>
      </c>
      <c r="B262" s="53" t="s">
        <v>10</v>
      </c>
      <c r="C262" s="53" t="s">
        <v>342</v>
      </c>
      <c r="D262" s="53" t="s">
        <v>856</v>
      </c>
      <c r="E262" s="53" t="s">
        <v>204</v>
      </c>
      <c r="F262" s="57">
        <v>42456</v>
      </c>
      <c r="G262" s="53" t="s">
        <v>857</v>
      </c>
      <c r="H262" s="53" t="s">
        <v>858</v>
      </c>
      <c r="I262" s="53" t="s">
        <v>2</v>
      </c>
      <c r="J262" s="60" t="s">
        <v>1913</v>
      </c>
      <c r="K262" s="53" t="s">
        <v>1914</v>
      </c>
      <c r="L262" s="78" t="s">
        <v>855</v>
      </c>
      <c r="M262" s="32" t="s">
        <v>1915</v>
      </c>
    </row>
    <row r="263" spans="1:13" ht="15.75" thickBot="1" x14ac:dyDescent="0.3">
      <c r="A263" s="72">
        <v>46000.888472222221</v>
      </c>
      <c r="B263" s="73" t="s">
        <v>1317</v>
      </c>
      <c r="C263" s="73" t="s">
        <v>1807</v>
      </c>
      <c r="D263" s="73" t="s">
        <v>1916</v>
      </c>
      <c r="E263" s="73" t="s">
        <v>116</v>
      </c>
      <c r="F263" s="74">
        <v>42208</v>
      </c>
      <c r="G263" s="73" t="s">
        <v>1917</v>
      </c>
      <c r="H263" s="73" t="s">
        <v>1918</v>
      </c>
      <c r="I263" s="73" t="s">
        <v>2</v>
      </c>
      <c r="J263" s="75" t="s">
        <v>1919</v>
      </c>
      <c r="K263" s="73" t="s">
        <v>1920</v>
      </c>
      <c r="L263" s="80" t="s">
        <v>3088</v>
      </c>
      <c r="M263" s="71"/>
    </row>
    <row r="264" spans="1:13" ht="15.75" thickBot="1" x14ac:dyDescent="0.3">
      <c r="A264" s="67">
        <v>46000.888969907406</v>
      </c>
      <c r="B264" s="68" t="s">
        <v>1317</v>
      </c>
      <c r="C264" s="68" t="s">
        <v>1907</v>
      </c>
      <c r="D264" s="68" t="s">
        <v>1921</v>
      </c>
      <c r="E264" s="68" t="s">
        <v>116</v>
      </c>
      <c r="F264" s="69">
        <v>42852</v>
      </c>
      <c r="G264" s="68" t="s">
        <v>1922</v>
      </c>
      <c r="H264" s="68" t="s">
        <v>1923</v>
      </c>
      <c r="I264" s="68" t="s">
        <v>2</v>
      </c>
      <c r="J264" s="70" t="s">
        <v>1924</v>
      </c>
      <c r="K264" s="68" t="s">
        <v>1925</v>
      </c>
      <c r="L264" s="79" t="s">
        <v>3089</v>
      </c>
      <c r="M264" s="71"/>
    </row>
    <row r="265" spans="1:13" ht="15.75" thickBot="1" x14ac:dyDescent="0.3">
      <c r="A265" s="72">
        <v>46000.890462962961</v>
      </c>
      <c r="B265" s="73" t="s">
        <v>1317</v>
      </c>
      <c r="C265" s="73" t="s">
        <v>742</v>
      </c>
      <c r="D265" s="73" t="s">
        <v>1926</v>
      </c>
      <c r="E265" s="73" t="s">
        <v>10</v>
      </c>
      <c r="F265" s="74">
        <v>42839</v>
      </c>
      <c r="G265" s="73" t="s">
        <v>1927</v>
      </c>
      <c r="H265" s="73" t="s">
        <v>1928</v>
      </c>
      <c r="I265" s="73" t="s">
        <v>2</v>
      </c>
      <c r="J265" s="75" t="s">
        <v>1929</v>
      </c>
      <c r="K265" s="73" t="s">
        <v>1930</v>
      </c>
      <c r="L265" s="80" t="s">
        <v>3090</v>
      </c>
      <c r="M265" s="71"/>
    </row>
    <row r="266" spans="1:13" ht="15.75" thickBot="1" x14ac:dyDescent="0.3">
      <c r="A266" s="67">
        <v>46000.893240740741</v>
      </c>
      <c r="B266" s="68" t="s">
        <v>1317</v>
      </c>
      <c r="C266" s="68" t="s">
        <v>1907</v>
      </c>
      <c r="D266" s="68" t="s">
        <v>1931</v>
      </c>
      <c r="E266" s="68" t="s">
        <v>10</v>
      </c>
      <c r="F266" s="69">
        <v>42556</v>
      </c>
      <c r="G266" s="68" t="s">
        <v>1932</v>
      </c>
      <c r="H266" s="68" t="s">
        <v>1933</v>
      </c>
      <c r="I266" s="68" t="s">
        <v>2</v>
      </c>
      <c r="J266" s="70" t="s">
        <v>1934</v>
      </c>
      <c r="K266" s="68" t="s">
        <v>1935</v>
      </c>
      <c r="L266" s="79" t="s">
        <v>3091</v>
      </c>
      <c r="M266" s="71"/>
    </row>
    <row r="267" spans="1:13" ht="15.75" thickBot="1" x14ac:dyDescent="0.3">
      <c r="A267" s="72">
        <v>46000.899050925924</v>
      </c>
      <c r="B267" s="73" t="s">
        <v>1317</v>
      </c>
      <c r="C267" s="73" t="s">
        <v>1907</v>
      </c>
      <c r="D267" s="73" t="s">
        <v>1936</v>
      </c>
      <c r="E267" s="73" t="s">
        <v>365</v>
      </c>
      <c r="F267" s="74">
        <v>42922</v>
      </c>
      <c r="G267" s="73" t="s">
        <v>1937</v>
      </c>
      <c r="H267" s="73" t="s">
        <v>1938</v>
      </c>
      <c r="I267" s="73" t="s">
        <v>2</v>
      </c>
      <c r="J267" s="75" t="s">
        <v>1939</v>
      </c>
      <c r="K267" s="73" t="s">
        <v>1940</v>
      </c>
      <c r="L267" s="80" t="s">
        <v>3092</v>
      </c>
      <c r="M267" s="71"/>
    </row>
    <row r="268" spans="1:13" ht="15.75" thickBot="1" x14ac:dyDescent="0.3">
      <c r="A268" s="67">
        <v>46000.90084490741</v>
      </c>
      <c r="B268" s="68" t="s">
        <v>1317</v>
      </c>
      <c r="C268" s="68" t="s">
        <v>484</v>
      </c>
      <c r="D268" s="68" t="s">
        <v>1941</v>
      </c>
      <c r="E268" s="68" t="s">
        <v>10</v>
      </c>
      <c r="F268" s="69">
        <v>41515</v>
      </c>
      <c r="G268" s="68" t="s">
        <v>1942</v>
      </c>
      <c r="H268" s="68" t="s">
        <v>1943</v>
      </c>
      <c r="I268" s="68" t="s">
        <v>2</v>
      </c>
      <c r="J268" s="70" t="s">
        <v>1944</v>
      </c>
      <c r="K268" s="68" t="s">
        <v>1945</v>
      </c>
      <c r="L268" s="79" t="s">
        <v>3093</v>
      </c>
      <c r="M268" s="71"/>
    </row>
    <row r="269" spans="1:13" ht="15.75" thickBot="1" x14ac:dyDescent="0.3">
      <c r="A269" s="72">
        <v>46000.906574074077</v>
      </c>
      <c r="B269" s="73" t="s">
        <v>1317</v>
      </c>
      <c r="C269" s="73" t="s">
        <v>1907</v>
      </c>
      <c r="D269" s="73" t="s">
        <v>1946</v>
      </c>
      <c r="E269" s="73" t="s">
        <v>1155</v>
      </c>
      <c r="F269" s="74">
        <v>43152</v>
      </c>
      <c r="G269" s="73" t="s">
        <v>1947</v>
      </c>
      <c r="H269" s="73" t="s">
        <v>1948</v>
      </c>
      <c r="I269" s="73" t="s">
        <v>2</v>
      </c>
      <c r="J269" s="75" t="s">
        <v>1949</v>
      </c>
      <c r="K269" s="73" t="s">
        <v>1950</v>
      </c>
      <c r="L269" s="80" t="s">
        <v>3094</v>
      </c>
      <c r="M269" s="71"/>
    </row>
    <row r="270" spans="1:13" ht="15.75" thickBot="1" x14ac:dyDescent="0.3">
      <c r="A270" s="50">
        <v>46000.914768518516</v>
      </c>
      <c r="B270" s="53" t="s">
        <v>10</v>
      </c>
      <c r="C270" s="53" t="s">
        <v>435</v>
      </c>
      <c r="D270" s="53" t="s">
        <v>861</v>
      </c>
      <c r="E270" s="53" t="s">
        <v>28</v>
      </c>
      <c r="F270" s="57">
        <v>42220</v>
      </c>
      <c r="G270" s="53" t="s">
        <v>862</v>
      </c>
      <c r="H270" s="53" t="s">
        <v>863</v>
      </c>
      <c r="I270" s="53" t="s">
        <v>66</v>
      </c>
      <c r="J270" s="60" t="s">
        <v>1951</v>
      </c>
      <c r="K270" s="53" t="s">
        <v>1952</v>
      </c>
      <c r="L270" s="78" t="s">
        <v>860</v>
      </c>
      <c r="M270" s="32" t="s">
        <v>1953</v>
      </c>
    </row>
    <row r="271" spans="1:13" ht="15.75" thickBot="1" x14ac:dyDescent="0.3">
      <c r="A271" s="49">
        <v>46000.936342592591</v>
      </c>
      <c r="B271" s="52" t="s">
        <v>10</v>
      </c>
      <c r="C271" s="52" t="s">
        <v>435</v>
      </c>
      <c r="D271" s="52" t="s">
        <v>866</v>
      </c>
      <c r="E271" s="52" t="s">
        <v>10</v>
      </c>
      <c r="F271" s="56">
        <v>42267</v>
      </c>
      <c r="G271" s="52" t="s">
        <v>867</v>
      </c>
      <c r="H271" s="52" t="s">
        <v>868</v>
      </c>
      <c r="I271" s="52" t="s">
        <v>2</v>
      </c>
      <c r="J271" s="59" t="s">
        <v>1954</v>
      </c>
      <c r="K271" s="52" t="s">
        <v>1955</v>
      </c>
      <c r="L271" s="77" t="s">
        <v>865</v>
      </c>
      <c r="M271" s="37" t="s">
        <v>1956</v>
      </c>
    </row>
    <row r="272" spans="1:13" ht="15.75" thickBot="1" x14ac:dyDescent="0.3">
      <c r="A272" s="50">
        <v>46001.211157407408</v>
      </c>
      <c r="B272" s="53" t="s">
        <v>10</v>
      </c>
      <c r="C272" s="53" t="s">
        <v>567</v>
      </c>
      <c r="D272" s="53" t="s">
        <v>871</v>
      </c>
      <c r="E272" s="53" t="s">
        <v>10</v>
      </c>
      <c r="F272" s="57">
        <v>42921</v>
      </c>
      <c r="G272" s="53" t="s">
        <v>872</v>
      </c>
      <c r="H272" s="53" t="s">
        <v>873</v>
      </c>
      <c r="I272" s="53" t="s">
        <v>2</v>
      </c>
      <c r="J272" s="60" t="s">
        <v>1957</v>
      </c>
      <c r="K272" s="53" t="s">
        <v>1958</v>
      </c>
      <c r="L272" s="78" t="s">
        <v>870</v>
      </c>
      <c r="M272" s="32" t="s">
        <v>1959</v>
      </c>
    </row>
    <row r="273" spans="1:13" ht="15.75" thickBot="1" x14ac:dyDescent="0.3">
      <c r="A273" s="49">
        <v>46001.217962962961</v>
      </c>
      <c r="B273" s="52" t="s">
        <v>10</v>
      </c>
      <c r="C273" s="52" t="s">
        <v>484</v>
      </c>
      <c r="D273" s="52" t="s">
        <v>876</v>
      </c>
      <c r="E273" s="52" t="s">
        <v>10</v>
      </c>
      <c r="F273" s="56">
        <v>45935</v>
      </c>
      <c r="G273" s="52" t="s">
        <v>877</v>
      </c>
      <c r="H273" s="52" t="s">
        <v>878</v>
      </c>
      <c r="I273" s="52" t="s">
        <v>2</v>
      </c>
      <c r="J273" s="59" t="s">
        <v>1960</v>
      </c>
      <c r="K273" s="52" t="s">
        <v>1961</v>
      </c>
      <c r="L273" s="77" t="s">
        <v>875</v>
      </c>
      <c r="M273" s="37" t="s">
        <v>1962</v>
      </c>
    </row>
    <row r="274" spans="1:13" ht="15.75" thickBot="1" x14ac:dyDescent="0.3">
      <c r="A274" s="67">
        <v>46001.224050925928</v>
      </c>
      <c r="B274" s="68" t="s">
        <v>1317</v>
      </c>
      <c r="C274" s="68" t="s">
        <v>484</v>
      </c>
      <c r="D274" s="68" t="s">
        <v>1963</v>
      </c>
      <c r="E274" s="68" t="s">
        <v>10</v>
      </c>
      <c r="F274" s="69">
        <v>46017</v>
      </c>
      <c r="G274" s="68" t="s">
        <v>1964</v>
      </c>
      <c r="H274" s="68" t="s">
        <v>1965</v>
      </c>
      <c r="I274" s="68" t="s">
        <v>2</v>
      </c>
      <c r="J274" s="70" t="s">
        <v>1966</v>
      </c>
      <c r="K274" s="68" t="s">
        <v>1967</v>
      </c>
      <c r="L274" s="79" t="s">
        <v>3095</v>
      </c>
      <c r="M274" s="71"/>
    </row>
    <row r="275" spans="1:13" ht="15.75" thickBot="1" x14ac:dyDescent="0.3">
      <c r="A275" s="49">
        <v>46001.23033564815</v>
      </c>
      <c r="B275" s="52" t="s">
        <v>10</v>
      </c>
      <c r="C275" s="52" t="s">
        <v>699</v>
      </c>
      <c r="D275" s="52" t="s">
        <v>881</v>
      </c>
      <c r="E275" s="52" t="s">
        <v>10</v>
      </c>
      <c r="F275" s="56">
        <v>42066</v>
      </c>
      <c r="G275" s="52" t="s">
        <v>882</v>
      </c>
      <c r="H275" s="52" t="s">
        <v>883</v>
      </c>
      <c r="I275" s="52" t="s">
        <v>2</v>
      </c>
      <c r="J275" s="59" t="s">
        <v>1968</v>
      </c>
      <c r="K275" s="52" t="s">
        <v>1969</v>
      </c>
      <c r="L275" s="77" t="s">
        <v>880</v>
      </c>
      <c r="M275" s="37" t="s">
        <v>1970</v>
      </c>
    </row>
    <row r="276" spans="1:13" ht="15.75" thickBot="1" x14ac:dyDescent="0.3">
      <c r="A276" s="50">
        <v>46001.231782407405</v>
      </c>
      <c r="B276" s="53" t="s">
        <v>10</v>
      </c>
      <c r="C276" s="53" t="s">
        <v>484</v>
      </c>
      <c r="D276" s="53" t="s">
        <v>886</v>
      </c>
      <c r="E276" s="53" t="s">
        <v>10</v>
      </c>
      <c r="F276" s="57">
        <v>41552</v>
      </c>
      <c r="G276" s="53" t="s">
        <v>887</v>
      </c>
      <c r="H276" s="53" t="s">
        <v>878</v>
      </c>
      <c r="I276" s="53" t="s">
        <v>2</v>
      </c>
      <c r="J276" s="60" t="s">
        <v>1971</v>
      </c>
      <c r="K276" s="53" t="s">
        <v>1972</v>
      </c>
      <c r="L276" s="78" t="s">
        <v>885</v>
      </c>
      <c r="M276" s="32" t="s">
        <v>1973</v>
      </c>
    </row>
    <row r="277" spans="1:13" ht="15.75" thickBot="1" x14ac:dyDescent="0.3">
      <c r="A277" s="72">
        <v>46001.243449074071</v>
      </c>
      <c r="B277" s="73" t="s">
        <v>1317</v>
      </c>
      <c r="C277" s="73" t="s">
        <v>484</v>
      </c>
      <c r="D277" s="73" t="s">
        <v>1974</v>
      </c>
      <c r="E277" s="73" t="s">
        <v>28</v>
      </c>
      <c r="F277" s="74">
        <v>41704</v>
      </c>
      <c r="G277" s="73" t="s">
        <v>1503</v>
      </c>
      <c r="H277" s="73" t="s">
        <v>1504</v>
      </c>
      <c r="I277" s="73" t="s">
        <v>66</v>
      </c>
      <c r="J277" s="75" t="s">
        <v>1975</v>
      </c>
      <c r="K277" s="73" t="s">
        <v>1976</v>
      </c>
      <c r="L277" s="80" t="s">
        <v>3096</v>
      </c>
      <c r="M277" s="71"/>
    </row>
    <row r="278" spans="1:13" ht="15.75" thickBot="1" x14ac:dyDescent="0.3">
      <c r="A278" s="50">
        <v>46001.243900462963</v>
      </c>
      <c r="B278" s="53" t="s">
        <v>10</v>
      </c>
      <c r="C278" s="53" t="s">
        <v>484</v>
      </c>
      <c r="D278" s="53" t="s">
        <v>890</v>
      </c>
      <c r="E278" s="53" t="s">
        <v>10</v>
      </c>
      <c r="F278" s="57">
        <v>41752</v>
      </c>
      <c r="G278" s="53" t="s">
        <v>891</v>
      </c>
      <c r="H278" s="53" t="s">
        <v>892</v>
      </c>
      <c r="I278" s="53" t="s">
        <v>66</v>
      </c>
      <c r="J278" s="60" t="s">
        <v>1977</v>
      </c>
      <c r="K278" s="53" t="s">
        <v>1978</v>
      </c>
      <c r="L278" s="78" t="s">
        <v>889</v>
      </c>
      <c r="M278" s="32" t="s">
        <v>1979</v>
      </c>
    </row>
    <row r="279" spans="1:13" ht="15.75" thickBot="1" x14ac:dyDescent="0.3">
      <c r="A279" s="49">
        <v>46001.253275462965</v>
      </c>
      <c r="B279" s="52" t="s">
        <v>10</v>
      </c>
      <c r="C279" s="52" t="s">
        <v>484</v>
      </c>
      <c r="D279" s="52" t="s">
        <v>890</v>
      </c>
      <c r="E279" s="52" t="s">
        <v>10</v>
      </c>
      <c r="F279" s="56">
        <v>41752</v>
      </c>
      <c r="G279" s="52" t="s">
        <v>891</v>
      </c>
      <c r="H279" s="52" t="s">
        <v>895</v>
      </c>
      <c r="I279" s="52" t="s">
        <v>66</v>
      </c>
      <c r="J279" s="59" t="s">
        <v>1980</v>
      </c>
      <c r="K279" s="52" t="s">
        <v>1981</v>
      </c>
      <c r="L279" s="77" t="s">
        <v>894</v>
      </c>
      <c r="M279" s="37" t="s">
        <v>1982</v>
      </c>
    </row>
    <row r="280" spans="1:13" ht="15.75" thickBot="1" x14ac:dyDescent="0.3">
      <c r="A280" s="50">
        <v>46001.319745370369</v>
      </c>
      <c r="B280" s="53" t="s">
        <v>10</v>
      </c>
      <c r="C280" s="53" t="s">
        <v>435</v>
      </c>
      <c r="D280" s="53" t="s">
        <v>898</v>
      </c>
      <c r="E280" s="53" t="s">
        <v>28</v>
      </c>
      <c r="F280" s="57">
        <v>42228</v>
      </c>
      <c r="G280" s="53" t="s">
        <v>899</v>
      </c>
      <c r="H280" s="53" t="s">
        <v>900</v>
      </c>
      <c r="I280" s="53" t="s">
        <v>66</v>
      </c>
      <c r="J280" s="60" t="s">
        <v>1983</v>
      </c>
      <c r="K280" s="53" t="s">
        <v>1984</v>
      </c>
      <c r="L280" s="78" t="s">
        <v>897</v>
      </c>
      <c r="M280" s="32" t="s">
        <v>1985</v>
      </c>
    </row>
    <row r="281" spans="1:13" ht="15.75" thickBot="1" x14ac:dyDescent="0.3">
      <c r="A281" s="49">
        <v>46001.351076388892</v>
      </c>
      <c r="B281" s="52" t="s">
        <v>10</v>
      </c>
      <c r="C281" s="52" t="s">
        <v>342</v>
      </c>
      <c r="D281" s="52" t="s">
        <v>1986</v>
      </c>
      <c r="E281" s="52" t="s">
        <v>10</v>
      </c>
      <c r="F281" s="56">
        <v>45992</v>
      </c>
      <c r="G281" s="52" t="s">
        <v>1987</v>
      </c>
      <c r="H281" s="52" t="s">
        <v>1988</v>
      </c>
      <c r="I281" s="52" t="s">
        <v>66</v>
      </c>
      <c r="J281" s="59" t="s">
        <v>1989</v>
      </c>
      <c r="K281" s="52" t="s">
        <v>1990</v>
      </c>
      <c r="L281" s="77" t="s">
        <v>1991</v>
      </c>
      <c r="M281" s="37" t="s">
        <v>1992</v>
      </c>
    </row>
    <row r="282" spans="1:13" ht="15.75" thickBot="1" x14ac:dyDescent="0.3">
      <c r="A282" s="50">
        <v>46001.361597222225</v>
      </c>
      <c r="B282" s="53" t="s">
        <v>905</v>
      </c>
      <c r="C282" s="53" t="s">
        <v>1993</v>
      </c>
      <c r="D282" s="53" t="s">
        <v>1228</v>
      </c>
      <c r="E282" s="53" t="s">
        <v>10</v>
      </c>
      <c r="F282" s="57">
        <v>45937</v>
      </c>
      <c r="G282" s="53" t="s">
        <v>1987</v>
      </c>
      <c r="H282" s="53" t="s">
        <v>1988</v>
      </c>
      <c r="I282" s="53" t="s">
        <v>66</v>
      </c>
      <c r="J282" s="60" t="s">
        <v>1994</v>
      </c>
      <c r="K282" s="53" t="s">
        <v>1995</v>
      </c>
      <c r="L282" s="78" t="s">
        <v>1996</v>
      </c>
      <c r="M282" s="32" t="s">
        <v>1997</v>
      </c>
    </row>
    <row r="283" spans="1:13" ht="15.75" thickBot="1" x14ac:dyDescent="0.3">
      <c r="A283" s="49">
        <v>46001.362905092596</v>
      </c>
      <c r="B283" s="52" t="s">
        <v>10</v>
      </c>
      <c r="C283" s="52" t="s">
        <v>342</v>
      </c>
      <c r="D283" s="52" t="s">
        <v>1228</v>
      </c>
      <c r="E283" s="52" t="s">
        <v>10</v>
      </c>
      <c r="F283" s="56">
        <v>41618</v>
      </c>
      <c r="G283" s="52" t="s">
        <v>1987</v>
      </c>
      <c r="H283" s="52" t="s">
        <v>1988</v>
      </c>
      <c r="I283" s="52" t="s">
        <v>66</v>
      </c>
      <c r="J283" s="59" t="s">
        <v>1998</v>
      </c>
      <c r="K283" s="52" t="s">
        <v>1995</v>
      </c>
      <c r="L283" s="77" t="s">
        <v>1999</v>
      </c>
      <c r="M283" s="37" t="s">
        <v>2000</v>
      </c>
    </row>
    <row r="284" spans="1:13" ht="15.75" thickBot="1" x14ac:dyDescent="0.3">
      <c r="A284" s="50">
        <v>46001.398194444446</v>
      </c>
      <c r="B284" s="53" t="s">
        <v>10</v>
      </c>
      <c r="C284" s="53" t="s">
        <v>435</v>
      </c>
      <c r="D284" s="53" t="s">
        <v>898</v>
      </c>
      <c r="E284" s="53" t="s">
        <v>28</v>
      </c>
      <c r="F284" s="57">
        <v>42346</v>
      </c>
      <c r="G284" s="53" t="s">
        <v>899</v>
      </c>
      <c r="H284" s="53" t="s">
        <v>900</v>
      </c>
      <c r="I284" s="53" t="s">
        <v>66</v>
      </c>
      <c r="J284" s="60" t="s">
        <v>2001</v>
      </c>
      <c r="K284" s="53" t="s">
        <v>2002</v>
      </c>
      <c r="L284" s="78" t="s">
        <v>2003</v>
      </c>
      <c r="M284" s="32" t="s">
        <v>2004</v>
      </c>
    </row>
    <row r="285" spans="1:13" ht="15.75" thickBot="1" x14ac:dyDescent="0.3">
      <c r="A285" s="49">
        <v>46001.400092592594</v>
      </c>
      <c r="B285" s="52" t="s">
        <v>10</v>
      </c>
      <c r="C285" s="52" t="s">
        <v>342</v>
      </c>
      <c r="D285" s="52" t="s">
        <v>856</v>
      </c>
      <c r="E285" s="52" t="s">
        <v>204</v>
      </c>
      <c r="F285" s="56">
        <v>42456</v>
      </c>
      <c r="G285" s="52" t="s">
        <v>857</v>
      </c>
      <c r="H285" s="52" t="s">
        <v>858</v>
      </c>
      <c r="I285" s="52" t="s">
        <v>2</v>
      </c>
      <c r="J285" s="59" t="s">
        <v>2005</v>
      </c>
      <c r="K285" s="52" t="s">
        <v>1914</v>
      </c>
      <c r="L285" s="77" t="s">
        <v>2006</v>
      </c>
      <c r="M285" s="37" t="s">
        <v>2007</v>
      </c>
    </row>
    <row r="286" spans="1:13" ht="15.75" thickBot="1" x14ac:dyDescent="0.3">
      <c r="A286" s="50">
        <v>46001.405439814815</v>
      </c>
      <c r="B286" s="53" t="s">
        <v>10</v>
      </c>
      <c r="C286" s="53" t="s">
        <v>2008</v>
      </c>
      <c r="D286" s="53" t="s">
        <v>2009</v>
      </c>
      <c r="E286" s="53" t="s">
        <v>28</v>
      </c>
      <c r="F286" s="57">
        <v>42131</v>
      </c>
      <c r="G286" s="53" t="s">
        <v>2010</v>
      </c>
      <c r="H286" s="53" t="s">
        <v>2011</v>
      </c>
      <c r="I286" s="53" t="s">
        <v>2</v>
      </c>
      <c r="J286" s="60" t="s">
        <v>2012</v>
      </c>
      <c r="K286" s="53" t="s">
        <v>2013</v>
      </c>
      <c r="L286" s="78" t="s">
        <v>2014</v>
      </c>
      <c r="M286" s="32" t="s">
        <v>2015</v>
      </c>
    </row>
    <row r="287" spans="1:13" ht="15.75" thickBot="1" x14ac:dyDescent="0.3">
      <c r="A287" s="49">
        <v>46001.442372685182</v>
      </c>
      <c r="B287" s="52" t="s">
        <v>10</v>
      </c>
      <c r="C287" s="52" t="s">
        <v>441</v>
      </c>
      <c r="D287" s="52" t="s">
        <v>2016</v>
      </c>
      <c r="E287" s="52" t="s">
        <v>10</v>
      </c>
      <c r="F287" s="56">
        <v>42460</v>
      </c>
      <c r="G287" s="52" t="s">
        <v>2017</v>
      </c>
      <c r="H287" s="52" t="s">
        <v>2018</v>
      </c>
      <c r="I287" s="52" t="s">
        <v>66</v>
      </c>
      <c r="J287" s="59" t="s">
        <v>2019</v>
      </c>
      <c r="K287" s="52" t="s">
        <v>2020</v>
      </c>
      <c r="L287" s="77" t="s">
        <v>2021</v>
      </c>
      <c r="M287" s="37" t="s">
        <v>2022</v>
      </c>
    </row>
    <row r="288" spans="1:13" ht="15.75" thickBot="1" x14ac:dyDescent="0.3">
      <c r="A288" s="50">
        <v>46001.448622685188</v>
      </c>
      <c r="B288" s="53" t="s">
        <v>10</v>
      </c>
      <c r="C288" s="53" t="s">
        <v>441</v>
      </c>
      <c r="D288" s="53" t="s">
        <v>2023</v>
      </c>
      <c r="E288" s="53" t="s">
        <v>10</v>
      </c>
      <c r="F288" s="57">
        <v>42294</v>
      </c>
      <c r="G288" s="53" t="s">
        <v>2024</v>
      </c>
      <c r="H288" s="53" t="s">
        <v>2025</v>
      </c>
      <c r="I288" s="53" t="s">
        <v>66</v>
      </c>
      <c r="J288" s="60" t="s">
        <v>2026</v>
      </c>
      <c r="K288" s="53" t="s">
        <v>2020</v>
      </c>
      <c r="L288" s="78" t="s">
        <v>2027</v>
      </c>
      <c r="M288" s="32" t="s">
        <v>2028</v>
      </c>
    </row>
    <row r="289" spans="1:13" ht="15.75" thickBot="1" x14ac:dyDescent="0.3">
      <c r="A289" s="72">
        <v>46001.448773148149</v>
      </c>
      <c r="B289" s="73" t="s">
        <v>1317</v>
      </c>
      <c r="C289" s="73" t="s">
        <v>484</v>
      </c>
      <c r="D289" s="73" t="s">
        <v>1501</v>
      </c>
      <c r="E289" s="73" t="s">
        <v>28</v>
      </c>
      <c r="F289" s="74">
        <v>41704</v>
      </c>
      <c r="G289" s="73" t="s">
        <v>1503</v>
      </c>
      <c r="H289" s="73" t="s">
        <v>1504</v>
      </c>
      <c r="I289" s="73" t="s">
        <v>66</v>
      </c>
      <c r="J289" s="75" t="s">
        <v>2029</v>
      </c>
      <c r="K289" s="73" t="s">
        <v>1506</v>
      </c>
      <c r="L289" s="80" t="s">
        <v>3097</v>
      </c>
      <c r="M289" s="71"/>
    </row>
    <row r="290" spans="1:13" ht="15.75" thickBot="1" x14ac:dyDescent="0.3">
      <c r="A290" s="50">
        <v>46001.452418981484</v>
      </c>
      <c r="B290" s="53" t="s">
        <v>10</v>
      </c>
      <c r="C290" s="53" t="s">
        <v>441</v>
      </c>
      <c r="D290" s="53" t="s">
        <v>2030</v>
      </c>
      <c r="E290" s="53" t="s">
        <v>10</v>
      </c>
      <c r="F290" s="57">
        <v>42746</v>
      </c>
      <c r="G290" s="53" t="s">
        <v>2031</v>
      </c>
      <c r="H290" s="53" t="s">
        <v>2032</v>
      </c>
      <c r="I290" s="53" t="s">
        <v>66</v>
      </c>
      <c r="J290" s="60" t="s">
        <v>2033</v>
      </c>
      <c r="K290" s="53" t="s">
        <v>1383</v>
      </c>
      <c r="L290" s="78" t="s">
        <v>2034</v>
      </c>
      <c r="M290" s="32" t="s">
        <v>2035</v>
      </c>
    </row>
    <row r="291" spans="1:13" ht="15.75" thickBot="1" x14ac:dyDescent="0.3">
      <c r="A291" s="49">
        <v>46001.455011574071</v>
      </c>
      <c r="B291" s="52" t="s">
        <v>10</v>
      </c>
      <c r="C291" s="52" t="s">
        <v>484</v>
      </c>
      <c r="D291" s="52" t="s">
        <v>2036</v>
      </c>
      <c r="E291" s="52" t="s">
        <v>2037</v>
      </c>
      <c r="F291" s="56">
        <v>46017</v>
      </c>
      <c r="G291" s="52" t="s">
        <v>1964</v>
      </c>
      <c r="H291" s="52" t="s">
        <v>1965</v>
      </c>
      <c r="I291" s="52" t="s">
        <v>2</v>
      </c>
      <c r="J291" s="59" t="s">
        <v>2038</v>
      </c>
      <c r="K291" s="52" t="s">
        <v>1967</v>
      </c>
      <c r="L291" s="77" t="s">
        <v>2039</v>
      </c>
      <c r="M291" s="37" t="s">
        <v>2040</v>
      </c>
    </row>
    <row r="292" spans="1:13" ht="15.75" thickBot="1" x14ac:dyDescent="0.3">
      <c r="A292" s="67">
        <v>46001.455462962964</v>
      </c>
      <c r="B292" s="68" t="s">
        <v>1317</v>
      </c>
      <c r="C292" s="68" t="s">
        <v>473</v>
      </c>
      <c r="D292" s="68" t="s">
        <v>2041</v>
      </c>
      <c r="E292" s="68" t="s">
        <v>10</v>
      </c>
      <c r="F292" s="69">
        <v>42278</v>
      </c>
      <c r="G292" s="68" t="s">
        <v>2042</v>
      </c>
      <c r="H292" s="68" t="s">
        <v>2043</v>
      </c>
      <c r="I292" s="68" t="s">
        <v>2</v>
      </c>
      <c r="J292" s="70" t="s">
        <v>2044</v>
      </c>
      <c r="K292" s="68" t="s">
        <v>2045</v>
      </c>
      <c r="L292" s="79" t="s">
        <v>3098</v>
      </c>
      <c r="M292" s="71"/>
    </row>
    <row r="293" spans="1:13" ht="15.75" thickBot="1" x14ac:dyDescent="0.3">
      <c r="A293" s="72">
        <v>46001.457858796297</v>
      </c>
      <c r="B293" s="73" t="s">
        <v>1317</v>
      </c>
      <c r="C293" s="73" t="s">
        <v>484</v>
      </c>
      <c r="D293" s="73" t="s">
        <v>1501</v>
      </c>
      <c r="E293" s="73" t="s">
        <v>28</v>
      </c>
      <c r="F293" s="74">
        <v>41704</v>
      </c>
      <c r="G293" s="73" t="s">
        <v>1503</v>
      </c>
      <c r="H293" s="73" t="s">
        <v>1504</v>
      </c>
      <c r="I293" s="73" t="s">
        <v>66</v>
      </c>
      <c r="J293" s="75" t="s">
        <v>2046</v>
      </c>
      <c r="K293" s="73" t="s">
        <v>1506</v>
      </c>
      <c r="L293" s="80" t="s">
        <v>3099</v>
      </c>
      <c r="M293" s="71"/>
    </row>
    <row r="294" spans="1:13" ht="15.75" thickBot="1" x14ac:dyDescent="0.3">
      <c r="A294" s="50">
        <v>46001.458761574075</v>
      </c>
      <c r="B294" s="53" t="s">
        <v>10</v>
      </c>
      <c r="C294" s="53" t="s">
        <v>441</v>
      </c>
      <c r="D294" s="53" t="s">
        <v>2047</v>
      </c>
      <c r="E294" s="53" t="s">
        <v>59</v>
      </c>
      <c r="F294" s="57">
        <v>42358</v>
      </c>
      <c r="G294" s="53" t="s">
        <v>2048</v>
      </c>
      <c r="H294" s="53" t="s">
        <v>2049</v>
      </c>
      <c r="I294" s="53" t="s">
        <v>2</v>
      </c>
      <c r="J294" s="60" t="s">
        <v>2050</v>
      </c>
      <c r="K294" s="53" t="s">
        <v>1383</v>
      </c>
      <c r="L294" s="78" t="s">
        <v>2051</v>
      </c>
      <c r="M294" s="32" t="s">
        <v>2052</v>
      </c>
    </row>
    <row r="295" spans="1:13" ht="15.75" thickBot="1" x14ac:dyDescent="0.3">
      <c r="A295" s="49">
        <v>46001.463229166664</v>
      </c>
      <c r="B295" s="52" t="s">
        <v>10</v>
      </c>
      <c r="C295" s="52" t="s">
        <v>441</v>
      </c>
      <c r="D295" s="52" t="s">
        <v>2053</v>
      </c>
      <c r="E295" s="52" t="s">
        <v>10</v>
      </c>
      <c r="F295" s="56">
        <v>41646</v>
      </c>
      <c r="G295" s="52" t="s">
        <v>2054</v>
      </c>
      <c r="H295" s="52" t="s">
        <v>2055</v>
      </c>
      <c r="I295" s="52" t="s">
        <v>66</v>
      </c>
      <c r="J295" s="59" t="s">
        <v>2056</v>
      </c>
      <c r="K295" s="52" t="s">
        <v>1383</v>
      </c>
      <c r="L295" s="77" t="s">
        <v>2057</v>
      </c>
      <c r="M295" s="37" t="s">
        <v>2058</v>
      </c>
    </row>
    <row r="296" spans="1:13" ht="15.75" thickBot="1" x14ac:dyDescent="0.3">
      <c r="A296" s="50">
        <v>46001.471331018518</v>
      </c>
      <c r="B296" s="53" t="s">
        <v>10</v>
      </c>
      <c r="C296" s="53" t="s">
        <v>484</v>
      </c>
      <c r="D296" s="53" t="s">
        <v>2036</v>
      </c>
      <c r="E296" s="53" t="s">
        <v>10</v>
      </c>
      <c r="F296" s="57">
        <v>46017</v>
      </c>
      <c r="G296" s="53" t="s">
        <v>1964</v>
      </c>
      <c r="H296" s="53" t="s">
        <v>1965</v>
      </c>
      <c r="I296" s="53" t="s">
        <v>2</v>
      </c>
      <c r="J296" s="60" t="s">
        <v>2059</v>
      </c>
      <c r="K296" s="53" t="s">
        <v>1967</v>
      </c>
      <c r="L296" s="78" t="s">
        <v>2060</v>
      </c>
      <c r="M296" s="32" t="s">
        <v>2061</v>
      </c>
    </row>
    <row r="297" spans="1:13" ht="15.75" thickBot="1" x14ac:dyDescent="0.3">
      <c r="A297" s="72">
        <v>46001.472743055558</v>
      </c>
      <c r="B297" s="73" t="s">
        <v>1317</v>
      </c>
      <c r="C297" s="73" t="s">
        <v>484</v>
      </c>
      <c r="D297" s="73" t="s">
        <v>2062</v>
      </c>
      <c r="E297" s="73" t="s">
        <v>10</v>
      </c>
      <c r="F297" s="74">
        <v>41792</v>
      </c>
      <c r="G297" s="73" t="s">
        <v>2063</v>
      </c>
      <c r="H297" s="73" t="s">
        <v>2064</v>
      </c>
      <c r="I297" s="73" t="s">
        <v>2</v>
      </c>
      <c r="J297" s="75" t="s">
        <v>2065</v>
      </c>
      <c r="K297" s="73" t="s">
        <v>2066</v>
      </c>
      <c r="L297" s="80" t="s">
        <v>3100</v>
      </c>
      <c r="M297" s="71"/>
    </row>
    <row r="298" spans="1:13" ht="15.75" thickBot="1" x14ac:dyDescent="0.3">
      <c r="A298" s="50">
        <v>46001.473749999997</v>
      </c>
      <c r="B298" s="53" t="s">
        <v>10</v>
      </c>
      <c r="C298" s="96" t="s">
        <v>484</v>
      </c>
      <c r="D298" s="53" t="s">
        <v>2036</v>
      </c>
      <c r="E298" s="53" t="s">
        <v>10</v>
      </c>
      <c r="F298" s="57">
        <v>46017</v>
      </c>
      <c r="G298" s="53" t="s">
        <v>1964</v>
      </c>
      <c r="H298" s="53" t="s">
        <v>1965</v>
      </c>
      <c r="I298" s="53" t="s">
        <v>2</v>
      </c>
      <c r="J298" s="60" t="s">
        <v>2067</v>
      </c>
      <c r="K298" s="53" t="s">
        <v>1967</v>
      </c>
      <c r="L298" s="78" t="s">
        <v>2068</v>
      </c>
      <c r="M298" s="32" t="s">
        <v>2069</v>
      </c>
    </row>
    <row r="299" spans="1:13" ht="15.75" thickBot="1" x14ac:dyDescent="0.3">
      <c r="A299" s="49">
        <v>46001.477083333331</v>
      </c>
      <c r="B299" s="52" t="s">
        <v>10</v>
      </c>
      <c r="C299" s="94" t="s">
        <v>484</v>
      </c>
      <c r="D299" s="52" t="s">
        <v>2036</v>
      </c>
      <c r="E299" s="52" t="s">
        <v>10</v>
      </c>
      <c r="F299" s="56">
        <v>46017</v>
      </c>
      <c r="G299" s="52" t="s">
        <v>1964</v>
      </c>
      <c r="H299" s="52" t="s">
        <v>1965</v>
      </c>
      <c r="I299" s="52" t="s">
        <v>2</v>
      </c>
      <c r="J299" s="59" t="s">
        <v>2070</v>
      </c>
      <c r="K299" s="52" t="s">
        <v>1967</v>
      </c>
      <c r="L299" s="77" t="s">
        <v>2071</v>
      </c>
      <c r="M299" s="37" t="s">
        <v>2072</v>
      </c>
    </row>
    <row r="300" spans="1:13" ht="15.75" thickBot="1" x14ac:dyDescent="0.3">
      <c r="A300" s="50">
        <v>46001.48033564815</v>
      </c>
      <c r="B300" s="53" t="s">
        <v>10</v>
      </c>
      <c r="C300" s="97" t="s">
        <v>2073</v>
      </c>
      <c r="D300" s="53" t="s">
        <v>2036</v>
      </c>
      <c r="E300" s="53" t="s">
        <v>10</v>
      </c>
      <c r="F300" s="57">
        <v>46017</v>
      </c>
      <c r="G300" s="53" t="s">
        <v>1964</v>
      </c>
      <c r="H300" s="53" t="s">
        <v>1965</v>
      </c>
      <c r="I300" s="53" t="s">
        <v>2</v>
      </c>
      <c r="J300" s="60" t="s">
        <v>2074</v>
      </c>
      <c r="K300" s="53" t="s">
        <v>1967</v>
      </c>
      <c r="L300" s="78" t="s">
        <v>2075</v>
      </c>
      <c r="M300" s="32" t="s">
        <v>2076</v>
      </c>
    </row>
    <row r="301" spans="1:13" ht="15.75" thickBot="1" x14ac:dyDescent="0.3">
      <c r="A301" s="49">
        <v>46001.481342592589</v>
      </c>
      <c r="B301" s="52" t="s">
        <v>10</v>
      </c>
      <c r="C301" s="94" t="s">
        <v>484</v>
      </c>
      <c r="D301" s="52" t="s">
        <v>2036</v>
      </c>
      <c r="E301" s="52" t="s">
        <v>10</v>
      </c>
      <c r="F301" s="56">
        <v>46017</v>
      </c>
      <c r="G301" s="52" t="s">
        <v>1964</v>
      </c>
      <c r="H301" s="52" t="s">
        <v>1965</v>
      </c>
      <c r="I301" s="52" t="s">
        <v>2</v>
      </c>
      <c r="J301" s="59" t="s">
        <v>2077</v>
      </c>
      <c r="K301" s="52" t="s">
        <v>1967</v>
      </c>
      <c r="L301" s="77" t="s">
        <v>2078</v>
      </c>
      <c r="M301" s="37" t="s">
        <v>2079</v>
      </c>
    </row>
    <row r="302" spans="1:13" ht="15.75" thickBot="1" x14ac:dyDescent="0.3">
      <c r="A302" s="67">
        <v>46001.484456018516</v>
      </c>
      <c r="B302" s="68" t="s">
        <v>1317</v>
      </c>
      <c r="C302" s="68" t="s">
        <v>1907</v>
      </c>
      <c r="D302" s="68" t="s">
        <v>2080</v>
      </c>
      <c r="E302" s="68" t="s">
        <v>28</v>
      </c>
      <c r="F302" s="69">
        <v>41646</v>
      </c>
      <c r="G302" s="68" t="s">
        <v>2081</v>
      </c>
      <c r="H302" s="68" t="s">
        <v>2082</v>
      </c>
      <c r="I302" s="68" t="s">
        <v>2</v>
      </c>
      <c r="J302" s="70" t="s">
        <v>2083</v>
      </c>
      <c r="K302" s="68" t="s">
        <v>2084</v>
      </c>
      <c r="L302" s="79" t="s">
        <v>3101</v>
      </c>
      <c r="M302" s="71"/>
    </row>
    <row r="303" spans="1:13" ht="15.75" thickBot="1" x14ac:dyDescent="0.3">
      <c r="A303" s="72">
        <v>46001.492939814816</v>
      </c>
      <c r="B303" s="73" t="s">
        <v>1317</v>
      </c>
      <c r="C303" s="93" t="s">
        <v>742</v>
      </c>
      <c r="D303" s="73" t="s">
        <v>2085</v>
      </c>
      <c r="E303" s="73" t="s">
        <v>2086</v>
      </c>
      <c r="F303" s="74">
        <v>42148</v>
      </c>
      <c r="G303" s="73" t="s">
        <v>2087</v>
      </c>
      <c r="H303" s="73" t="s">
        <v>2088</v>
      </c>
      <c r="I303" s="73" t="s">
        <v>66</v>
      </c>
      <c r="J303" s="75" t="s">
        <v>2089</v>
      </c>
      <c r="K303" s="73" t="s">
        <v>2090</v>
      </c>
      <c r="L303" s="80" t="s">
        <v>3102</v>
      </c>
      <c r="M303" s="71"/>
    </row>
    <row r="304" spans="1:13" ht="15.75" thickBot="1" x14ac:dyDescent="0.3">
      <c r="A304" s="50">
        <v>46001.495173611111</v>
      </c>
      <c r="B304" s="53" t="s">
        <v>10</v>
      </c>
      <c r="C304" s="96" t="s">
        <v>484</v>
      </c>
      <c r="D304" s="53" t="s">
        <v>2091</v>
      </c>
      <c r="E304" s="53" t="s">
        <v>2092</v>
      </c>
      <c r="F304" s="57">
        <v>41604</v>
      </c>
      <c r="G304" s="53" t="s">
        <v>2093</v>
      </c>
      <c r="H304" s="53" t="s">
        <v>2094</v>
      </c>
      <c r="I304" s="53" t="s">
        <v>2</v>
      </c>
      <c r="J304" s="60" t="s">
        <v>2095</v>
      </c>
      <c r="K304" s="53" t="s">
        <v>1967</v>
      </c>
      <c r="L304" s="78" t="s">
        <v>2096</v>
      </c>
      <c r="M304" s="32" t="s">
        <v>2097</v>
      </c>
    </row>
    <row r="305" spans="1:13" ht="15.75" thickBot="1" x14ac:dyDescent="0.3">
      <c r="A305" s="72">
        <v>46001.497824074075</v>
      </c>
      <c r="B305" s="73" t="s">
        <v>1317</v>
      </c>
      <c r="C305" s="93" t="s">
        <v>484</v>
      </c>
      <c r="D305" s="73" t="s">
        <v>2036</v>
      </c>
      <c r="E305" s="73" t="s">
        <v>10</v>
      </c>
      <c r="F305" s="74">
        <v>41604</v>
      </c>
      <c r="G305" s="73" t="s">
        <v>2093</v>
      </c>
      <c r="H305" s="73" t="s">
        <v>2094</v>
      </c>
      <c r="I305" s="73" t="s">
        <v>2</v>
      </c>
      <c r="J305" s="75" t="s">
        <v>2098</v>
      </c>
      <c r="K305" s="73" t="s">
        <v>1967</v>
      </c>
      <c r="L305" s="80" t="s">
        <v>3103</v>
      </c>
      <c r="M305" s="71"/>
    </row>
    <row r="306" spans="1:13" ht="15.75" thickBot="1" x14ac:dyDescent="0.3">
      <c r="A306" s="50">
        <v>46001.49894675926</v>
      </c>
      <c r="B306" s="53" t="s">
        <v>10</v>
      </c>
      <c r="C306" s="96" t="s">
        <v>441</v>
      </c>
      <c r="D306" s="53" t="s">
        <v>2099</v>
      </c>
      <c r="E306" s="53" t="s">
        <v>10</v>
      </c>
      <c r="F306" s="57">
        <v>42265</v>
      </c>
      <c r="G306" s="53" t="s">
        <v>2100</v>
      </c>
      <c r="H306" s="53" t="s">
        <v>2101</v>
      </c>
      <c r="I306" s="53" t="s">
        <v>66</v>
      </c>
      <c r="J306" s="60" t="s">
        <v>2102</v>
      </c>
      <c r="K306" s="53" t="s">
        <v>1383</v>
      </c>
      <c r="L306" s="78" t="s">
        <v>2103</v>
      </c>
      <c r="M306" s="32" t="s">
        <v>2104</v>
      </c>
    </row>
    <row r="307" spans="1:13" ht="15.75" thickBot="1" x14ac:dyDescent="0.3">
      <c r="A307" s="72">
        <v>46001.501307870371</v>
      </c>
      <c r="B307" s="73" t="s">
        <v>1317</v>
      </c>
      <c r="C307" s="93" t="s">
        <v>484</v>
      </c>
      <c r="D307" s="73" t="s">
        <v>2091</v>
      </c>
      <c r="E307" s="73" t="s">
        <v>28</v>
      </c>
      <c r="F307" s="74">
        <v>41604</v>
      </c>
      <c r="G307" s="73" t="s">
        <v>2093</v>
      </c>
      <c r="H307" s="73" t="s">
        <v>2094</v>
      </c>
      <c r="I307" s="73" t="s">
        <v>2</v>
      </c>
      <c r="J307" s="75" t="s">
        <v>2105</v>
      </c>
      <c r="K307" s="73" t="s">
        <v>1967</v>
      </c>
      <c r="L307" s="80" t="s">
        <v>3104</v>
      </c>
      <c r="M307" s="71"/>
    </row>
    <row r="308" spans="1:13" ht="15.75" thickBot="1" x14ac:dyDescent="0.3">
      <c r="A308" s="50">
        <v>46001.502650462964</v>
      </c>
      <c r="B308" s="53" t="s">
        <v>10</v>
      </c>
      <c r="C308" s="96" t="s">
        <v>441</v>
      </c>
      <c r="D308" s="53" t="s">
        <v>2106</v>
      </c>
      <c r="E308" s="53" t="s">
        <v>2107</v>
      </c>
      <c r="F308" s="57">
        <v>41420</v>
      </c>
      <c r="G308" s="53" t="s">
        <v>2108</v>
      </c>
      <c r="H308" s="53" t="s">
        <v>2109</v>
      </c>
      <c r="I308" s="53" t="s">
        <v>66</v>
      </c>
      <c r="J308" s="60" t="s">
        <v>2110</v>
      </c>
      <c r="K308" s="53" t="s">
        <v>1383</v>
      </c>
      <c r="L308" s="78" t="s">
        <v>2111</v>
      </c>
      <c r="M308" s="32" t="s">
        <v>2112</v>
      </c>
    </row>
    <row r="309" spans="1:13" ht="15.75" thickBot="1" x14ac:dyDescent="0.3">
      <c r="A309" s="72">
        <v>46001.506886574076</v>
      </c>
      <c r="B309" s="73" t="s">
        <v>1317</v>
      </c>
      <c r="C309" s="93" t="s">
        <v>484</v>
      </c>
      <c r="D309" s="73" t="s">
        <v>2091</v>
      </c>
      <c r="E309" s="73" t="s">
        <v>28</v>
      </c>
      <c r="F309" s="74">
        <v>41604</v>
      </c>
      <c r="G309" s="73" t="s">
        <v>2093</v>
      </c>
      <c r="H309" s="73" t="s">
        <v>2094</v>
      </c>
      <c r="I309" s="73" t="s">
        <v>2</v>
      </c>
      <c r="J309" s="75" t="s">
        <v>2119</v>
      </c>
      <c r="K309" s="73" t="s">
        <v>1967</v>
      </c>
      <c r="L309" s="80" t="s">
        <v>3105</v>
      </c>
      <c r="M309" s="71"/>
    </row>
    <row r="310" spans="1:13" ht="15.75" thickBot="1" x14ac:dyDescent="0.3">
      <c r="A310" s="33">
        <v>46001.506932870368</v>
      </c>
      <c r="B310" s="34" t="s">
        <v>10</v>
      </c>
      <c r="C310" s="94" t="s">
        <v>441</v>
      </c>
      <c r="D310" s="34" t="s">
        <v>2113</v>
      </c>
      <c r="E310" s="34" t="s">
        <v>10</v>
      </c>
      <c r="F310" s="35">
        <v>42825</v>
      </c>
      <c r="G310" s="34" t="s">
        <v>2114</v>
      </c>
      <c r="H310" s="34" t="s">
        <v>2115</v>
      </c>
      <c r="I310" s="34" t="s">
        <v>2</v>
      </c>
      <c r="J310" s="36" t="s">
        <v>2116</v>
      </c>
      <c r="K310" s="34" t="s">
        <v>1383</v>
      </c>
      <c r="L310" s="78" t="s">
        <v>2117</v>
      </c>
      <c r="M310" s="37" t="s">
        <v>2118</v>
      </c>
    </row>
    <row r="311" spans="1:13" ht="15.75" thickBot="1" x14ac:dyDescent="0.3">
      <c r="A311" s="49">
        <v>46001.510775462964</v>
      </c>
      <c r="B311" s="52" t="s">
        <v>10</v>
      </c>
      <c r="C311" s="94" t="s">
        <v>441</v>
      </c>
      <c r="D311" s="52" t="s">
        <v>2120</v>
      </c>
      <c r="E311" s="52" t="s">
        <v>10</v>
      </c>
      <c r="F311" s="56">
        <v>41939</v>
      </c>
      <c r="G311" s="52" t="s">
        <v>2121</v>
      </c>
      <c r="H311" s="52" t="s">
        <v>2122</v>
      </c>
      <c r="I311" s="52" t="s">
        <v>2</v>
      </c>
      <c r="J311" s="59" t="s">
        <v>2123</v>
      </c>
      <c r="K311" s="52" t="s">
        <v>1383</v>
      </c>
      <c r="L311" s="77" t="s">
        <v>2124</v>
      </c>
      <c r="M311" s="37" t="s">
        <v>2125</v>
      </c>
    </row>
    <row r="312" spans="1:13" ht="15.75" thickBot="1" x14ac:dyDescent="0.3">
      <c r="A312" s="50">
        <v>46001.513159722221</v>
      </c>
      <c r="B312" s="53" t="s">
        <v>10</v>
      </c>
      <c r="C312" s="96" t="s">
        <v>484</v>
      </c>
      <c r="D312" s="53" t="s">
        <v>2126</v>
      </c>
      <c r="E312" s="53" t="s">
        <v>10</v>
      </c>
      <c r="F312" s="57">
        <v>41604</v>
      </c>
      <c r="G312" s="53" t="s">
        <v>2127</v>
      </c>
      <c r="H312" s="53" t="s">
        <v>1965</v>
      </c>
      <c r="I312" s="53" t="s">
        <v>2</v>
      </c>
      <c r="J312" s="60" t="s">
        <v>2128</v>
      </c>
      <c r="K312" s="53" t="s">
        <v>1967</v>
      </c>
      <c r="L312" s="78" t="s">
        <v>2129</v>
      </c>
      <c r="M312" s="32" t="s">
        <v>2130</v>
      </c>
    </row>
    <row r="313" spans="1:13" ht="15.75" thickBot="1" x14ac:dyDescent="0.3">
      <c r="A313" s="49">
        <v>46001.513831018521</v>
      </c>
      <c r="B313" s="52" t="s">
        <v>10</v>
      </c>
      <c r="C313" s="94" t="s">
        <v>441</v>
      </c>
      <c r="D313" s="52" t="s">
        <v>2131</v>
      </c>
      <c r="E313" s="52" t="s">
        <v>2132</v>
      </c>
      <c r="F313" s="56">
        <v>42567</v>
      </c>
      <c r="G313" s="52" t="s">
        <v>2133</v>
      </c>
      <c r="H313" s="52" t="s">
        <v>2134</v>
      </c>
      <c r="I313" s="52" t="s">
        <v>2</v>
      </c>
      <c r="J313" s="59" t="s">
        <v>2135</v>
      </c>
      <c r="K313" s="52" t="s">
        <v>1383</v>
      </c>
      <c r="L313" s="77" t="s">
        <v>2136</v>
      </c>
      <c r="M313" s="37" t="s">
        <v>2137</v>
      </c>
    </row>
    <row r="314" spans="1:13" ht="15.75" thickBot="1" x14ac:dyDescent="0.3">
      <c r="A314" s="50">
        <v>46001.516516203701</v>
      </c>
      <c r="B314" s="53" t="s">
        <v>10</v>
      </c>
      <c r="C314" s="96" t="s">
        <v>441</v>
      </c>
      <c r="D314" s="53" t="s">
        <v>2138</v>
      </c>
      <c r="E314" s="53" t="s">
        <v>10</v>
      </c>
      <c r="F314" s="57">
        <v>41954</v>
      </c>
      <c r="G314" s="53" t="s">
        <v>2139</v>
      </c>
      <c r="H314" s="53" t="s">
        <v>2140</v>
      </c>
      <c r="I314" s="53" t="s">
        <v>2</v>
      </c>
      <c r="J314" s="60" t="s">
        <v>2141</v>
      </c>
      <c r="K314" s="53" t="s">
        <v>1383</v>
      </c>
      <c r="L314" s="78" t="s">
        <v>2142</v>
      </c>
      <c r="M314" s="32" t="s">
        <v>2143</v>
      </c>
    </row>
    <row r="315" spans="1:13" ht="15.75" thickBot="1" x14ac:dyDescent="0.3">
      <c r="A315" s="72">
        <v>46001.520277777781</v>
      </c>
      <c r="B315" s="73" t="s">
        <v>998</v>
      </c>
      <c r="C315" s="93" t="s">
        <v>1038</v>
      </c>
      <c r="D315" s="73" t="s">
        <v>2144</v>
      </c>
      <c r="E315" s="73" t="s">
        <v>402</v>
      </c>
      <c r="F315" s="74">
        <v>42330</v>
      </c>
      <c r="G315" s="73" t="s">
        <v>2145</v>
      </c>
      <c r="H315" s="73" t="s">
        <v>2146</v>
      </c>
      <c r="I315" s="73" t="s">
        <v>2</v>
      </c>
      <c r="J315" s="75" t="s">
        <v>2147</v>
      </c>
      <c r="K315" s="73" t="s">
        <v>1052</v>
      </c>
      <c r="L315" s="80" t="s">
        <v>3141</v>
      </c>
      <c r="M315" s="71"/>
    </row>
    <row r="316" spans="1:13" ht="15.75" thickBot="1" x14ac:dyDescent="0.3">
      <c r="A316" s="67">
        <v>46001.527280092596</v>
      </c>
      <c r="B316" s="68" t="s">
        <v>998</v>
      </c>
      <c r="C316" s="68" t="s">
        <v>1038</v>
      </c>
      <c r="D316" s="68" t="s">
        <v>2148</v>
      </c>
      <c r="E316" s="68" t="s">
        <v>402</v>
      </c>
      <c r="F316" s="69">
        <v>42393</v>
      </c>
      <c r="G316" s="68" t="s">
        <v>2149</v>
      </c>
      <c r="H316" s="68" t="s">
        <v>2150</v>
      </c>
      <c r="I316" s="68" t="s">
        <v>2</v>
      </c>
      <c r="J316" s="70" t="s">
        <v>2151</v>
      </c>
      <c r="K316" s="68" t="s">
        <v>1043</v>
      </c>
      <c r="L316" s="79" t="s">
        <v>3142</v>
      </c>
      <c r="M316" s="71"/>
    </row>
    <row r="317" spans="1:13" ht="15.75" thickBot="1" x14ac:dyDescent="0.3">
      <c r="A317" s="72">
        <v>46001.530648148146</v>
      </c>
      <c r="B317" s="73" t="s">
        <v>998</v>
      </c>
      <c r="C317" s="73" t="s">
        <v>1038</v>
      </c>
      <c r="D317" s="73" t="s">
        <v>2152</v>
      </c>
      <c r="E317" s="73" t="s">
        <v>402</v>
      </c>
      <c r="F317" s="74">
        <v>42109</v>
      </c>
      <c r="G317" s="73" t="s">
        <v>2153</v>
      </c>
      <c r="H317" s="73" t="s">
        <v>2146</v>
      </c>
      <c r="I317" s="73" t="s">
        <v>2</v>
      </c>
      <c r="J317" s="75" t="s">
        <v>2154</v>
      </c>
      <c r="K317" s="73" t="s">
        <v>1043</v>
      </c>
      <c r="L317" s="80" t="s">
        <v>3143</v>
      </c>
      <c r="M317" s="71"/>
    </row>
    <row r="318" spans="1:13" ht="15.75" thickBot="1" x14ac:dyDescent="0.3">
      <c r="A318" s="67">
        <v>46001.53266203704</v>
      </c>
      <c r="B318" s="68" t="s">
        <v>998</v>
      </c>
      <c r="C318" s="68" t="s">
        <v>1038</v>
      </c>
      <c r="D318" s="68" t="s">
        <v>1044</v>
      </c>
      <c r="E318" s="68" t="s">
        <v>402</v>
      </c>
      <c r="F318" s="69">
        <v>42349</v>
      </c>
      <c r="G318" s="68" t="s">
        <v>1045</v>
      </c>
      <c r="H318" s="68" t="s">
        <v>1046</v>
      </c>
      <c r="I318" s="68" t="s">
        <v>2</v>
      </c>
      <c r="J318" s="70" t="s">
        <v>2155</v>
      </c>
      <c r="K318" s="68" t="s">
        <v>1043</v>
      </c>
      <c r="L318" s="79" t="s">
        <v>3144</v>
      </c>
      <c r="M318" s="71"/>
    </row>
    <row r="319" spans="1:13" ht="15.75" thickBot="1" x14ac:dyDescent="0.3">
      <c r="A319" s="72">
        <v>46001.532685185186</v>
      </c>
      <c r="B319" s="73" t="s">
        <v>1317</v>
      </c>
      <c r="C319" s="73" t="s">
        <v>484</v>
      </c>
      <c r="D319" s="73" t="s">
        <v>1501</v>
      </c>
      <c r="E319" s="73" t="s">
        <v>28</v>
      </c>
      <c r="F319" s="74">
        <v>41704</v>
      </c>
      <c r="G319" s="73" t="s">
        <v>1503</v>
      </c>
      <c r="H319" s="73" t="s">
        <v>1504</v>
      </c>
      <c r="I319" s="73" t="s">
        <v>66</v>
      </c>
      <c r="J319" s="75" t="s">
        <v>2156</v>
      </c>
      <c r="K319" s="73" t="s">
        <v>1506</v>
      </c>
      <c r="L319" s="79" t="s">
        <v>3106</v>
      </c>
      <c r="M319" s="71"/>
    </row>
    <row r="320" spans="1:13" ht="15.75" thickBot="1" x14ac:dyDescent="0.3">
      <c r="A320" s="67">
        <v>46001.534328703703</v>
      </c>
      <c r="B320" s="68" t="s">
        <v>998</v>
      </c>
      <c r="C320" s="68" t="s">
        <v>319</v>
      </c>
      <c r="D320" s="68" t="s">
        <v>2157</v>
      </c>
      <c r="E320" s="68" t="s">
        <v>1255</v>
      </c>
      <c r="F320" s="69">
        <v>40708</v>
      </c>
      <c r="G320" s="68" t="s">
        <v>2158</v>
      </c>
      <c r="H320" s="68" t="s">
        <v>2159</v>
      </c>
      <c r="I320" s="68" t="s">
        <v>2</v>
      </c>
      <c r="J320" s="70" t="s">
        <v>2160</v>
      </c>
      <c r="K320" s="68" t="s">
        <v>2161</v>
      </c>
      <c r="L320" s="79" t="s">
        <v>3145</v>
      </c>
      <c r="M320" s="71"/>
    </row>
    <row r="321" spans="1:13" ht="15.75" thickBot="1" x14ac:dyDescent="0.3">
      <c r="A321" s="72">
        <v>46001.534328703703</v>
      </c>
      <c r="B321" s="73" t="s">
        <v>998</v>
      </c>
      <c r="C321" s="73" t="s">
        <v>1038</v>
      </c>
      <c r="D321" s="73" t="s">
        <v>2162</v>
      </c>
      <c r="E321" s="73" t="s">
        <v>402</v>
      </c>
      <c r="F321" s="74">
        <v>42546</v>
      </c>
      <c r="G321" s="73" t="s">
        <v>2163</v>
      </c>
      <c r="H321" s="73" t="s">
        <v>2164</v>
      </c>
      <c r="I321" s="73" t="s">
        <v>2</v>
      </c>
      <c r="J321" s="75" t="s">
        <v>2165</v>
      </c>
      <c r="K321" s="73" t="s">
        <v>1043</v>
      </c>
      <c r="L321" s="79" t="s">
        <v>3146</v>
      </c>
      <c r="M321" s="71"/>
    </row>
    <row r="322" spans="1:13" ht="15.75" thickBot="1" x14ac:dyDescent="0.3">
      <c r="A322" s="67">
        <v>46001.535682870373</v>
      </c>
      <c r="B322" s="68" t="s">
        <v>998</v>
      </c>
      <c r="C322" s="68" t="s">
        <v>1038</v>
      </c>
      <c r="D322" s="68" t="s">
        <v>2166</v>
      </c>
      <c r="E322" s="68" t="s">
        <v>402</v>
      </c>
      <c r="F322" s="69">
        <v>42668</v>
      </c>
      <c r="G322" s="68" t="s">
        <v>2167</v>
      </c>
      <c r="H322" s="68" t="s">
        <v>2168</v>
      </c>
      <c r="I322" s="68" t="s">
        <v>2</v>
      </c>
      <c r="J322" s="70" t="s">
        <v>2169</v>
      </c>
      <c r="K322" s="68" t="s">
        <v>1043</v>
      </c>
      <c r="L322" s="79" t="s">
        <v>3147</v>
      </c>
      <c r="M322" s="71"/>
    </row>
    <row r="323" spans="1:13" ht="15.75" thickBot="1" x14ac:dyDescent="0.3">
      <c r="A323" s="72">
        <v>46001.536678240744</v>
      </c>
      <c r="B323" s="73" t="s">
        <v>998</v>
      </c>
      <c r="C323" s="73" t="s">
        <v>319</v>
      </c>
      <c r="D323" s="73" t="s">
        <v>2170</v>
      </c>
      <c r="E323" s="73" t="s">
        <v>28</v>
      </c>
      <c r="F323" s="74">
        <v>40902</v>
      </c>
      <c r="G323" s="73" t="s">
        <v>2171</v>
      </c>
      <c r="H323" s="73" t="s">
        <v>2172</v>
      </c>
      <c r="I323" s="73" t="s">
        <v>66</v>
      </c>
      <c r="J323" s="75" t="s">
        <v>2173</v>
      </c>
      <c r="K323" s="73" t="s">
        <v>2174</v>
      </c>
      <c r="L323" s="79" t="s">
        <v>3148</v>
      </c>
      <c r="M323" s="71"/>
    </row>
    <row r="324" spans="1:13" ht="15.75" thickBot="1" x14ac:dyDescent="0.3">
      <c r="A324" s="67">
        <v>46001.575011574074</v>
      </c>
      <c r="B324" s="68" t="s">
        <v>998</v>
      </c>
      <c r="C324" s="68" t="s">
        <v>319</v>
      </c>
      <c r="D324" s="68" t="s">
        <v>2175</v>
      </c>
      <c r="E324" s="68" t="s">
        <v>328</v>
      </c>
      <c r="F324" s="69">
        <v>40618</v>
      </c>
      <c r="G324" s="68" t="s">
        <v>2176</v>
      </c>
      <c r="H324" s="68" t="s">
        <v>797</v>
      </c>
      <c r="I324" s="68" t="s">
        <v>2</v>
      </c>
      <c r="J324" s="70" t="s">
        <v>2177</v>
      </c>
      <c r="K324" s="68" t="s">
        <v>2178</v>
      </c>
      <c r="L324" s="79" t="s">
        <v>3149</v>
      </c>
      <c r="M324" s="71"/>
    </row>
    <row r="325" spans="1:13" ht="15.75" thickBot="1" x14ac:dyDescent="0.3">
      <c r="A325" s="72">
        <v>46001.584409722222</v>
      </c>
      <c r="B325" s="73" t="s">
        <v>1317</v>
      </c>
      <c r="C325" s="73" t="s">
        <v>473</v>
      </c>
      <c r="D325" s="73" t="s">
        <v>2179</v>
      </c>
      <c r="E325" s="73" t="s">
        <v>10</v>
      </c>
      <c r="F325" s="74">
        <v>42145</v>
      </c>
      <c r="G325" s="73" t="s">
        <v>2180</v>
      </c>
      <c r="H325" s="73" t="s">
        <v>2181</v>
      </c>
      <c r="I325" s="73" t="s">
        <v>66</v>
      </c>
      <c r="J325" s="75" t="s">
        <v>2182</v>
      </c>
      <c r="K325" s="73" t="s">
        <v>2183</v>
      </c>
      <c r="L325" s="79" t="s">
        <v>3107</v>
      </c>
      <c r="M325" s="71"/>
    </row>
    <row r="326" spans="1:13" ht="15.75" thickBot="1" x14ac:dyDescent="0.3">
      <c r="A326" s="50">
        <v>46001.584537037037</v>
      </c>
      <c r="B326" s="53" t="s">
        <v>953</v>
      </c>
      <c r="C326" s="53" t="s">
        <v>725</v>
      </c>
      <c r="D326" s="53" t="s">
        <v>2184</v>
      </c>
      <c r="E326" s="53" t="s">
        <v>10</v>
      </c>
      <c r="F326" s="57">
        <v>41824</v>
      </c>
      <c r="G326" s="53" t="s">
        <v>2185</v>
      </c>
      <c r="H326" s="53" t="s">
        <v>2186</v>
      </c>
      <c r="I326" s="53" t="s">
        <v>2</v>
      </c>
      <c r="J326" s="60" t="s">
        <v>2187</v>
      </c>
      <c r="K326" s="53" t="s">
        <v>1740</v>
      </c>
      <c r="L326" s="78" t="s">
        <v>2188</v>
      </c>
      <c r="M326" s="32" t="s">
        <v>2189</v>
      </c>
    </row>
    <row r="327" spans="1:13" ht="15.75" thickBot="1" x14ac:dyDescent="0.3">
      <c r="A327" s="72">
        <v>46001.586701388886</v>
      </c>
      <c r="B327" s="73" t="s">
        <v>1317</v>
      </c>
      <c r="C327" s="73" t="s">
        <v>473</v>
      </c>
      <c r="D327" s="73" t="s">
        <v>2190</v>
      </c>
      <c r="E327" s="73" t="s">
        <v>10</v>
      </c>
      <c r="F327" s="74">
        <v>41608</v>
      </c>
      <c r="G327" s="73" t="s">
        <v>2191</v>
      </c>
      <c r="H327" s="73" t="s">
        <v>2192</v>
      </c>
      <c r="I327" s="73" t="s">
        <v>2</v>
      </c>
      <c r="J327" s="75" t="s">
        <v>2193</v>
      </c>
      <c r="K327" s="73" t="s">
        <v>2194</v>
      </c>
      <c r="L327" s="79" t="s">
        <v>3108</v>
      </c>
      <c r="M327" s="71"/>
    </row>
    <row r="328" spans="1:13" ht="15.75" thickBot="1" x14ac:dyDescent="0.3">
      <c r="A328" s="67">
        <v>46001.58871527778</v>
      </c>
      <c r="B328" s="68" t="s">
        <v>1317</v>
      </c>
      <c r="C328" s="68" t="s">
        <v>473</v>
      </c>
      <c r="D328" s="68" t="s">
        <v>2195</v>
      </c>
      <c r="E328" s="68" t="s">
        <v>10</v>
      </c>
      <c r="F328" s="69">
        <v>41985</v>
      </c>
      <c r="G328" s="68" t="s">
        <v>2196</v>
      </c>
      <c r="H328" s="68" t="s">
        <v>2197</v>
      </c>
      <c r="I328" s="68" t="s">
        <v>66</v>
      </c>
      <c r="J328" s="70" t="s">
        <v>2198</v>
      </c>
      <c r="K328" s="68" t="s">
        <v>2199</v>
      </c>
      <c r="L328" s="79" t="s">
        <v>3109</v>
      </c>
      <c r="M328" s="71"/>
    </row>
    <row r="329" spans="1:13" ht="15.75" thickBot="1" x14ac:dyDescent="0.3">
      <c r="A329" s="49">
        <v>46001.599664351852</v>
      </c>
      <c r="B329" s="52" t="s">
        <v>953</v>
      </c>
      <c r="C329" s="52" t="s">
        <v>609</v>
      </c>
      <c r="D329" s="52" t="s">
        <v>2200</v>
      </c>
      <c r="E329" s="52" t="s">
        <v>10</v>
      </c>
      <c r="F329" s="56">
        <v>42015</v>
      </c>
      <c r="G329" s="52" t="s">
        <v>2201</v>
      </c>
      <c r="H329" s="52" t="s">
        <v>2202</v>
      </c>
      <c r="I329" s="52" t="s">
        <v>66</v>
      </c>
      <c r="J329" s="59" t="s">
        <v>2203</v>
      </c>
      <c r="K329" s="52" t="s">
        <v>2204</v>
      </c>
      <c r="L329" s="78" t="s">
        <v>2205</v>
      </c>
      <c r="M329" s="37" t="s">
        <v>2206</v>
      </c>
    </row>
    <row r="330" spans="1:13" ht="15.75" thickBot="1" x14ac:dyDescent="0.3">
      <c r="A330" s="50">
        <v>46001.600555555553</v>
      </c>
      <c r="B330" s="53" t="s">
        <v>953</v>
      </c>
      <c r="C330" s="53" t="s">
        <v>725</v>
      </c>
      <c r="D330" s="53" t="s">
        <v>780</v>
      </c>
      <c r="E330" s="53" t="s">
        <v>10</v>
      </c>
      <c r="F330" s="57">
        <v>43091</v>
      </c>
      <c r="G330" s="53" t="s">
        <v>2207</v>
      </c>
      <c r="H330" s="53" t="s">
        <v>2208</v>
      </c>
      <c r="I330" s="53" t="s">
        <v>2</v>
      </c>
      <c r="J330" s="60" t="s">
        <v>2209</v>
      </c>
      <c r="K330" s="53" t="s">
        <v>1796</v>
      </c>
      <c r="L330" s="78" t="s">
        <v>2210</v>
      </c>
      <c r="M330" s="32" t="s">
        <v>2211</v>
      </c>
    </row>
    <row r="331" spans="1:13" ht="15.75" thickBot="1" x14ac:dyDescent="0.3">
      <c r="A331" s="49">
        <v>46001.603530092594</v>
      </c>
      <c r="B331" s="52" t="s">
        <v>953</v>
      </c>
      <c r="C331" s="52" t="s">
        <v>609</v>
      </c>
      <c r="D331" s="52" t="s">
        <v>2212</v>
      </c>
      <c r="E331" s="52" t="s">
        <v>10</v>
      </c>
      <c r="F331" s="56">
        <v>42632</v>
      </c>
      <c r="G331" s="52" t="s">
        <v>2213</v>
      </c>
      <c r="H331" s="52" t="s">
        <v>2214</v>
      </c>
      <c r="I331" s="52" t="s">
        <v>2</v>
      </c>
      <c r="J331" s="59" t="s">
        <v>2215</v>
      </c>
      <c r="K331" s="52" t="s">
        <v>2216</v>
      </c>
      <c r="L331" s="78" t="s">
        <v>2217</v>
      </c>
      <c r="M331" s="37" t="s">
        <v>2218</v>
      </c>
    </row>
    <row r="332" spans="1:13" ht="15.75" thickBot="1" x14ac:dyDescent="0.3">
      <c r="A332" s="50">
        <v>46001.607002314813</v>
      </c>
      <c r="B332" s="53" t="s">
        <v>10</v>
      </c>
      <c r="C332" s="53" t="s">
        <v>2219</v>
      </c>
      <c r="D332" s="53" t="s">
        <v>2220</v>
      </c>
      <c r="E332" s="53" t="s">
        <v>28</v>
      </c>
      <c r="F332" s="57">
        <v>42203</v>
      </c>
      <c r="G332" s="53" t="s">
        <v>2221</v>
      </c>
      <c r="H332" s="53" t="s">
        <v>2222</v>
      </c>
      <c r="I332" s="53" t="s">
        <v>66</v>
      </c>
      <c r="J332" s="60" t="s">
        <v>2223</v>
      </c>
      <c r="K332" s="53" t="s">
        <v>2224</v>
      </c>
      <c r="L332" s="78" t="s">
        <v>2225</v>
      </c>
      <c r="M332" s="32" t="s">
        <v>2226</v>
      </c>
    </row>
    <row r="333" spans="1:13" ht="15.75" thickBot="1" x14ac:dyDescent="0.3">
      <c r="A333" s="49">
        <v>46001.607708333337</v>
      </c>
      <c r="B333" s="52" t="s">
        <v>10</v>
      </c>
      <c r="C333" s="52" t="s">
        <v>2219</v>
      </c>
      <c r="D333" s="52" t="s">
        <v>2227</v>
      </c>
      <c r="E333" s="52" t="s">
        <v>10</v>
      </c>
      <c r="F333" s="56">
        <v>42733</v>
      </c>
      <c r="G333" s="52" t="s">
        <v>2228</v>
      </c>
      <c r="H333" s="52" t="s">
        <v>2229</v>
      </c>
      <c r="I333" s="52" t="s">
        <v>2</v>
      </c>
      <c r="J333" s="59" t="s">
        <v>2230</v>
      </c>
      <c r="K333" s="52" t="s">
        <v>2231</v>
      </c>
      <c r="L333" s="78" t="s">
        <v>2232</v>
      </c>
      <c r="M333" s="37" t="s">
        <v>2233</v>
      </c>
    </row>
    <row r="334" spans="1:13" ht="15.75" thickBot="1" x14ac:dyDescent="0.3">
      <c r="A334" s="50">
        <v>46001.607928240737</v>
      </c>
      <c r="B334" s="53" t="s">
        <v>953</v>
      </c>
      <c r="C334" s="53" t="s">
        <v>609</v>
      </c>
      <c r="D334" s="53" t="s">
        <v>2234</v>
      </c>
      <c r="E334" s="53" t="s">
        <v>10</v>
      </c>
      <c r="F334" s="57">
        <v>42645</v>
      </c>
      <c r="G334" s="53" t="s">
        <v>658</v>
      </c>
      <c r="H334" s="53" t="s">
        <v>659</v>
      </c>
      <c r="I334" s="53" t="s">
        <v>66</v>
      </c>
      <c r="J334" s="60" t="s">
        <v>2235</v>
      </c>
      <c r="K334" s="53" t="s">
        <v>1604</v>
      </c>
      <c r="L334" s="78" t="s">
        <v>2236</v>
      </c>
      <c r="M334" s="32" t="s">
        <v>2237</v>
      </c>
    </row>
    <row r="335" spans="1:13" ht="15.75" thickBot="1" x14ac:dyDescent="0.3">
      <c r="A335" s="49">
        <v>46001.612592592595</v>
      </c>
      <c r="B335" s="52" t="s">
        <v>953</v>
      </c>
      <c r="C335" s="52" t="s">
        <v>725</v>
      </c>
      <c r="D335" s="52" t="s">
        <v>2238</v>
      </c>
      <c r="E335" s="52" t="s">
        <v>10</v>
      </c>
      <c r="F335" s="56">
        <v>42422</v>
      </c>
      <c r="G335" s="52" t="s">
        <v>2239</v>
      </c>
      <c r="H335" s="52" t="s">
        <v>2240</v>
      </c>
      <c r="I335" s="52" t="s">
        <v>2</v>
      </c>
      <c r="J335" s="59" t="s">
        <v>2241</v>
      </c>
      <c r="K335" s="52" t="s">
        <v>2242</v>
      </c>
      <c r="L335" s="78" t="s">
        <v>2243</v>
      </c>
      <c r="M335" s="37" t="s">
        <v>2244</v>
      </c>
    </row>
    <row r="336" spans="1:13" ht="15.75" thickBot="1" x14ac:dyDescent="0.3">
      <c r="A336" s="50">
        <v>46001.615659722222</v>
      </c>
      <c r="B336" s="53" t="s">
        <v>953</v>
      </c>
      <c r="C336" s="53" t="s">
        <v>609</v>
      </c>
      <c r="D336" s="53" t="s">
        <v>2245</v>
      </c>
      <c r="E336" s="53" t="s">
        <v>10</v>
      </c>
      <c r="F336" s="57">
        <v>42034</v>
      </c>
      <c r="G336" s="53" t="s">
        <v>2246</v>
      </c>
      <c r="H336" s="53" t="s">
        <v>2247</v>
      </c>
      <c r="I336" s="53" t="s">
        <v>66</v>
      </c>
      <c r="J336" s="60" t="s">
        <v>2248</v>
      </c>
      <c r="K336" s="53" t="s">
        <v>2249</v>
      </c>
      <c r="L336" s="78" t="s">
        <v>2250</v>
      </c>
      <c r="M336" s="32" t="s">
        <v>2251</v>
      </c>
    </row>
    <row r="337" spans="1:13" ht="15.75" thickBot="1" x14ac:dyDescent="0.3">
      <c r="A337" s="49">
        <v>46001.621793981481</v>
      </c>
      <c r="B337" s="52" t="s">
        <v>10</v>
      </c>
      <c r="C337" s="52" t="s">
        <v>2219</v>
      </c>
      <c r="D337" s="52" t="s">
        <v>2252</v>
      </c>
      <c r="E337" s="52" t="s">
        <v>10</v>
      </c>
      <c r="F337" s="56">
        <v>41418</v>
      </c>
      <c r="G337" s="52" t="s">
        <v>2253</v>
      </c>
      <c r="H337" s="52" t="s">
        <v>2254</v>
      </c>
      <c r="I337" s="52" t="s">
        <v>66</v>
      </c>
      <c r="J337" s="59" t="s">
        <v>2255</v>
      </c>
      <c r="K337" s="52" t="s">
        <v>2256</v>
      </c>
      <c r="L337" s="78" t="s">
        <v>2257</v>
      </c>
      <c r="M337" s="37" t="s">
        <v>2258</v>
      </c>
    </row>
    <row r="338" spans="1:13" ht="15.75" thickBot="1" x14ac:dyDescent="0.3">
      <c r="A338" s="50">
        <v>46001.623611111114</v>
      </c>
      <c r="B338" s="53" t="s">
        <v>10</v>
      </c>
      <c r="C338" s="53" t="s">
        <v>2219</v>
      </c>
      <c r="D338" s="53" t="s">
        <v>2259</v>
      </c>
      <c r="E338" s="53" t="s">
        <v>10</v>
      </c>
      <c r="F338" s="57">
        <v>41907</v>
      </c>
      <c r="G338" s="53" t="s">
        <v>2260</v>
      </c>
      <c r="H338" s="53" t="s">
        <v>2261</v>
      </c>
      <c r="I338" s="53" t="s">
        <v>66</v>
      </c>
      <c r="J338" s="60" t="s">
        <v>2262</v>
      </c>
      <c r="K338" s="53" t="s">
        <v>2263</v>
      </c>
      <c r="L338" s="78" t="s">
        <v>2264</v>
      </c>
      <c r="M338" s="32" t="s">
        <v>2265</v>
      </c>
    </row>
    <row r="339" spans="1:13" ht="15.75" thickBot="1" x14ac:dyDescent="0.3">
      <c r="A339" s="49">
        <v>46001.624467592592</v>
      </c>
      <c r="B339" s="52" t="s">
        <v>953</v>
      </c>
      <c r="C339" s="52" t="s">
        <v>609</v>
      </c>
      <c r="D339" s="52" t="s">
        <v>2266</v>
      </c>
      <c r="E339" s="52" t="s">
        <v>10</v>
      </c>
      <c r="F339" s="56">
        <v>41983</v>
      </c>
      <c r="G339" s="52" t="s">
        <v>2267</v>
      </c>
      <c r="H339" s="52" t="s">
        <v>2268</v>
      </c>
      <c r="I339" s="52" t="s">
        <v>66</v>
      </c>
      <c r="J339" s="59" t="s">
        <v>2269</v>
      </c>
      <c r="K339" s="52" t="s">
        <v>2270</v>
      </c>
      <c r="L339" s="78" t="s">
        <v>2271</v>
      </c>
      <c r="M339" s="37" t="s">
        <v>2272</v>
      </c>
    </row>
    <row r="340" spans="1:13" ht="15.75" thickBot="1" x14ac:dyDescent="0.3">
      <c r="A340" s="50">
        <v>46001.628946759258</v>
      </c>
      <c r="B340" s="53" t="s">
        <v>953</v>
      </c>
      <c r="C340" s="53" t="s">
        <v>609</v>
      </c>
      <c r="D340" s="53" t="s">
        <v>2273</v>
      </c>
      <c r="E340" s="53" t="s">
        <v>10</v>
      </c>
      <c r="F340" s="57">
        <v>42250</v>
      </c>
      <c r="G340" s="53" t="s">
        <v>2274</v>
      </c>
      <c r="H340" s="53" t="s">
        <v>2275</v>
      </c>
      <c r="I340" s="53" t="s">
        <v>2</v>
      </c>
      <c r="J340" s="60" t="s">
        <v>2276</v>
      </c>
      <c r="K340" s="53" t="s">
        <v>2277</v>
      </c>
      <c r="L340" s="78" t="s">
        <v>2278</v>
      </c>
      <c r="M340" s="32" t="s">
        <v>2279</v>
      </c>
    </row>
    <row r="341" spans="1:13" ht="15.75" thickBot="1" x14ac:dyDescent="0.3">
      <c r="A341" s="49">
        <v>46001.629074074073</v>
      </c>
      <c r="B341" s="52" t="s">
        <v>10</v>
      </c>
      <c r="C341" s="52" t="s">
        <v>2219</v>
      </c>
      <c r="D341" s="52" t="s">
        <v>2280</v>
      </c>
      <c r="E341" s="52" t="s">
        <v>28</v>
      </c>
      <c r="F341" s="56">
        <v>41920</v>
      </c>
      <c r="G341" s="52" t="s">
        <v>2281</v>
      </c>
      <c r="H341" s="52" t="s">
        <v>2282</v>
      </c>
      <c r="I341" s="52" t="s">
        <v>2</v>
      </c>
      <c r="J341" s="59" t="s">
        <v>2283</v>
      </c>
      <c r="K341" s="52" t="s">
        <v>2284</v>
      </c>
      <c r="L341" s="78" t="s">
        <v>2285</v>
      </c>
      <c r="M341" s="37" t="s">
        <v>2286</v>
      </c>
    </row>
    <row r="342" spans="1:13" ht="15.75" thickBot="1" x14ac:dyDescent="0.3">
      <c r="A342" s="50">
        <v>46001.629236111112</v>
      </c>
      <c r="B342" s="53" t="s">
        <v>10</v>
      </c>
      <c r="C342" s="53" t="s">
        <v>2219</v>
      </c>
      <c r="D342" s="53" t="s">
        <v>2287</v>
      </c>
      <c r="E342" s="53" t="s">
        <v>59</v>
      </c>
      <c r="F342" s="57">
        <v>42196</v>
      </c>
      <c r="G342" s="53" t="s">
        <v>2288</v>
      </c>
      <c r="H342" s="53" t="s">
        <v>2289</v>
      </c>
      <c r="I342" s="53" t="s">
        <v>2</v>
      </c>
      <c r="J342" s="60" t="s">
        <v>2290</v>
      </c>
      <c r="K342" s="53" t="s">
        <v>2291</v>
      </c>
      <c r="L342" s="78" t="s">
        <v>2292</v>
      </c>
      <c r="M342" s="32" t="s">
        <v>2293</v>
      </c>
    </row>
    <row r="343" spans="1:13" ht="15.75" thickBot="1" x14ac:dyDescent="0.3">
      <c r="A343" s="49">
        <v>46001.630659722221</v>
      </c>
      <c r="B343" s="52" t="s">
        <v>10</v>
      </c>
      <c r="C343" s="52" t="s">
        <v>2219</v>
      </c>
      <c r="D343" s="52" t="s">
        <v>2294</v>
      </c>
      <c r="E343" s="52" t="s">
        <v>2295</v>
      </c>
      <c r="F343" s="56">
        <v>41547</v>
      </c>
      <c r="G343" s="52" t="s">
        <v>2296</v>
      </c>
      <c r="H343" s="52" t="s">
        <v>2297</v>
      </c>
      <c r="I343" s="52" t="s">
        <v>2</v>
      </c>
      <c r="J343" s="59" t="s">
        <v>2298</v>
      </c>
      <c r="K343" s="52" t="s">
        <v>2299</v>
      </c>
      <c r="L343" s="78" t="s">
        <v>2300</v>
      </c>
      <c r="M343" s="37" t="s">
        <v>2301</v>
      </c>
    </row>
    <row r="344" spans="1:13" ht="15.75" thickBot="1" x14ac:dyDescent="0.3">
      <c r="A344" s="50">
        <v>46001.633310185185</v>
      </c>
      <c r="B344" s="53" t="s">
        <v>953</v>
      </c>
      <c r="C344" s="53" t="s">
        <v>609</v>
      </c>
      <c r="D344" s="53" t="s">
        <v>2302</v>
      </c>
      <c r="E344" s="53" t="s">
        <v>10</v>
      </c>
      <c r="F344" s="57">
        <v>42770</v>
      </c>
      <c r="G344" s="53" t="s">
        <v>2303</v>
      </c>
      <c r="H344" s="53" t="s">
        <v>2304</v>
      </c>
      <c r="I344" s="53" t="s">
        <v>2</v>
      </c>
      <c r="J344" s="60" t="s">
        <v>2305</v>
      </c>
      <c r="K344" s="53" t="s">
        <v>2306</v>
      </c>
      <c r="L344" s="78" t="s">
        <v>2307</v>
      </c>
      <c r="M344" s="32" t="s">
        <v>2308</v>
      </c>
    </row>
    <row r="345" spans="1:13" ht="15.75" thickBot="1" x14ac:dyDescent="0.3">
      <c r="A345" s="49">
        <v>46001.633634259262</v>
      </c>
      <c r="B345" s="52" t="s">
        <v>10</v>
      </c>
      <c r="C345" s="52" t="s">
        <v>2219</v>
      </c>
      <c r="D345" s="52" t="s">
        <v>2309</v>
      </c>
      <c r="E345" s="52" t="s">
        <v>10</v>
      </c>
      <c r="F345" s="56">
        <v>42272</v>
      </c>
      <c r="G345" s="52" t="s">
        <v>2310</v>
      </c>
      <c r="H345" s="52" t="s">
        <v>2311</v>
      </c>
      <c r="I345" s="52" t="s">
        <v>2</v>
      </c>
      <c r="J345" s="59" t="s">
        <v>2312</v>
      </c>
      <c r="K345" s="52" t="s">
        <v>2313</v>
      </c>
      <c r="L345" s="78" t="s">
        <v>2314</v>
      </c>
      <c r="M345" s="37" t="s">
        <v>2315</v>
      </c>
    </row>
    <row r="346" spans="1:13" ht="15.75" thickBot="1" x14ac:dyDescent="0.3">
      <c r="A346" s="50">
        <v>46001.634166666663</v>
      </c>
      <c r="B346" s="53" t="s">
        <v>10</v>
      </c>
      <c r="C346" s="53" t="s">
        <v>2219</v>
      </c>
      <c r="D346" s="53" t="s">
        <v>2316</v>
      </c>
      <c r="E346" s="53" t="s">
        <v>10</v>
      </c>
      <c r="F346" s="57">
        <v>41925</v>
      </c>
      <c r="G346" s="53" t="s">
        <v>2317</v>
      </c>
      <c r="H346" s="53" t="s">
        <v>2318</v>
      </c>
      <c r="I346" s="53" t="s">
        <v>66</v>
      </c>
      <c r="J346" s="60" t="s">
        <v>2319</v>
      </c>
      <c r="K346" s="53" t="s">
        <v>2320</v>
      </c>
      <c r="L346" s="78" t="s">
        <v>2321</v>
      </c>
      <c r="M346" s="32" t="s">
        <v>2322</v>
      </c>
    </row>
    <row r="347" spans="1:13" ht="15.75" thickBot="1" x14ac:dyDescent="0.3">
      <c r="A347" s="49">
        <v>46001.636053240742</v>
      </c>
      <c r="B347" s="52" t="s">
        <v>10</v>
      </c>
      <c r="C347" s="52" t="s">
        <v>2219</v>
      </c>
      <c r="D347" s="52" t="s">
        <v>2323</v>
      </c>
      <c r="E347" s="52" t="s">
        <v>10</v>
      </c>
      <c r="F347" s="56">
        <v>42385</v>
      </c>
      <c r="G347" s="52" t="s">
        <v>2324</v>
      </c>
      <c r="H347" s="52" t="s">
        <v>2325</v>
      </c>
      <c r="I347" s="52" t="s">
        <v>66</v>
      </c>
      <c r="J347" s="59" t="s">
        <v>2326</v>
      </c>
      <c r="K347" s="52" t="s">
        <v>2327</v>
      </c>
      <c r="L347" s="78" t="s">
        <v>2328</v>
      </c>
      <c r="M347" s="37" t="s">
        <v>2329</v>
      </c>
    </row>
    <row r="348" spans="1:13" ht="15.75" thickBot="1" x14ac:dyDescent="0.3">
      <c r="A348" s="50">
        <v>46001.636840277781</v>
      </c>
      <c r="B348" s="53" t="s">
        <v>10</v>
      </c>
      <c r="C348" s="53" t="s">
        <v>2219</v>
      </c>
      <c r="D348" s="53" t="s">
        <v>2330</v>
      </c>
      <c r="E348" s="53" t="s">
        <v>59</v>
      </c>
      <c r="F348" s="57">
        <v>42030</v>
      </c>
      <c r="G348" s="53" t="s">
        <v>2331</v>
      </c>
      <c r="H348" s="53" t="s">
        <v>2332</v>
      </c>
      <c r="I348" s="53" t="s">
        <v>66</v>
      </c>
      <c r="J348" s="60" t="s">
        <v>2333</v>
      </c>
      <c r="K348" s="53" t="s">
        <v>2334</v>
      </c>
      <c r="L348" s="78" t="s">
        <v>2335</v>
      </c>
      <c r="M348" s="32" t="s">
        <v>2336</v>
      </c>
    </row>
    <row r="349" spans="1:13" ht="15.75" thickBot="1" x14ac:dyDescent="0.3">
      <c r="A349" s="49">
        <v>46001.63790509259</v>
      </c>
      <c r="B349" s="52" t="s">
        <v>10</v>
      </c>
      <c r="C349" s="52" t="s">
        <v>2219</v>
      </c>
      <c r="D349" s="52" t="s">
        <v>2337</v>
      </c>
      <c r="E349" s="52" t="s">
        <v>10</v>
      </c>
      <c r="F349" s="56">
        <v>41742</v>
      </c>
      <c r="G349" s="52" t="s">
        <v>2338</v>
      </c>
      <c r="H349" s="52" t="s">
        <v>2339</v>
      </c>
      <c r="I349" s="52" t="s">
        <v>2</v>
      </c>
      <c r="J349" s="59" t="s">
        <v>2340</v>
      </c>
      <c r="K349" s="52" t="s">
        <v>2341</v>
      </c>
      <c r="L349" s="78" t="s">
        <v>2342</v>
      </c>
      <c r="M349" s="37" t="s">
        <v>2343</v>
      </c>
    </row>
    <row r="350" spans="1:13" ht="15.75" thickBot="1" x14ac:dyDescent="0.3">
      <c r="A350" s="50">
        <v>46001.63821759259</v>
      </c>
      <c r="B350" s="53" t="s">
        <v>10</v>
      </c>
      <c r="C350" s="53" t="s">
        <v>2219</v>
      </c>
      <c r="D350" s="53" t="s">
        <v>2344</v>
      </c>
      <c r="E350" s="53" t="s">
        <v>2345</v>
      </c>
      <c r="F350" s="57">
        <v>42283</v>
      </c>
      <c r="G350" s="53" t="s">
        <v>2317</v>
      </c>
      <c r="H350" s="53" t="s">
        <v>2318</v>
      </c>
      <c r="I350" s="53" t="s">
        <v>66</v>
      </c>
      <c r="J350" s="60" t="s">
        <v>2346</v>
      </c>
      <c r="K350" s="53" t="s">
        <v>2320</v>
      </c>
      <c r="L350" s="78" t="s">
        <v>2347</v>
      </c>
      <c r="M350" s="32" t="s">
        <v>2348</v>
      </c>
    </row>
    <row r="351" spans="1:13" ht="15.75" thickBot="1" x14ac:dyDescent="0.3">
      <c r="A351" s="49">
        <v>46001.638356481482</v>
      </c>
      <c r="B351" s="52" t="s">
        <v>10</v>
      </c>
      <c r="C351" s="52" t="s">
        <v>2219</v>
      </c>
      <c r="D351" s="52" t="s">
        <v>2349</v>
      </c>
      <c r="E351" s="52" t="s">
        <v>28</v>
      </c>
      <c r="F351" s="56">
        <v>42118</v>
      </c>
      <c r="G351" s="52" t="s">
        <v>2350</v>
      </c>
      <c r="H351" s="52" t="s">
        <v>2351</v>
      </c>
      <c r="I351" s="52" t="s">
        <v>66</v>
      </c>
      <c r="J351" s="59" t="s">
        <v>2352</v>
      </c>
      <c r="K351" s="52" t="s">
        <v>2353</v>
      </c>
      <c r="L351" s="77" t="s">
        <v>2354</v>
      </c>
      <c r="M351" s="37" t="s">
        <v>2355</v>
      </c>
    </row>
    <row r="352" spans="1:13" ht="15.75" thickBot="1" x14ac:dyDescent="0.3">
      <c r="A352" s="50">
        <v>46001.640034722222</v>
      </c>
      <c r="B352" s="53" t="s">
        <v>953</v>
      </c>
      <c r="C352" s="53" t="s">
        <v>609</v>
      </c>
      <c r="D352" s="53" t="s">
        <v>2356</v>
      </c>
      <c r="E352" s="53" t="s">
        <v>10</v>
      </c>
      <c r="F352" s="57">
        <v>41968</v>
      </c>
      <c r="G352" s="53" t="s">
        <v>2357</v>
      </c>
      <c r="H352" s="53" t="s">
        <v>2358</v>
      </c>
      <c r="I352" s="53" t="s">
        <v>66</v>
      </c>
      <c r="J352" s="60" t="s">
        <v>2359</v>
      </c>
      <c r="K352" s="53" t="s">
        <v>2360</v>
      </c>
      <c r="L352" s="77" t="s">
        <v>2361</v>
      </c>
      <c r="M352" s="32" t="s">
        <v>2362</v>
      </c>
    </row>
    <row r="353" spans="1:13" ht="15.75" thickBot="1" x14ac:dyDescent="0.3">
      <c r="A353" s="49">
        <v>46001.642164351855</v>
      </c>
      <c r="B353" s="52" t="s">
        <v>10</v>
      </c>
      <c r="C353" s="52" t="s">
        <v>2219</v>
      </c>
      <c r="D353" s="52" t="s">
        <v>2280</v>
      </c>
      <c r="E353" s="52" t="s">
        <v>28</v>
      </c>
      <c r="F353" s="56">
        <v>41861</v>
      </c>
      <c r="G353" s="52" t="s">
        <v>2281</v>
      </c>
      <c r="H353" s="52" t="s">
        <v>2282</v>
      </c>
      <c r="I353" s="52" t="s">
        <v>2</v>
      </c>
      <c r="J353" s="59" t="s">
        <v>2363</v>
      </c>
      <c r="K353" s="52" t="s">
        <v>2284</v>
      </c>
      <c r="L353" s="77" t="s">
        <v>2364</v>
      </c>
      <c r="M353" s="37" t="s">
        <v>2365</v>
      </c>
    </row>
    <row r="354" spans="1:13" ht="15.75" thickBot="1" x14ac:dyDescent="0.3">
      <c r="A354" s="67">
        <v>46001.642384259256</v>
      </c>
      <c r="B354" s="68" t="s">
        <v>1317</v>
      </c>
      <c r="C354" s="68" t="s">
        <v>511</v>
      </c>
      <c r="D354" s="68" t="s">
        <v>1459</v>
      </c>
      <c r="E354" s="68" t="s">
        <v>1255</v>
      </c>
      <c r="F354" s="69">
        <v>41734</v>
      </c>
      <c r="G354" s="68" t="s">
        <v>2366</v>
      </c>
      <c r="H354" s="68" t="s">
        <v>2367</v>
      </c>
      <c r="I354" s="68" t="s">
        <v>66</v>
      </c>
      <c r="J354" s="70" t="s">
        <v>2368</v>
      </c>
      <c r="K354" s="68" t="s">
        <v>2369</v>
      </c>
      <c r="L354" s="80" t="s">
        <v>3110</v>
      </c>
      <c r="M354" s="71"/>
    </row>
    <row r="355" spans="1:13" ht="15.75" thickBot="1" x14ac:dyDescent="0.3">
      <c r="A355" s="49">
        <v>46001.645254629628</v>
      </c>
      <c r="B355" s="52" t="s">
        <v>953</v>
      </c>
      <c r="C355" s="52" t="s">
        <v>609</v>
      </c>
      <c r="D355" s="52" t="s">
        <v>2370</v>
      </c>
      <c r="E355" s="52" t="s">
        <v>10</v>
      </c>
      <c r="F355" s="56">
        <v>41935</v>
      </c>
      <c r="G355" s="52" t="s">
        <v>2371</v>
      </c>
      <c r="H355" s="52" t="s">
        <v>2372</v>
      </c>
      <c r="I355" s="52" t="s">
        <v>2</v>
      </c>
      <c r="J355" s="59" t="s">
        <v>2373</v>
      </c>
      <c r="K355" s="52" t="s">
        <v>2374</v>
      </c>
      <c r="L355" s="77" t="s">
        <v>2375</v>
      </c>
      <c r="M355" s="37" t="s">
        <v>2376</v>
      </c>
    </row>
    <row r="356" spans="1:13" ht="15.75" thickBot="1" x14ac:dyDescent="0.3">
      <c r="A356" s="50">
        <v>46001.648206018515</v>
      </c>
      <c r="B356" s="53" t="s">
        <v>953</v>
      </c>
      <c r="C356" s="53" t="s">
        <v>609</v>
      </c>
      <c r="D356" s="53" t="s">
        <v>2377</v>
      </c>
      <c r="E356" s="53" t="s">
        <v>2378</v>
      </c>
      <c r="F356" s="57">
        <v>42626</v>
      </c>
      <c r="G356" s="53" t="s">
        <v>2379</v>
      </c>
      <c r="H356" s="53" t="s">
        <v>2380</v>
      </c>
      <c r="I356" s="53" t="s">
        <v>2</v>
      </c>
      <c r="J356" s="60" t="s">
        <v>2381</v>
      </c>
      <c r="K356" s="53" t="s">
        <v>2382</v>
      </c>
      <c r="L356" s="77" t="s">
        <v>2383</v>
      </c>
      <c r="M356" s="32" t="s">
        <v>2384</v>
      </c>
    </row>
    <row r="357" spans="1:13" ht="15.75" thickBot="1" x14ac:dyDescent="0.3">
      <c r="A357" s="72">
        <v>46001.648298611108</v>
      </c>
      <c r="B357" s="73" t="s">
        <v>1317</v>
      </c>
      <c r="C357" s="73" t="s">
        <v>473</v>
      </c>
      <c r="D357" s="73" t="s">
        <v>2385</v>
      </c>
      <c r="E357" s="73" t="s">
        <v>10</v>
      </c>
      <c r="F357" s="74">
        <v>41555</v>
      </c>
      <c r="G357" s="73" t="s">
        <v>2386</v>
      </c>
      <c r="H357" s="73" t="s">
        <v>1349</v>
      </c>
      <c r="I357" s="73" t="s">
        <v>2</v>
      </c>
      <c r="J357" s="75" t="s">
        <v>2387</v>
      </c>
      <c r="K357" s="73" t="s">
        <v>2388</v>
      </c>
      <c r="L357" s="80" t="s">
        <v>3111</v>
      </c>
      <c r="M357" s="71"/>
    </row>
    <row r="358" spans="1:13" ht="15.75" thickBot="1" x14ac:dyDescent="0.3">
      <c r="A358" s="50">
        <v>46001.651747685188</v>
      </c>
      <c r="B358" s="53" t="s">
        <v>953</v>
      </c>
      <c r="C358" s="53" t="s">
        <v>725</v>
      </c>
      <c r="D358" s="53" t="s">
        <v>856</v>
      </c>
      <c r="E358" s="53" t="s">
        <v>204</v>
      </c>
      <c r="F358" s="57">
        <v>42456</v>
      </c>
      <c r="G358" s="53" t="s">
        <v>857</v>
      </c>
      <c r="H358" s="53" t="s">
        <v>858</v>
      </c>
      <c r="I358" s="53" t="s">
        <v>2</v>
      </c>
      <c r="J358" s="60" t="s">
        <v>2389</v>
      </c>
      <c r="K358" s="53" t="s">
        <v>2390</v>
      </c>
      <c r="L358" s="77" t="s">
        <v>2391</v>
      </c>
      <c r="M358" s="32" t="s">
        <v>2392</v>
      </c>
    </row>
    <row r="359" spans="1:13" ht="15.75" thickBot="1" x14ac:dyDescent="0.3">
      <c r="A359" s="49">
        <v>46001.656504629631</v>
      </c>
      <c r="B359" s="52" t="s">
        <v>10</v>
      </c>
      <c r="C359" s="52" t="s">
        <v>2219</v>
      </c>
      <c r="D359" s="52" t="s">
        <v>2407</v>
      </c>
      <c r="E359" s="52" t="s">
        <v>28</v>
      </c>
      <c r="F359" s="56">
        <v>42674</v>
      </c>
      <c r="G359" s="52" t="s">
        <v>2408</v>
      </c>
      <c r="H359" s="52" t="s">
        <v>2409</v>
      </c>
      <c r="I359" s="52" t="s">
        <v>2</v>
      </c>
      <c r="J359" s="59" t="s">
        <v>2410</v>
      </c>
      <c r="K359" s="52" t="s">
        <v>2411</v>
      </c>
      <c r="L359" s="77" t="s">
        <v>2412</v>
      </c>
      <c r="M359" s="37" t="s">
        <v>2413</v>
      </c>
    </row>
    <row r="360" spans="1:13" ht="15.75" thickBot="1" x14ac:dyDescent="0.3">
      <c r="A360" s="50">
        <v>46001.657476851855</v>
      </c>
      <c r="B360" s="53" t="s">
        <v>10</v>
      </c>
      <c r="C360" s="53" t="s">
        <v>2219</v>
      </c>
      <c r="D360" s="53" t="s">
        <v>2400</v>
      </c>
      <c r="E360" s="53" t="s">
        <v>10</v>
      </c>
      <c r="F360" s="57">
        <v>41492</v>
      </c>
      <c r="G360" s="53" t="s">
        <v>2401</v>
      </c>
      <c r="H360" s="53" t="s">
        <v>2402</v>
      </c>
      <c r="I360" s="53" t="s">
        <v>66</v>
      </c>
      <c r="J360" s="60" t="s">
        <v>2403</v>
      </c>
      <c r="K360" s="53" t="s">
        <v>2404</v>
      </c>
      <c r="L360" s="77" t="s">
        <v>2405</v>
      </c>
      <c r="M360" s="32" t="s">
        <v>2406</v>
      </c>
    </row>
    <row r="361" spans="1:13" ht="15.75" thickBot="1" x14ac:dyDescent="0.3">
      <c r="A361" s="28">
        <v>46001.66</v>
      </c>
      <c r="B361" s="29" t="s">
        <v>10</v>
      </c>
      <c r="C361" s="29" t="s">
        <v>2219</v>
      </c>
      <c r="D361" s="29" t="s">
        <v>2400</v>
      </c>
      <c r="E361" s="29" t="s">
        <v>10</v>
      </c>
      <c r="F361" s="30">
        <v>41492</v>
      </c>
      <c r="G361" s="29" t="s">
        <v>2401</v>
      </c>
      <c r="H361" s="29" t="s">
        <v>2402</v>
      </c>
      <c r="I361" s="29" t="s">
        <v>66</v>
      </c>
      <c r="J361" s="31" t="s">
        <v>2414</v>
      </c>
      <c r="K361" s="29" t="s">
        <v>2404</v>
      </c>
      <c r="L361" s="77" t="s">
        <v>2415</v>
      </c>
      <c r="M361" s="32" t="s">
        <v>2416</v>
      </c>
    </row>
    <row r="362" spans="1:13" ht="15.75" thickBot="1" x14ac:dyDescent="0.3">
      <c r="A362" s="33">
        <v>46001.661828703705</v>
      </c>
      <c r="B362" s="34" t="s">
        <v>10</v>
      </c>
      <c r="C362" s="34" t="s">
        <v>2219</v>
      </c>
      <c r="D362" s="34" t="s">
        <v>2417</v>
      </c>
      <c r="E362" s="34" t="s">
        <v>10</v>
      </c>
      <c r="F362" s="35">
        <v>42307</v>
      </c>
      <c r="G362" s="34" t="s">
        <v>2418</v>
      </c>
      <c r="H362" s="34" t="s">
        <v>2419</v>
      </c>
      <c r="I362" s="34" t="s">
        <v>66</v>
      </c>
      <c r="J362" s="36" t="s">
        <v>2420</v>
      </c>
      <c r="K362" s="34" t="s">
        <v>2421</v>
      </c>
      <c r="L362" s="77" t="s">
        <v>2422</v>
      </c>
      <c r="M362" s="37" t="s">
        <v>2423</v>
      </c>
    </row>
    <row r="363" spans="1:13" ht="15.75" thickBot="1" x14ac:dyDescent="0.3">
      <c r="A363" s="28">
        <v>46001.661909722221</v>
      </c>
      <c r="B363" s="29" t="s">
        <v>953</v>
      </c>
      <c r="C363" s="29" t="s">
        <v>609</v>
      </c>
      <c r="D363" s="29" t="s">
        <v>2424</v>
      </c>
      <c r="E363" s="29" t="s">
        <v>10</v>
      </c>
      <c r="F363" s="30">
        <v>42128</v>
      </c>
      <c r="G363" s="29" t="s">
        <v>2425</v>
      </c>
      <c r="H363" s="29" t="s">
        <v>2426</v>
      </c>
      <c r="I363" s="29" t="s">
        <v>66</v>
      </c>
      <c r="J363" s="31" t="s">
        <v>2427</v>
      </c>
      <c r="K363" s="29" t="s">
        <v>2428</v>
      </c>
      <c r="L363" s="77" t="s">
        <v>2429</v>
      </c>
      <c r="M363" s="32" t="s">
        <v>2430</v>
      </c>
    </row>
    <row r="364" spans="1:13" ht="15.75" thickBot="1" x14ac:dyDescent="0.3">
      <c r="A364" s="33">
        <v>46001.66673611111</v>
      </c>
      <c r="B364" s="34" t="s">
        <v>10</v>
      </c>
      <c r="C364" s="34" t="s">
        <v>2219</v>
      </c>
      <c r="D364" s="34" t="s">
        <v>2393</v>
      </c>
      <c r="E364" s="34" t="s">
        <v>59</v>
      </c>
      <c r="F364" s="35">
        <v>42929</v>
      </c>
      <c r="G364" s="34" t="s">
        <v>2394</v>
      </c>
      <c r="H364" s="34" t="s">
        <v>2395</v>
      </c>
      <c r="I364" s="34" t="s">
        <v>2</v>
      </c>
      <c r="J364" s="36" t="s">
        <v>2396</v>
      </c>
      <c r="K364" s="34" t="s">
        <v>2397</v>
      </c>
      <c r="L364" s="77" t="s">
        <v>2398</v>
      </c>
      <c r="M364" s="37" t="s">
        <v>2399</v>
      </c>
    </row>
    <row r="365" spans="1:13" ht="15.75" thickBot="1" x14ac:dyDescent="0.3">
      <c r="A365" s="28">
        <v>46001.667962962965</v>
      </c>
      <c r="B365" s="29" t="s">
        <v>10</v>
      </c>
      <c r="C365" s="29" t="s">
        <v>2438</v>
      </c>
      <c r="D365" s="29" t="s">
        <v>2439</v>
      </c>
      <c r="E365" s="29" t="s">
        <v>28</v>
      </c>
      <c r="F365" s="30">
        <v>42388</v>
      </c>
      <c r="G365" s="29" t="s">
        <v>2440</v>
      </c>
      <c r="H365" s="29" t="s">
        <v>2441</v>
      </c>
      <c r="I365" s="29" t="s">
        <v>2</v>
      </c>
      <c r="J365" s="31" t="s">
        <v>2442</v>
      </c>
      <c r="K365" s="29" t="s">
        <v>2443</v>
      </c>
      <c r="L365" s="77" t="s">
        <v>2444</v>
      </c>
      <c r="M365" s="32" t="s">
        <v>2445</v>
      </c>
    </row>
    <row r="366" spans="1:13" ht="15.75" thickBot="1" x14ac:dyDescent="0.3">
      <c r="A366" s="33">
        <v>46001.668344907404</v>
      </c>
      <c r="B366" s="34" t="s">
        <v>10</v>
      </c>
      <c r="C366" s="34" t="s">
        <v>2219</v>
      </c>
      <c r="D366" s="34" t="s">
        <v>354</v>
      </c>
      <c r="E366" s="34" t="s">
        <v>1155</v>
      </c>
      <c r="F366" s="35">
        <v>42002</v>
      </c>
      <c r="G366" s="34" t="s">
        <v>2446</v>
      </c>
      <c r="H366" s="34" t="s">
        <v>2447</v>
      </c>
      <c r="I366" s="34" t="s">
        <v>66</v>
      </c>
      <c r="J366" s="36" t="s">
        <v>2448</v>
      </c>
      <c r="K366" s="34" t="s">
        <v>2449</v>
      </c>
      <c r="L366" s="77" t="s">
        <v>2450</v>
      </c>
      <c r="M366" s="37" t="s">
        <v>2451</v>
      </c>
    </row>
    <row r="367" spans="1:13" ht="15.75" thickBot="1" x14ac:dyDescent="0.3">
      <c r="A367" s="28">
        <v>46001.669120370374</v>
      </c>
      <c r="B367" s="29" t="s">
        <v>953</v>
      </c>
      <c r="C367" s="29" t="s">
        <v>725</v>
      </c>
      <c r="D367" s="29" t="s">
        <v>2452</v>
      </c>
      <c r="E367" s="29" t="s">
        <v>28</v>
      </c>
      <c r="F367" s="30">
        <v>41682</v>
      </c>
      <c r="G367" s="29" t="s">
        <v>2453</v>
      </c>
      <c r="H367" s="29" t="s">
        <v>2454</v>
      </c>
      <c r="I367" s="29" t="s">
        <v>2</v>
      </c>
      <c r="J367" s="31" t="s">
        <v>2455</v>
      </c>
      <c r="K367" s="29" t="s">
        <v>2456</v>
      </c>
      <c r="L367" s="77" t="s">
        <v>2457</v>
      </c>
      <c r="M367" s="32" t="s">
        <v>2458</v>
      </c>
    </row>
    <row r="368" spans="1:13" ht="15.75" thickBot="1" x14ac:dyDescent="0.3">
      <c r="A368" s="33">
        <v>46001.670127314814</v>
      </c>
      <c r="B368" s="34" t="s">
        <v>953</v>
      </c>
      <c r="C368" s="34" t="s">
        <v>609</v>
      </c>
      <c r="D368" s="34" t="s">
        <v>2459</v>
      </c>
      <c r="E368" s="34" t="s">
        <v>10</v>
      </c>
      <c r="F368" s="35">
        <v>41978</v>
      </c>
      <c r="G368" s="34" t="s">
        <v>2460</v>
      </c>
      <c r="H368" s="34" t="s">
        <v>2461</v>
      </c>
      <c r="I368" s="34" t="s">
        <v>66</v>
      </c>
      <c r="J368" s="36" t="s">
        <v>2462</v>
      </c>
      <c r="K368" s="34" t="s">
        <v>2463</v>
      </c>
      <c r="L368" s="77" t="s">
        <v>2464</v>
      </c>
      <c r="M368" s="37" t="s">
        <v>2465</v>
      </c>
    </row>
    <row r="369" spans="1:13" ht="15.75" thickBot="1" x14ac:dyDescent="0.3">
      <c r="A369" s="49">
        <v>46001.670324074075</v>
      </c>
      <c r="B369" s="52" t="s">
        <v>10</v>
      </c>
      <c r="C369" s="52" t="s">
        <v>2219</v>
      </c>
      <c r="D369" s="52" t="s">
        <v>2431</v>
      </c>
      <c r="E369" s="52" t="s">
        <v>10</v>
      </c>
      <c r="F369" s="56">
        <v>42299</v>
      </c>
      <c r="G369" s="52" t="s">
        <v>2432</v>
      </c>
      <c r="H369" s="52" t="s">
        <v>2433</v>
      </c>
      <c r="I369" s="52" t="s">
        <v>66</v>
      </c>
      <c r="J369" s="59" t="s">
        <v>2434</v>
      </c>
      <c r="K369" s="52" t="s">
        <v>2435</v>
      </c>
      <c r="L369" s="77" t="s">
        <v>2436</v>
      </c>
      <c r="M369" s="37" t="s">
        <v>2437</v>
      </c>
    </row>
    <row r="370" spans="1:13" ht="15.75" thickBot="1" x14ac:dyDescent="0.3">
      <c r="A370" s="50">
        <v>46001.673368055555</v>
      </c>
      <c r="B370" s="53" t="s">
        <v>10</v>
      </c>
      <c r="C370" s="53" t="s">
        <v>2219</v>
      </c>
      <c r="D370" s="53" t="s">
        <v>2431</v>
      </c>
      <c r="E370" s="53" t="s">
        <v>10</v>
      </c>
      <c r="F370" s="57">
        <v>42299</v>
      </c>
      <c r="G370" s="53" t="s">
        <v>2466</v>
      </c>
      <c r="H370" s="53" t="s">
        <v>2467</v>
      </c>
      <c r="I370" s="53" t="s">
        <v>66</v>
      </c>
      <c r="J370" s="60" t="s">
        <v>2468</v>
      </c>
      <c r="K370" s="53" t="s">
        <v>2435</v>
      </c>
      <c r="L370" s="77" t="s">
        <v>2469</v>
      </c>
      <c r="M370" s="32" t="s">
        <v>2470</v>
      </c>
    </row>
    <row r="371" spans="1:13" ht="15.75" thickBot="1" x14ac:dyDescent="0.3">
      <c r="A371" s="49">
        <v>46001.673611111109</v>
      </c>
      <c r="B371" s="52" t="s">
        <v>10</v>
      </c>
      <c r="C371" s="52" t="s">
        <v>2219</v>
      </c>
      <c r="D371" s="52" t="s">
        <v>354</v>
      </c>
      <c r="E371" s="52" t="s">
        <v>2471</v>
      </c>
      <c r="F371" s="56">
        <v>42002</v>
      </c>
      <c r="G371" s="52" t="s">
        <v>2446</v>
      </c>
      <c r="H371" s="52" t="s">
        <v>2447</v>
      </c>
      <c r="I371" s="52" t="s">
        <v>66</v>
      </c>
      <c r="J371" s="59" t="s">
        <v>2472</v>
      </c>
      <c r="K371" s="52" t="s">
        <v>2449</v>
      </c>
      <c r="L371" s="77" t="s">
        <v>2473</v>
      </c>
      <c r="M371" s="37" t="s">
        <v>2474</v>
      </c>
    </row>
    <row r="372" spans="1:13" ht="15.75" thickBot="1" x14ac:dyDescent="0.3">
      <c r="A372" s="50">
        <v>46001.674664351849</v>
      </c>
      <c r="B372" s="53" t="s">
        <v>10</v>
      </c>
      <c r="C372" s="53" t="s">
        <v>2219</v>
      </c>
      <c r="D372" s="53" t="s">
        <v>2400</v>
      </c>
      <c r="E372" s="53" t="s">
        <v>28</v>
      </c>
      <c r="F372" s="57">
        <v>41433</v>
      </c>
      <c r="G372" s="53" t="s">
        <v>2401</v>
      </c>
      <c r="H372" s="53" t="s">
        <v>2402</v>
      </c>
      <c r="I372" s="53" t="s">
        <v>66</v>
      </c>
      <c r="J372" s="60" t="s">
        <v>2475</v>
      </c>
      <c r="K372" s="53" t="s">
        <v>2476</v>
      </c>
      <c r="L372" s="77" t="s">
        <v>2477</v>
      </c>
      <c r="M372" s="32" t="s">
        <v>2478</v>
      </c>
    </row>
    <row r="373" spans="1:13" ht="15.75" thickBot="1" x14ac:dyDescent="0.3">
      <c r="A373" s="49">
        <v>46001.674895833334</v>
      </c>
      <c r="B373" s="52" t="s">
        <v>953</v>
      </c>
      <c r="C373" s="52" t="s">
        <v>609</v>
      </c>
      <c r="D373" s="52" t="s">
        <v>2479</v>
      </c>
      <c r="E373" s="52" t="s">
        <v>10</v>
      </c>
      <c r="F373" s="56">
        <v>41843</v>
      </c>
      <c r="G373" s="52" t="s">
        <v>2480</v>
      </c>
      <c r="H373" s="52" t="s">
        <v>2481</v>
      </c>
      <c r="I373" s="52" t="s">
        <v>2</v>
      </c>
      <c r="J373" s="59" t="s">
        <v>2482</v>
      </c>
      <c r="K373" s="52" t="s">
        <v>2483</v>
      </c>
      <c r="L373" s="77" t="s">
        <v>2484</v>
      </c>
      <c r="M373" s="37" t="s">
        <v>2485</v>
      </c>
    </row>
    <row r="374" spans="1:13" ht="15.75" thickBot="1" x14ac:dyDescent="0.3">
      <c r="A374" s="50">
        <v>46001.675613425927</v>
      </c>
      <c r="B374" s="53" t="s">
        <v>10</v>
      </c>
      <c r="C374" s="53" t="s">
        <v>2219</v>
      </c>
      <c r="D374" s="53" t="s">
        <v>2431</v>
      </c>
      <c r="E374" s="53" t="s">
        <v>28</v>
      </c>
      <c r="F374" s="57">
        <v>42299</v>
      </c>
      <c r="G374" s="53" t="s">
        <v>2432</v>
      </c>
      <c r="H374" s="53" t="s">
        <v>2433</v>
      </c>
      <c r="I374" s="53" t="s">
        <v>66</v>
      </c>
      <c r="J374" s="60" t="s">
        <v>2486</v>
      </c>
      <c r="K374" s="53" t="s">
        <v>2435</v>
      </c>
      <c r="L374" s="77" t="s">
        <v>2487</v>
      </c>
      <c r="M374" s="32" t="s">
        <v>2488</v>
      </c>
    </row>
    <row r="375" spans="1:13" ht="15.75" thickBot="1" x14ac:dyDescent="0.3">
      <c r="A375" s="49">
        <v>46001.676712962966</v>
      </c>
      <c r="B375" s="52" t="s">
        <v>953</v>
      </c>
      <c r="C375" s="52" t="s">
        <v>725</v>
      </c>
      <c r="D375" s="52" t="s">
        <v>2489</v>
      </c>
      <c r="E375" s="52" t="s">
        <v>2490</v>
      </c>
      <c r="F375" s="56">
        <v>42364</v>
      </c>
      <c r="G375" s="52" t="s">
        <v>2491</v>
      </c>
      <c r="H375" s="52" t="s">
        <v>2351</v>
      </c>
      <c r="I375" s="52" t="s">
        <v>2</v>
      </c>
      <c r="J375" s="59" t="s">
        <v>2492</v>
      </c>
      <c r="K375" s="52" t="s">
        <v>2493</v>
      </c>
      <c r="L375" s="77" t="s">
        <v>2494</v>
      </c>
      <c r="M375" s="37" t="s">
        <v>2495</v>
      </c>
    </row>
    <row r="376" spans="1:13" ht="15.75" thickBot="1" x14ac:dyDescent="0.3">
      <c r="A376" s="50">
        <v>46001.677569444444</v>
      </c>
      <c r="B376" s="53" t="s">
        <v>10</v>
      </c>
      <c r="C376" s="53" t="s">
        <v>2219</v>
      </c>
      <c r="D376" s="53" t="s">
        <v>2496</v>
      </c>
      <c r="E376" s="53" t="s">
        <v>28</v>
      </c>
      <c r="F376" s="57">
        <v>42553</v>
      </c>
      <c r="G376" s="53" t="s">
        <v>2497</v>
      </c>
      <c r="H376" s="53" t="s">
        <v>2498</v>
      </c>
      <c r="I376" s="53" t="s">
        <v>2</v>
      </c>
      <c r="J376" s="60" t="s">
        <v>2499</v>
      </c>
      <c r="K376" s="53" t="s">
        <v>2500</v>
      </c>
      <c r="L376" s="77" t="s">
        <v>2501</v>
      </c>
      <c r="M376" s="32" t="s">
        <v>2502</v>
      </c>
    </row>
    <row r="377" spans="1:13" ht="15.75" thickBot="1" x14ac:dyDescent="0.3">
      <c r="A377" s="49">
        <v>46001.677766203706</v>
      </c>
      <c r="B377" s="52" t="s">
        <v>10</v>
      </c>
      <c r="C377" s="52" t="s">
        <v>2219</v>
      </c>
      <c r="D377" s="52" t="s">
        <v>2503</v>
      </c>
      <c r="E377" s="52" t="s">
        <v>10</v>
      </c>
      <c r="F377" s="56">
        <v>42543</v>
      </c>
      <c r="G377" s="52" t="s">
        <v>2504</v>
      </c>
      <c r="H377" s="52" t="s">
        <v>2505</v>
      </c>
      <c r="I377" s="52" t="s">
        <v>66</v>
      </c>
      <c r="J377" s="59" t="s">
        <v>2506</v>
      </c>
      <c r="K377" s="52" t="s">
        <v>2507</v>
      </c>
      <c r="L377" s="77" t="s">
        <v>2508</v>
      </c>
      <c r="M377" s="37" t="s">
        <v>2509</v>
      </c>
    </row>
    <row r="378" spans="1:13" ht="15.75" thickBot="1" x14ac:dyDescent="0.3">
      <c r="A378" s="50">
        <v>46001.678020833337</v>
      </c>
      <c r="B378" s="53" t="s">
        <v>10</v>
      </c>
      <c r="C378" s="53" t="s">
        <v>435</v>
      </c>
      <c r="D378" s="53" t="s">
        <v>2510</v>
      </c>
      <c r="E378" s="53" t="s">
        <v>10</v>
      </c>
      <c r="F378" s="57">
        <v>42481</v>
      </c>
      <c r="G378" s="53" t="s">
        <v>2511</v>
      </c>
      <c r="H378" s="53" t="s">
        <v>2512</v>
      </c>
      <c r="I378" s="53" t="s">
        <v>2</v>
      </c>
      <c r="J378" s="60" t="s">
        <v>2513</v>
      </c>
      <c r="K378" s="53" t="s">
        <v>2514</v>
      </c>
      <c r="L378" s="77" t="s">
        <v>2515</v>
      </c>
      <c r="M378" s="32" t="s">
        <v>2516</v>
      </c>
    </row>
    <row r="379" spans="1:13" ht="15.75" thickBot="1" x14ac:dyDescent="0.3">
      <c r="A379" s="49">
        <v>46001.678217592591</v>
      </c>
      <c r="B379" s="52" t="s">
        <v>10</v>
      </c>
      <c r="C379" s="52" t="s">
        <v>2219</v>
      </c>
      <c r="D379" s="52" t="s">
        <v>2431</v>
      </c>
      <c r="E379" s="52" t="s">
        <v>2517</v>
      </c>
      <c r="F379" s="56">
        <v>42299</v>
      </c>
      <c r="G379" s="52" t="s">
        <v>2466</v>
      </c>
      <c r="H379" s="52" t="s">
        <v>2467</v>
      </c>
      <c r="I379" s="52" t="s">
        <v>66</v>
      </c>
      <c r="J379" s="59" t="s">
        <v>2518</v>
      </c>
      <c r="K379" s="52" t="s">
        <v>2435</v>
      </c>
      <c r="L379" s="77" t="s">
        <v>2519</v>
      </c>
      <c r="M379" s="37" t="s">
        <v>2520</v>
      </c>
    </row>
    <row r="380" spans="1:13" ht="15.75" thickBot="1" x14ac:dyDescent="0.3">
      <c r="A380" s="50">
        <v>46001.680138888885</v>
      </c>
      <c r="B380" s="53" t="s">
        <v>10</v>
      </c>
      <c r="C380" s="53" t="s">
        <v>2219</v>
      </c>
      <c r="D380" s="53" t="s">
        <v>2521</v>
      </c>
      <c r="E380" s="53" t="s">
        <v>10</v>
      </c>
      <c r="F380" s="57">
        <v>42788</v>
      </c>
      <c r="G380" s="53" t="s">
        <v>2522</v>
      </c>
      <c r="H380" s="53" t="s">
        <v>2523</v>
      </c>
      <c r="I380" s="53" t="s">
        <v>2</v>
      </c>
      <c r="J380" s="60" t="s">
        <v>2524</v>
      </c>
      <c r="K380" s="53" t="s">
        <v>2525</v>
      </c>
      <c r="L380" s="77" t="s">
        <v>2526</v>
      </c>
      <c r="M380" s="32" t="s">
        <v>2527</v>
      </c>
    </row>
    <row r="381" spans="1:13" ht="15.75" thickBot="1" x14ac:dyDescent="0.3">
      <c r="A381" s="49">
        <v>46001.680509259262</v>
      </c>
      <c r="B381" s="52" t="s">
        <v>953</v>
      </c>
      <c r="C381" s="52" t="s">
        <v>609</v>
      </c>
      <c r="D381" s="52" t="s">
        <v>2528</v>
      </c>
      <c r="E381" s="52" t="s">
        <v>2529</v>
      </c>
      <c r="F381" s="56">
        <v>41782</v>
      </c>
      <c r="G381" s="52" t="s">
        <v>1546</v>
      </c>
      <c r="H381" s="52" t="s">
        <v>2530</v>
      </c>
      <c r="I381" s="52" t="s">
        <v>66</v>
      </c>
      <c r="J381" s="59" t="s">
        <v>2531</v>
      </c>
      <c r="K381" s="52" t="s">
        <v>2532</v>
      </c>
      <c r="L381" s="77" t="s">
        <v>2533</v>
      </c>
      <c r="M381" s="37" t="s">
        <v>2534</v>
      </c>
    </row>
    <row r="382" spans="1:13" ht="15.75" thickBot="1" x14ac:dyDescent="0.3">
      <c r="A382" s="50">
        <v>46001.681747685187</v>
      </c>
      <c r="B382" s="53" t="s">
        <v>10</v>
      </c>
      <c r="C382" s="53" t="s">
        <v>2219</v>
      </c>
      <c r="D382" s="53" t="s">
        <v>354</v>
      </c>
      <c r="E382" s="53" t="s">
        <v>1155</v>
      </c>
      <c r="F382" s="57">
        <v>42002</v>
      </c>
      <c r="G382" s="53" t="s">
        <v>2446</v>
      </c>
      <c r="H382" s="53" t="s">
        <v>2447</v>
      </c>
      <c r="I382" s="53" t="s">
        <v>66</v>
      </c>
      <c r="J382" s="60" t="s">
        <v>2535</v>
      </c>
      <c r="K382" s="53" t="s">
        <v>2449</v>
      </c>
      <c r="L382" s="77" t="s">
        <v>2536</v>
      </c>
      <c r="M382" s="32" t="s">
        <v>2537</v>
      </c>
    </row>
    <row r="383" spans="1:13" ht="15.75" thickBot="1" x14ac:dyDescent="0.3">
      <c r="A383" s="49">
        <v>46001.682789351849</v>
      </c>
      <c r="B383" s="52" t="s">
        <v>10</v>
      </c>
      <c r="C383" s="52" t="s">
        <v>2219</v>
      </c>
      <c r="D383" s="52" t="s">
        <v>2538</v>
      </c>
      <c r="E383" s="52" t="s">
        <v>10</v>
      </c>
      <c r="F383" s="56">
        <v>41967</v>
      </c>
      <c r="G383" s="52" t="s">
        <v>2539</v>
      </c>
      <c r="H383" s="52" t="s">
        <v>2540</v>
      </c>
      <c r="I383" s="52" t="s">
        <v>66</v>
      </c>
      <c r="J383" s="59" t="s">
        <v>2541</v>
      </c>
      <c r="K383" s="52" t="s">
        <v>2542</v>
      </c>
      <c r="L383" s="77" t="s">
        <v>2543</v>
      </c>
      <c r="M383" s="37" t="s">
        <v>2544</v>
      </c>
    </row>
    <row r="384" spans="1:13" ht="15.75" thickBot="1" x14ac:dyDescent="0.3">
      <c r="A384" s="50">
        <v>46001.685532407406</v>
      </c>
      <c r="B384" s="53" t="s">
        <v>10</v>
      </c>
      <c r="C384" s="53" t="s">
        <v>2219</v>
      </c>
      <c r="D384" s="53" t="s">
        <v>2330</v>
      </c>
      <c r="E384" s="53" t="s">
        <v>59</v>
      </c>
      <c r="F384" s="57">
        <v>42030</v>
      </c>
      <c r="G384" s="53" t="s">
        <v>2331</v>
      </c>
      <c r="H384" s="53" t="s">
        <v>2332</v>
      </c>
      <c r="I384" s="53" t="s">
        <v>66</v>
      </c>
      <c r="J384" s="60" t="s">
        <v>2545</v>
      </c>
      <c r="K384" s="53" t="s">
        <v>2334</v>
      </c>
      <c r="L384" s="77" t="s">
        <v>2546</v>
      </c>
      <c r="M384" s="32" t="s">
        <v>2547</v>
      </c>
    </row>
    <row r="385" spans="1:13" ht="15.75" thickBot="1" x14ac:dyDescent="0.3">
      <c r="A385" s="49">
        <v>46001.685601851852</v>
      </c>
      <c r="B385" s="52" t="s">
        <v>953</v>
      </c>
      <c r="C385" s="52" t="s">
        <v>609</v>
      </c>
      <c r="D385" s="52" t="s">
        <v>2548</v>
      </c>
      <c r="E385" s="52" t="s">
        <v>10</v>
      </c>
      <c r="F385" s="56">
        <v>41996</v>
      </c>
      <c r="G385" s="52" t="s">
        <v>2549</v>
      </c>
      <c r="H385" s="52" t="s">
        <v>2550</v>
      </c>
      <c r="I385" s="52" t="s">
        <v>2</v>
      </c>
      <c r="J385" s="59" t="s">
        <v>2551</v>
      </c>
      <c r="K385" s="52" t="s">
        <v>2552</v>
      </c>
      <c r="L385" s="77" t="s">
        <v>2553</v>
      </c>
      <c r="M385" s="37" t="s">
        <v>2554</v>
      </c>
    </row>
    <row r="386" spans="1:13" ht="15.75" thickBot="1" x14ac:dyDescent="0.3">
      <c r="A386" s="50">
        <v>46001.688935185186</v>
      </c>
      <c r="B386" s="53" t="s">
        <v>953</v>
      </c>
      <c r="C386" s="53" t="s">
        <v>725</v>
      </c>
      <c r="D386" s="53" t="s">
        <v>2555</v>
      </c>
      <c r="E386" s="53" t="s">
        <v>28</v>
      </c>
      <c r="F386" s="57">
        <v>42659</v>
      </c>
      <c r="G386" s="53" t="s">
        <v>2556</v>
      </c>
      <c r="H386" s="53" t="s">
        <v>2557</v>
      </c>
      <c r="I386" s="53" t="s">
        <v>2</v>
      </c>
      <c r="J386" s="60" t="s">
        <v>2558</v>
      </c>
      <c r="K386" s="53" t="s">
        <v>2559</v>
      </c>
      <c r="L386" s="77" t="s">
        <v>2560</v>
      </c>
      <c r="M386" s="32" t="s">
        <v>2561</v>
      </c>
    </row>
    <row r="387" spans="1:13" ht="15.75" thickBot="1" x14ac:dyDescent="0.3">
      <c r="A387" s="49">
        <v>46001.69085648148</v>
      </c>
      <c r="B387" s="52" t="s">
        <v>953</v>
      </c>
      <c r="C387" s="52" t="s">
        <v>609</v>
      </c>
      <c r="D387" s="52" t="s">
        <v>2562</v>
      </c>
      <c r="E387" s="52" t="s">
        <v>10</v>
      </c>
      <c r="F387" s="56">
        <v>42528</v>
      </c>
      <c r="G387" s="52" t="s">
        <v>2563</v>
      </c>
      <c r="H387" s="52" t="s">
        <v>2564</v>
      </c>
      <c r="I387" s="52" t="s">
        <v>2</v>
      </c>
      <c r="J387" s="59" t="s">
        <v>2565</v>
      </c>
      <c r="K387" s="52" t="s">
        <v>2566</v>
      </c>
      <c r="L387" s="77" t="s">
        <v>2567</v>
      </c>
      <c r="M387" s="37" t="s">
        <v>2568</v>
      </c>
    </row>
    <row r="388" spans="1:13" ht="15.75" thickBot="1" x14ac:dyDescent="0.3">
      <c r="A388" s="67">
        <v>46001.692048611112</v>
      </c>
      <c r="B388" s="68" t="s">
        <v>1317</v>
      </c>
      <c r="C388" s="68" t="s">
        <v>511</v>
      </c>
      <c r="D388" s="68" t="s">
        <v>2569</v>
      </c>
      <c r="E388" s="68" t="s">
        <v>116</v>
      </c>
      <c r="F388" s="69">
        <v>41792</v>
      </c>
      <c r="G388" s="68" t="s">
        <v>2570</v>
      </c>
      <c r="H388" s="68" t="s">
        <v>1770</v>
      </c>
      <c r="I388" s="68" t="s">
        <v>66</v>
      </c>
      <c r="J388" s="70" t="s">
        <v>2571</v>
      </c>
      <c r="K388" s="68" t="s">
        <v>2572</v>
      </c>
      <c r="L388" s="80" t="s">
        <v>3112</v>
      </c>
      <c r="M388" s="71"/>
    </row>
    <row r="389" spans="1:13" ht="15.75" thickBot="1" x14ac:dyDescent="0.3">
      <c r="A389" s="49">
        <v>46001.693796296298</v>
      </c>
      <c r="B389" s="52" t="s">
        <v>10</v>
      </c>
      <c r="C389" s="52" t="s">
        <v>435</v>
      </c>
      <c r="D389" s="52" t="s">
        <v>2573</v>
      </c>
      <c r="E389" s="52" t="s">
        <v>10</v>
      </c>
      <c r="F389" s="56">
        <v>42404</v>
      </c>
      <c r="G389" s="52" t="s">
        <v>2574</v>
      </c>
      <c r="H389" s="52" t="s">
        <v>2575</v>
      </c>
      <c r="I389" s="52" t="s">
        <v>2</v>
      </c>
      <c r="J389" s="59" t="s">
        <v>2576</v>
      </c>
      <c r="K389" s="52" t="s">
        <v>2577</v>
      </c>
      <c r="L389" s="77" t="s">
        <v>2578</v>
      </c>
      <c r="M389" s="37" t="s">
        <v>2579</v>
      </c>
    </row>
    <row r="390" spans="1:13" ht="15.75" thickBot="1" x14ac:dyDescent="0.3">
      <c r="A390" s="50">
        <v>46001.694479166668</v>
      </c>
      <c r="B390" s="53" t="s">
        <v>953</v>
      </c>
      <c r="C390" s="53" t="s">
        <v>725</v>
      </c>
      <c r="D390" s="53" t="s">
        <v>2580</v>
      </c>
      <c r="E390" s="53" t="s">
        <v>28</v>
      </c>
      <c r="F390" s="57">
        <v>41747</v>
      </c>
      <c r="G390" s="53" t="s">
        <v>2581</v>
      </c>
      <c r="H390" s="53" t="s">
        <v>2582</v>
      </c>
      <c r="I390" s="53" t="s">
        <v>66</v>
      </c>
      <c r="J390" s="60" t="s">
        <v>2583</v>
      </c>
      <c r="K390" s="53" t="s">
        <v>2584</v>
      </c>
      <c r="L390" s="77" t="s">
        <v>2585</v>
      </c>
      <c r="M390" s="32" t="s">
        <v>2586</v>
      </c>
    </row>
    <row r="391" spans="1:13" ht="15.75" thickBot="1" x14ac:dyDescent="0.3">
      <c r="A391" s="49">
        <v>46001.695636574077</v>
      </c>
      <c r="B391" s="52" t="s">
        <v>953</v>
      </c>
      <c r="C391" s="52" t="s">
        <v>725</v>
      </c>
      <c r="D391" s="52" t="s">
        <v>2587</v>
      </c>
      <c r="E391" s="52" t="s">
        <v>28</v>
      </c>
      <c r="F391" s="56">
        <v>41774</v>
      </c>
      <c r="G391" s="52" t="s">
        <v>2588</v>
      </c>
      <c r="H391" s="52" t="s">
        <v>2589</v>
      </c>
      <c r="I391" s="52" t="s">
        <v>2</v>
      </c>
      <c r="J391" s="59" t="s">
        <v>2590</v>
      </c>
      <c r="K391" s="52" t="s">
        <v>2591</v>
      </c>
      <c r="L391" s="77" t="s">
        <v>2592</v>
      </c>
      <c r="M391" s="37" t="s">
        <v>2593</v>
      </c>
    </row>
    <row r="392" spans="1:13" ht="15.75" thickBot="1" x14ac:dyDescent="0.3">
      <c r="A392" s="50">
        <v>46001.700324074074</v>
      </c>
      <c r="B392" s="53" t="s">
        <v>10</v>
      </c>
      <c r="C392" s="53" t="s">
        <v>2219</v>
      </c>
      <c r="D392" s="53" t="s">
        <v>2594</v>
      </c>
      <c r="E392" s="53" t="s">
        <v>10</v>
      </c>
      <c r="F392" s="57">
        <v>42281</v>
      </c>
      <c r="G392" s="53" t="s">
        <v>2595</v>
      </c>
      <c r="H392" s="53" t="s">
        <v>2596</v>
      </c>
      <c r="I392" s="53" t="s">
        <v>2</v>
      </c>
      <c r="J392" s="60" t="s">
        <v>2597</v>
      </c>
      <c r="K392" s="53" t="s">
        <v>2598</v>
      </c>
      <c r="L392" s="77" t="s">
        <v>2599</v>
      </c>
      <c r="M392" s="32" t="s">
        <v>2600</v>
      </c>
    </row>
    <row r="393" spans="1:13" ht="15.75" thickBot="1" x14ac:dyDescent="0.3">
      <c r="A393" s="49">
        <v>46001.701111111113</v>
      </c>
      <c r="B393" s="52" t="s">
        <v>10</v>
      </c>
      <c r="C393" s="52" t="s">
        <v>2219</v>
      </c>
      <c r="D393" s="52" t="s">
        <v>2601</v>
      </c>
      <c r="E393" s="52" t="s">
        <v>59</v>
      </c>
      <c r="F393" s="56">
        <v>41917</v>
      </c>
      <c r="G393" s="52" t="s">
        <v>2602</v>
      </c>
      <c r="H393" s="52" t="s">
        <v>2603</v>
      </c>
      <c r="I393" s="52" t="s">
        <v>66</v>
      </c>
      <c r="J393" s="59" t="s">
        <v>2604</v>
      </c>
      <c r="K393" s="52" t="s">
        <v>2605</v>
      </c>
      <c r="L393" s="77" t="s">
        <v>2606</v>
      </c>
      <c r="M393" s="37" t="s">
        <v>2607</v>
      </c>
    </row>
    <row r="394" spans="1:13" ht="15.75" thickBot="1" x14ac:dyDescent="0.3">
      <c r="A394" s="50">
        <v>46001.702361111114</v>
      </c>
      <c r="B394" s="53" t="s">
        <v>10</v>
      </c>
      <c r="C394" s="53" t="s">
        <v>2219</v>
      </c>
      <c r="D394" s="53" t="s">
        <v>2608</v>
      </c>
      <c r="E394" s="53" t="s">
        <v>10</v>
      </c>
      <c r="F394" s="57">
        <v>41925</v>
      </c>
      <c r="G394" s="53" t="s">
        <v>2609</v>
      </c>
      <c r="H394" s="53" t="s">
        <v>2610</v>
      </c>
      <c r="I394" s="53" t="s">
        <v>66</v>
      </c>
      <c r="J394" s="60" t="s">
        <v>2611</v>
      </c>
      <c r="K394" s="53" t="s">
        <v>2612</v>
      </c>
      <c r="L394" s="77" t="s">
        <v>2613</v>
      </c>
      <c r="M394" s="32" t="s">
        <v>2614</v>
      </c>
    </row>
    <row r="395" spans="1:13" ht="15.75" thickBot="1" x14ac:dyDescent="0.3">
      <c r="A395" s="49">
        <v>46001.703472222223</v>
      </c>
      <c r="B395" s="52" t="s">
        <v>953</v>
      </c>
      <c r="C395" s="52" t="s">
        <v>753</v>
      </c>
      <c r="D395" s="52" t="s">
        <v>2615</v>
      </c>
      <c r="E395" s="52" t="s">
        <v>28</v>
      </c>
      <c r="F395" s="56">
        <v>41758</v>
      </c>
      <c r="G395" s="52" t="s">
        <v>2616</v>
      </c>
      <c r="H395" s="52" t="s">
        <v>2617</v>
      </c>
      <c r="I395" s="52" t="s">
        <v>66</v>
      </c>
      <c r="J395" s="59" t="s">
        <v>2618</v>
      </c>
      <c r="K395" s="52" t="s">
        <v>2619</v>
      </c>
      <c r="L395" s="77" t="s">
        <v>2620</v>
      </c>
      <c r="M395" s="37" t="s">
        <v>2621</v>
      </c>
    </row>
    <row r="396" spans="1:13" ht="15.75" thickBot="1" x14ac:dyDescent="0.3">
      <c r="A396" s="50">
        <v>46001.703935185185</v>
      </c>
      <c r="B396" s="53" t="s">
        <v>10</v>
      </c>
      <c r="C396" s="53" t="s">
        <v>2219</v>
      </c>
      <c r="D396" s="53" t="s">
        <v>2601</v>
      </c>
      <c r="E396" s="53" t="s">
        <v>59</v>
      </c>
      <c r="F396" s="57">
        <v>41917</v>
      </c>
      <c r="G396" s="53" t="s">
        <v>2602</v>
      </c>
      <c r="H396" s="53" t="s">
        <v>2603</v>
      </c>
      <c r="I396" s="53" t="s">
        <v>66</v>
      </c>
      <c r="J396" s="60" t="s">
        <v>2622</v>
      </c>
      <c r="K396" s="53" t="s">
        <v>2623</v>
      </c>
      <c r="L396" s="77" t="s">
        <v>2624</v>
      </c>
      <c r="M396" s="32" t="s">
        <v>2625</v>
      </c>
    </row>
    <row r="397" spans="1:13" ht="15.75" thickBot="1" x14ac:dyDescent="0.3">
      <c r="A397" s="49">
        <v>46001.705717592595</v>
      </c>
      <c r="B397" s="52" t="s">
        <v>10</v>
      </c>
      <c r="C397" s="52" t="s">
        <v>2626</v>
      </c>
      <c r="D397" s="52" t="s">
        <v>2627</v>
      </c>
      <c r="E397" s="52" t="s">
        <v>10</v>
      </c>
      <c r="F397" s="56">
        <v>42272</v>
      </c>
      <c r="G397" s="52" t="s">
        <v>2628</v>
      </c>
      <c r="H397" s="52" t="s">
        <v>2629</v>
      </c>
      <c r="I397" s="52" t="s">
        <v>2</v>
      </c>
      <c r="J397" s="59" t="s">
        <v>2630</v>
      </c>
      <c r="K397" s="52" t="s">
        <v>2631</v>
      </c>
      <c r="L397" s="77" t="s">
        <v>2632</v>
      </c>
      <c r="M397" s="37" t="s">
        <v>2633</v>
      </c>
    </row>
    <row r="398" spans="1:13" ht="15.75" thickBot="1" x14ac:dyDescent="0.3">
      <c r="A398" s="50">
        <v>46001.706817129627</v>
      </c>
      <c r="B398" s="53" t="s">
        <v>10</v>
      </c>
      <c r="C398" s="53" t="s">
        <v>2219</v>
      </c>
      <c r="D398" s="53" t="s">
        <v>2294</v>
      </c>
      <c r="E398" s="53" t="s">
        <v>2295</v>
      </c>
      <c r="F398" s="57">
        <v>41547</v>
      </c>
      <c r="G398" s="53" t="s">
        <v>2296</v>
      </c>
      <c r="H398" s="53" t="s">
        <v>2297</v>
      </c>
      <c r="I398" s="53" t="s">
        <v>2</v>
      </c>
      <c r="J398" s="60" t="s">
        <v>2634</v>
      </c>
      <c r="K398" s="53" t="s">
        <v>2635</v>
      </c>
      <c r="L398" s="77" t="s">
        <v>2636</v>
      </c>
      <c r="M398" s="32" t="s">
        <v>2637</v>
      </c>
    </row>
    <row r="399" spans="1:13" ht="15.75" thickBot="1" x14ac:dyDescent="0.3">
      <c r="A399" s="49">
        <v>46001.70952546296</v>
      </c>
      <c r="B399" s="52" t="s">
        <v>953</v>
      </c>
      <c r="C399" s="52" t="s">
        <v>753</v>
      </c>
      <c r="D399" s="52" t="s">
        <v>2638</v>
      </c>
      <c r="E399" s="52" t="s">
        <v>28</v>
      </c>
      <c r="F399" s="56">
        <v>42047</v>
      </c>
      <c r="G399" s="52" t="s">
        <v>2639</v>
      </c>
      <c r="H399" s="52" t="s">
        <v>2640</v>
      </c>
      <c r="I399" s="52" t="s">
        <v>66</v>
      </c>
      <c r="J399" s="59" t="s">
        <v>2641</v>
      </c>
      <c r="K399" s="52" t="s">
        <v>1751</v>
      </c>
      <c r="L399" s="77" t="s">
        <v>2642</v>
      </c>
      <c r="M399" s="37" t="s">
        <v>2643</v>
      </c>
    </row>
    <row r="400" spans="1:13" ht="15.75" thickBot="1" x14ac:dyDescent="0.3">
      <c r="A400" s="50">
        <v>46001.710231481484</v>
      </c>
      <c r="B400" s="53" t="s">
        <v>10</v>
      </c>
      <c r="C400" s="53" t="s">
        <v>2219</v>
      </c>
      <c r="D400" s="53" t="s">
        <v>2594</v>
      </c>
      <c r="E400" s="53" t="s">
        <v>10</v>
      </c>
      <c r="F400" s="57">
        <v>42281</v>
      </c>
      <c r="G400" s="53" t="s">
        <v>2595</v>
      </c>
      <c r="H400" s="53" t="s">
        <v>2596</v>
      </c>
      <c r="I400" s="53" t="s">
        <v>2</v>
      </c>
      <c r="J400" s="60" t="s">
        <v>2644</v>
      </c>
      <c r="K400" s="53" t="s">
        <v>2598</v>
      </c>
      <c r="L400" s="77" t="s">
        <v>2645</v>
      </c>
      <c r="M400" s="32" t="s">
        <v>2646</v>
      </c>
    </row>
    <row r="401" spans="1:13" ht="15.75" thickBot="1" x14ac:dyDescent="0.3">
      <c r="A401" s="49">
        <v>46001.712268518517</v>
      </c>
      <c r="B401" s="52" t="s">
        <v>10</v>
      </c>
      <c r="C401" s="52" t="s">
        <v>2219</v>
      </c>
      <c r="D401" s="52" t="s">
        <v>2601</v>
      </c>
      <c r="E401" s="52" t="s">
        <v>204</v>
      </c>
      <c r="F401" s="56">
        <v>41917</v>
      </c>
      <c r="G401" s="52" t="s">
        <v>2647</v>
      </c>
      <c r="H401" s="52" t="s">
        <v>2648</v>
      </c>
      <c r="I401" s="52" t="s">
        <v>66</v>
      </c>
      <c r="J401" s="59" t="s">
        <v>2649</v>
      </c>
      <c r="K401" s="52" t="s">
        <v>2623</v>
      </c>
      <c r="L401" s="77" t="s">
        <v>2650</v>
      </c>
      <c r="M401" s="37" t="s">
        <v>2651</v>
      </c>
    </row>
    <row r="402" spans="1:13" ht="15.75" thickBot="1" x14ac:dyDescent="0.3">
      <c r="A402" s="50">
        <v>46001.713622685187</v>
      </c>
      <c r="B402" s="53" t="s">
        <v>10</v>
      </c>
      <c r="C402" s="53" t="s">
        <v>2219</v>
      </c>
      <c r="D402" s="53" t="s">
        <v>2652</v>
      </c>
      <c r="E402" s="53" t="s">
        <v>10</v>
      </c>
      <c r="F402" s="57">
        <v>42170</v>
      </c>
      <c r="G402" s="53" t="s">
        <v>2653</v>
      </c>
      <c r="H402" s="53" t="s">
        <v>2654</v>
      </c>
      <c r="I402" s="53" t="s">
        <v>66</v>
      </c>
      <c r="J402" s="60" t="s">
        <v>2655</v>
      </c>
      <c r="K402" s="53" t="s">
        <v>2656</v>
      </c>
      <c r="L402" s="77" t="s">
        <v>2657</v>
      </c>
      <c r="M402" s="32" t="s">
        <v>2658</v>
      </c>
    </row>
    <row r="403" spans="1:13" ht="15.75" thickBot="1" x14ac:dyDescent="0.3">
      <c r="A403" s="49">
        <v>46001.715798611112</v>
      </c>
      <c r="B403" s="52" t="s">
        <v>10</v>
      </c>
      <c r="C403" s="52" t="s">
        <v>2219</v>
      </c>
      <c r="D403" s="52" t="s">
        <v>2521</v>
      </c>
      <c r="E403" s="52" t="s">
        <v>10</v>
      </c>
      <c r="F403" s="56">
        <v>42788</v>
      </c>
      <c r="G403" s="52" t="s">
        <v>2522</v>
      </c>
      <c r="H403" s="52" t="s">
        <v>2523</v>
      </c>
      <c r="I403" s="52" t="s">
        <v>2</v>
      </c>
      <c r="J403" s="59" t="s">
        <v>2659</v>
      </c>
      <c r="K403" s="52" t="s">
        <v>2525</v>
      </c>
      <c r="L403" s="77" t="s">
        <v>2660</v>
      </c>
      <c r="M403" s="37" t="s">
        <v>2661</v>
      </c>
    </row>
    <row r="404" spans="1:13" ht="15.75" thickBot="1" x14ac:dyDescent="0.3">
      <c r="A404" s="50">
        <v>46001.717766203707</v>
      </c>
      <c r="B404" s="53" t="s">
        <v>953</v>
      </c>
      <c r="C404" s="53" t="s">
        <v>609</v>
      </c>
      <c r="D404" s="53" t="s">
        <v>2662</v>
      </c>
      <c r="E404" s="53" t="s">
        <v>10</v>
      </c>
      <c r="F404" s="57">
        <v>42501</v>
      </c>
      <c r="G404" s="53" t="s">
        <v>2663</v>
      </c>
      <c r="H404" s="53" t="s">
        <v>2664</v>
      </c>
      <c r="I404" s="53" t="s">
        <v>2</v>
      </c>
      <c r="J404" s="60" t="s">
        <v>2665</v>
      </c>
      <c r="K404" s="53" t="s">
        <v>2666</v>
      </c>
      <c r="L404" s="77" t="s">
        <v>2667</v>
      </c>
      <c r="M404" s="32" t="s">
        <v>2668</v>
      </c>
    </row>
    <row r="405" spans="1:13" ht="15.75" thickBot="1" x14ac:dyDescent="0.3">
      <c r="A405" s="49">
        <v>46001.719537037039</v>
      </c>
      <c r="B405" s="52" t="s">
        <v>10</v>
      </c>
      <c r="C405" s="52" t="s">
        <v>2219</v>
      </c>
      <c r="D405" s="52" t="s">
        <v>2594</v>
      </c>
      <c r="E405" s="52" t="s">
        <v>10</v>
      </c>
      <c r="F405" s="56">
        <v>42281</v>
      </c>
      <c r="G405" s="52" t="s">
        <v>2595</v>
      </c>
      <c r="H405" s="52" t="s">
        <v>2596</v>
      </c>
      <c r="I405" s="52" t="s">
        <v>2</v>
      </c>
      <c r="J405" s="59" t="s">
        <v>2669</v>
      </c>
      <c r="K405" s="52" t="s">
        <v>2598</v>
      </c>
      <c r="L405" s="77" t="s">
        <v>2670</v>
      </c>
      <c r="M405" s="37" t="s">
        <v>2671</v>
      </c>
    </row>
    <row r="406" spans="1:13" ht="15.75" thickBot="1" x14ac:dyDescent="0.3">
      <c r="A406" s="50">
        <v>46001.721944444442</v>
      </c>
      <c r="B406" s="53" t="s">
        <v>10</v>
      </c>
      <c r="C406" s="53" t="s">
        <v>2219</v>
      </c>
      <c r="D406" s="53" t="s">
        <v>2594</v>
      </c>
      <c r="E406" s="53" t="s">
        <v>10</v>
      </c>
      <c r="F406" s="57">
        <v>42281</v>
      </c>
      <c r="G406" s="53" t="s">
        <v>2595</v>
      </c>
      <c r="H406" s="53" t="s">
        <v>2596</v>
      </c>
      <c r="I406" s="53" t="s">
        <v>2</v>
      </c>
      <c r="J406" s="60" t="s">
        <v>2672</v>
      </c>
      <c r="K406" s="53" t="s">
        <v>2598</v>
      </c>
      <c r="L406" s="77" t="s">
        <v>2673</v>
      </c>
      <c r="M406" s="32" t="s">
        <v>2674</v>
      </c>
    </row>
    <row r="407" spans="1:13" ht="15.75" thickBot="1" x14ac:dyDescent="0.3">
      <c r="A407" s="49">
        <v>46001.722048611111</v>
      </c>
      <c r="B407" s="52" t="s">
        <v>953</v>
      </c>
      <c r="C407" s="52" t="s">
        <v>753</v>
      </c>
      <c r="D407" s="52" t="s">
        <v>2675</v>
      </c>
      <c r="E407" s="52" t="s">
        <v>28</v>
      </c>
      <c r="F407" s="56">
        <v>41991</v>
      </c>
      <c r="G407" s="52" t="s">
        <v>2676</v>
      </c>
      <c r="H407" s="52" t="s">
        <v>2677</v>
      </c>
      <c r="I407" s="52" t="s">
        <v>2</v>
      </c>
      <c r="J407" s="59" t="s">
        <v>2678</v>
      </c>
      <c r="K407" s="52" t="s">
        <v>2619</v>
      </c>
      <c r="L407" s="77" t="s">
        <v>2679</v>
      </c>
      <c r="M407" s="37" t="s">
        <v>2680</v>
      </c>
    </row>
    <row r="408" spans="1:13" ht="15.75" thickBot="1" x14ac:dyDescent="0.3">
      <c r="A408" s="50">
        <v>46001.724108796298</v>
      </c>
      <c r="B408" s="53" t="s">
        <v>10</v>
      </c>
      <c r="C408" s="53" t="s">
        <v>2219</v>
      </c>
      <c r="D408" s="53" t="s">
        <v>2681</v>
      </c>
      <c r="E408" s="53" t="s">
        <v>28</v>
      </c>
      <c r="F408" s="57">
        <v>41906</v>
      </c>
      <c r="G408" s="53" t="s">
        <v>2682</v>
      </c>
      <c r="H408" s="53" t="s">
        <v>2683</v>
      </c>
      <c r="I408" s="53" t="s">
        <v>66</v>
      </c>
      <c r="J408" s="60" t="s">
        <v>2684</v>
      </c>
      <c r="K408" s="53" t="s">
        <v>2685</v>
      </c>
      <c r="L408" s="77" t="s">
        <v>2686</v>
      </c>
      <c r="M408" s="32" t="s">
        <v>2687</v>
      </c>
    </row>
    <row r="409" spans="1:13" ht="15.75" thickBot="1" x14ac:dyDescent="0.3">
      <c r="A409" s="49">
        <v>46001.724340277775</v>
      </c>
      <c r="B409" s="52" t="s">
        <v>10</v>
      </c>
      <c r="C409" s="52" t="s">
        <v>435</v>
      </c>
      <c r="D409" s="52" t="s">
        <v>2688</v>
      </c>
      <c r="E409" s="52" t="s">
        <v>10</v>
      </c>
      <c r="F409" s="56">
        <v>41840</v>
      </c>
      <c r="G409" s="52" t="s">
        <v>2689</v>
      </c>
      <c r="H409" s="52" t="s">
        <v>2690</v>
      </c>
      <c r="I409" s="52" t="s">
        <v>2</v>
      </c>
      <c r="J409" s="59" t="s">
        <v>2691</v>
      </c>
      <c r="K409" s="52" t="s">
        <v>2692</v>
      </c>
      <c r="L409" s="77" t="s">
        <v>2693</v>
      </c>
      <c r="M409" s="37" t="s">
        <v>2694</v>
      </c>
    </row>
    <row r="410" spans="1:13" ht="15.75" thickBot="1" x14ac:dyDescent="0.3">
      <c r="A410" s="50">
        <v>46001.724421296298</v>
      </c>
      <c r="B410" s="53" t="s">
        <v>10</v>
      </c>
      <c r="C410" s="53" t="s">
        <v>2626</v>
      </c>
      <c r="D410" s="53" t="s">
        <v>2695</v>
      </c>
      <c r="E410" s="53" t="s">
        <v>10</v>
      </c>
      <c r="F410" s="57">
        <v>42563</v>
      </c>
      <c r="G410" s="53" t="s">
        <v>2696</v>
      </c>
      <c r="H410" s="53" t="s">
        <v>2697</v>
      </c>
      <c r="I410" s="53" t="s">
        <v>2</v>
      </c>
      <c r="J410" s="60" t="s">
        <v>2698</v>
      </c>
      <c r="K410" s="53" t="s">
        <v>2631</v>
      </c>
      <c r="L410" s="77" t="s">
        <v>2699</v>
      </c>
      <c r="M410" s="32" t="s">
        <v>2700</v>
      </c>
    </row>
    <row r="411" spans="1:13" ht="15.75" thickBot="1" x14ac:dyDescent="0.3">
      <c r="A411" s="49">
        <v>46001.725902777776</v>
      </c>
      <c r="B411" s="52" t="s">
        <v>10</v>
      </c>
      <c r="C411" s="52" t="s">
        <v>2219</v>
      </c>
      <c r="D411" s="52" t="s">
        <v>2701</v>
      </c>
      <c r="E411" s="52" t="s">
        <v>10</v>
      </c>
      <c r="F411" s="56">
        <v>41762</v>
      </c>
      <c r="G411" s="52" t="s">
        <v>2702</v>
      </c>
      <c r="H411" s="52" t="s">
        <v>2703</v>
      </c>
      <c r="I411" s="52" t="s">
        <v>66</v>
      </c>
      <c r="J411" s="59" t="s">
        <v>2704</v>
      </c>
      <c r="K411" s="52" t="s">
        <v>2705</v>
      </c>
      <c r="L411" s="77" t="s">
        <v>2706</v>
      </c>
      <c r="M411" s="37" t="s">
        <v>2707</v>
      </c>
    </row>
    <row r="412" spans="1:13" ht="15.75" thickBot="1" x14ac:dyDescent="0.3">
      <c r="A412" s="50">
        <v>46001.726261574076</v>
      </c>
      <c r="B412" s="53" t="s">
        <v>10</v>
      </c>
      <c r="C412" s="53" t="s">
        <v>2626</v>
      </c>
      <c r="D412" s="53" t="s">
        <v>2708</v>
      </c>
      <c r="E412" s="53" t="s">
        <v>2709</v>
      </c>
      <c r="F412" s="57">
        <v>42614</v>
      </c>
      <c r="G412" s="53" t="s">
        <v>2710</v>
      </c>
      <c r="H412" s="53" t="s">
        <v>2711</v>
      </c>
      <c r="I412" s="53" t="s">
        <v>2</v>
      </c>
      <c r="J412" s="60" t="s">
        <v>2712</v>
      </c>
      <c r="K412" s="53" t="s">
        <v>2631</v>
      </c>
      <c r="L412" s="77" t="s">
        <v>2713</v>
      </c>
      <c r="M412" s="32" t="s">
        <v>2714</v>
      </c>
    </row>
    <row r="413" spans="1:13" ht="15.75" thickBot="1" x14ac:dyDescent="0.3">
      <c r="A413" s="49">
        <v>46001.728530092594</v>
      </c>
      <c r="B413" s="52" t="s">
        <v>10</v>
      </c>
      <c r="C413" s="52" t="s">
        <v>2219</v>
      </c>
      <c r="D413" s="52" t="s">
        <v>2681</v>
      </c>
      <c r="E413" s="52" t="s">
        <v>28</v>
      </c>
      <c r="F413" s="56">
        <v>41906</v>
      </c>
      <c r="G413" s="52" t="s">
        <v>2682</v>
      </c>
      <c r="H413" s="52" t="s">
        <v>2683</v>
      </c>
      <c r="I413" s="52" t="s">
        <v>66</v>
      </c>
      <c r="J413" s="59" t="s">
        <v>2715</v>
      </c>
      <c r="K413" s="52" t="s">
        <v>2685</v>
      </c>
      <c r="L413" s="77" t="s">
        <v>2716</v>
      </c>
      <c r="M413" s="37" t="s">
        <v>2717</v>
      </c>
    </row>
    <row r="414" spans="1:13" ht="15.75" thickBot="1" x14ac:dyDescent="0.3">
      <c r="A414" s="50">
        <v>46001.731550925928</v>
      </c>
      <c r="B414" s="53" t="s">
        <v>953</v>
      </c>
      <c r="C414" s="53" t="s">
        <v>753</v>
      </c>
      <c r="D414" s="53" t="s">
        <v>2718</v>
      </c>
      <c r="E414" s="53" t="s">
        <v>28</v>
      </c>
      <c r="F414" s="57">
        <v>41868</v>
      </c>
      <c r="G414" s="53" t="s">
        <v>2719</v>
      </c>
      <c r="H414" s="53" t="s">
        <v>2720</v>
      </c>
      <c r="I414" s="53" t="s">
        <v>2</v>
      </c>
      <c r="J414" s="60" t="s">
        <v>2721</v>
      </c>
      <c r="K414" s="53" t="s">
        <v>1751</v>
      </c>
      <c r="L414" s="77" t="s">
        <v>2722</v>
      </c>
      <c r="M414" s="32" t="s">
        <v>2723</v>
      </c>
    </row>
    <row r="415" spans="1:13" ht="15.75" thickBot="1" x14ac:dyDescent="0.3">
      <c r="A415" s="49">
        <v>46001.733217592591</v>
      </c>
      <c r="B415" s="52" t="s">
        <v>10</v>
      </c>
      <c r="C415" s="52" t="s">
        <v>2219</v>
      </c>
      <c r="D415" s="52" t="s">
        <v>2538</v>
      </c>
      <c r="E415" s="52" t="s">
        <v>10</v>
      </c>
      <c r="F415" s="56">
        <v>41967</v>
      </c>
      <c r="G415" s="52" t="s">
        <v>2539</v>
      </c>
      <c r="H415" s="52" t="s">
        <v>2540</v>
      </c>
      <c r="I415" s="52" t="s">
        <v>66</v>
      </c>
      <c r="J415" s="59" t="s">
        <v>2724</v>
      </c>
      <c r="K415" s="52" t="s">
        <v>2542</v>
      </c>
      <c r="L415" s="77" t="s">
        <v>2725</v>
      </c>
      <c r="M415" s="37" t="s">
        <v>2726</v>
      </c>
    </row>
    <row r="416" spans="1:13" ht="15.75" thickBot="1" x14ac:dyDescent="0.3">
      <c r="A416" s="50">
        <v>46001.735162037039</v>
      </c>
      <c r="B416" s="53" t="s">
        <v>10</v>
      </c>
      <c r="C416" s="53" t="s">
        <v>441</v>
      </c>
      <c r="D416" s="53" t="s">
        <v>2727</v>
      </c>
      <c r="E416" s="53" t="s">
        <v>59</v>
      </c>
      <c r="F416" s="57">
        <v>42742</v>
      </c>
      <c r="G416" s="53" t="s">
        <v>2728</v>
      </c>
      <c r="H416" s="53" t="s">
        <v>2729</v>
      </c>
      <c r="I416" s="53" t="s">
        <v>2</v>
      </c>
      <c r="J416" s="60" t="s">
        <v>2730</v>
      </c>
      <c r="K416" s="53" t="s">
        <v>1383</v>
      </c>
      <c r="L416" s="77" t="s">
        <v>2731</v>
      </c>
      <c r="M416" s="32" t="s">
        <v>2732</v>
      </c>
    </row>
    <row r="417" spans="1:13" ht="15.75" thickBot="1" x14ac:dyDescent="0.3">
      <c r="A417" s="72">
        <v>46001.73715277778</v>
      </c>
      <c r="B417" s="84" t="s">
        <v>998</v>
      </c>
      <c r="C417" s="84" t="s">
        <v>2219</v>
      </c>
      <c r="D417" s="73" t="s">
        <v>2733</v>
      </c>
      <c r="E417" s="73" t="s">
        <v>10</v>
      </c>
      <c r="F417" s="74">
        <v>42192</v>
      </c>
      <c r="G417" s="73" t="s">
        <v>2734</v>
      </c>
      <c r="H417" s="73" t="s">
        <v>2735</v>
      </c>
      <c r="I417" s="73" t="s">
        <v>66</v>
      </c>
      <c r="J417" s="75" t="s">
        <v>2736</v>
      </c>
      <c r="K417" s="73" t="s">
        <v>2737</v>
      </c>
      <c r="L417" s="80" t="s">
        <v>3150</v>
      </c>
      <c r="M417" s="71"/>
    </row>
    <row r="418" spans="1:13" ht="15.75" thickBot="1" x14ac:dyDescent="0.3">
      <c r="A418" s="50">
        <v>46001.737349537034</v>
      </c>
      <c r="B418" s="53" t="s">
        <v>10</v>
      </c>
      <c r="C418" s="53" t="s">
        <v>2219</v>
      </c>
      <c r="D418" s="53" t="s">
        <v>2738</v>
      </c>
      <c r="E418" s="53" t="s">
        <v>2739</v>
      </c>
      <c r="F418" s="57">
        <v>41866</v>
      </c>
      <c r="G418" s="53" t="s">
        <v>2740</v>
      </c>
      <c r="H418" s="53" t="s">
        <v>2741</v>
      </c>
      <c r="I418" s="53" t="s">
        <v>66</v>
      </c>
      <c r="J418" s="60" t="s">
        <v>2742</v>
      </c>
      <c r="K418" s="53" t="s">
        <v>2743</v>
      </c>
      <c r="L418" s="78" t="s">
        <v>2744</v>
      </c>
      <c r="M418" s="32" t="s">
        <v>2745</v>
      </c>
    </row>
    <row r="419" spans="1:13" ht="15.75" thickBot="1" x14ac:dyDescent="0.3">
      <c r="A419" s="49">
        <v>46001.737627314818</v>
      </c>
      <c r="B419" s="52" t="s">
        <v>10</v>
      </c>
      <c r="C419" s="52" t="s">
        <v>441</v>
      </c>
      <c r="D419" s="52" t="s">
        <v>2746</v>
      </c>
      <c r="E419" s="52" t="s">
        <v>10</v>
      </c>
      <c r="F419" s="56">
        <v>42556</v>
      </c>
      <c r="G419" s="52" t="s">
        <v>2747</v>
      </c>
      <c r="H419" s="52" t="s">
        <v>2748</v>
      </c>
      <c r="I419" s="52" t="s">
        <v>66</v>
      </c>
      <c r="J419" s="59" t="s">
        <v>2749</v>
      </c>
      <c r="K419" s="52" t="s">
        <v>1383</v>
      </c>
      <c r="L419" s="77" t="s">
        <v>2750</v>
      </c>
      <c r="M419" s="37" t="s">
        <v>2751</v>
      </c>
    </row>
    <row r="420" spans="1:13" ht="15.75" thickBot="1" x14ac:dyDescent="0.3">
      <c r="A420" s="67">
        <v>46001.738854166666</v>
      </c>
      <c r="B420" s="85" t="s">
        <v>998</v>
      </c>
      <c r="C420" s="85" t="s">
        <v>2219</v>
      </c>
      <c r="D420" s="68" t="s">
        <v>2733</v>
      </c>
      <c r="E420" s="68" t="s">
        <v>28</v>
      </c>
      <c r="F420" s="69">
        <v>42192</v>
      </c>
      <c r="G420" s="68" t="s">
        <v>2734</v>
      </c>
      <c r="H420" s="68" t="s">
        <v>2735</v>
      </c>
      <c r="I420" s="68" t="s">
        <v>66</v>
      </c>
      <c r="J420" s="70" t="s">
        <v>2752</v>
      </c>
      <c r="K420" s="68" t="s">
        <v>2737</v>
      </c>
      <c r="L420" s="79" t="s">
        <v>3151</v>
      </c>
      <c r="M420" s="71"/>
    </row>
    <row r="421" spans="1:13" ht="15.75" thickBot="1" x14ac:dyDescent="0.3">
      <c r="A421" s="49">
        <v>46001.738969907405</v>
      </c>
      <c r="B421" s="52" t="s">
        <v>953</v>
      </c>
      <c r="C421" s="52" t="s">
        <v>753</v>
      </c>
      <c r="D421" s="52" t="s">
        <v>2753</v>
      </c>
      <c r="E421" s="52" t="s">
        <v>28</v>
      </c>
      <c r="F421" s="56">
        <v>41913</v>
      </c>
      <c r="G421" s="52" t="s">
        <v>2754</v>
      </c>
      <c r="H421" s="52" t="s">
        <v>2755</v>
      </c>
      <c r="I421" s="52" t="s">
        <v>2</v>
      </c>
      <c r="J421" s="59" t="s">
        <v>2756</v>
      </c>
      <c r="K421" s="52" t="s">
        <v>2619</v>
      </c>
      <c r="L421" s="77" t="s">
        <v>2757</v>
      </c>
      <c r="M421" s="37" t="s">
        <v>2758</v>
      </c>
    </row>
    <row r="422" spans="1:13" ht="15.75" thickBot="1" x14ac:dyDescent="0.3">
      <c r="A422" s="50">
        <v>46001.739976851852</v>
      </c>
      <c r="B422" s="53" t="s">
        <v>10</v>
      </c>
      <c r="C422" s="53" t="s">
        <v>2219</v>
      </c>
      <c r="D422" s="53" t="s">
        <v>2738</v>
      </c>
      <c r="E422" s="53" t="s">
        <v>2739</v>
      </c>
      <c r="F422" s="57">
        <v>41866</v>
      </c>
      <c r="G422" s="53" t="s">
        <v>2740</v>
      </c>
      <c r="H422" s="53" t="s">
        <v>2741</v>
      </c>
      <c r="I422" s="53" t="s">
        <v>66</v>
      </c>
      <c r="J422" s="60" t="s">
        <v>2759</v>
      </c>
      <c r="K422" s="53" t="s">
        <v>2743</v>
      </c>
      <c r="L422" s="78" t="s">
        <v>2760</v>
      </c>
      <c r="M422" s="32" t="s">
        <v>2761</v>
      </c>
    </row>
    <row r="423" spans="1:13" ht="15.75" thickBot="1" x14ac:dyDescent="0.3">
      <c r="A423" s="49">
        <v>46001.740555555552</v>
      </c>
      <c r="B423" s="52" t="s">
        <v>10</v>
      </c>
      <c r="C423" s="52" t="s">
        <v>441</v>
      </c>
      <c r="D423" s="52" t="s">
        <v>2762</v>
      </c>
      <c r="E423" s="52" t="s">
        <v>10</v>
      </c>
      <c r="F423" s="56">
        <v>42931</v>
      </c>
      <c r="G423" s="52" t="s">
        <v>2763</v>
      </c>
      <c r="H423" s="52" t="s">
        <v>2764</v>
      </c>
      <c r="I423" s="52" t="s">
        <v>2</v>
      </c>
      <c r="J423" s="59" t="s">
        <v>2765</v>
      </c>
      <c r="K423" s="52" t="s">
        <v>1383</v>
      </c>
      <c r="L423" s="77" t="s">
        <v>2766</v>
      </c>
      <c r="M423" s="37" t="s">
        <v>2767</v>
      </c>
    </row>
    <row r="424" spans="1:13" ht="15.75" thickBot="1" x14ac:dyDescent="0.3">
      <c r="A424" s="50">
        <v>46001.74322916667</v>
      </c>
      <c r="B424" s="53" t="s">
        <v>10</v>
      </c>
      <c r="C424" s="53" t="s">
        <v>441</v>
      </c>
      <c r="D424" s="53" t="s">
        <v>2768</v>
      </c>
      <c r="E424" s="53" t="s">
        <v>10</v>
      </c>
      <c r="F424" s="57">
        <v>42256</v>
      </c>
      <c r="G424" s="53" t="s">
        <v>2769</v>
      </c>
      <c r="H424" s="53" t="s">
        <v>2770</v>
      </c>
      <c r="I424" s="53" t="s">
        <v>2</v>
      </c>
      <c r="J424" s="60" t="s">
        <v>2771</v>
      </c>
      <c r="K424" s="53" t="s">
        <v>1383</v>
      </c>
      <c r="L424" s="78" t="s">
        <v>2772</v>
      </c>
      <c r="M424" s="32" t="s">
        <v>2773</v>
      </c>
    </row>
    <row r="425" spans="1:13" ht="15.75" thickBot="1" x14ac:dyDescent="0.3">
      <c r="A425" s="49">
        <v>46001.743622685186</v>
      </c>
      <c r="B425" s="52" t="s">
        <v>953</v>
      </c>
      <c r="C425" s="52" t="s">
        <v>725</v>
      </c>
      <c r="D425" s="52" t="s">
        <v>2774</v>
      </c>
      <c r="E425" s="52" t="s">
        <v>10</v>
      </c>
      <c r="F425" s="56">
        <v>41814</v>
      </c>
      <c r="G425" s="52" t="s">
        <v>2775</v>
      </c>
      <c r="H425" s="52" t="s">
        <v>2776</v>
      </c>
      <c r="I425" s="52" t="s">
        <v>2</v>
      </c>
      <c r="J425" s="59" t="s">
        <v>2777</v>
      </c>
      <c r="K425" s="52" t="s">
        <v>2778</v>
      </c>
      <c r="L425" s="78" t="s">
        <v>2779</v>
      </c>
      <c r="M425" s="37" t="s">
        <v>2780</v>
      </c>
    </row>
    <row r="426" spans="1:13" ht="15.75" thickBot="1" x14ac:dyDescent="0.3">
      <c r="A426" s="50">
        <v>46001.745706018519</v>
      </c>
      <c r="B426" s="53" t="s">
        <v>10</v>
      </c>
      <c r="C426" s="53" t="s">
        <v>2781</v>
      </c>
      <c r="D426" s="53" t="s">
        <v>2782</v>
      </c>
      <c r="E426" s="54">
        <v>42287</v>
      </c>
      <c r="F426" s="57">
        <v>42287</v>
      </c>
      <c r="G426" s="53" t="s">
        <v>2783</v>
      </c>
      <c r="H426" s="53" t="s">
        <v>2784</v>
      </c>
      <c r="I426" s="53" t="s">
        <v>66</v>
      </c>
      <c r="J426" s="60" t="s">
        <v>2785</v>
      </c>
      <c r="K426" s="53" t="s">
        <v>2786</v>
      </c>
      <c r="L426" s="78" t="s">
        <v>2787</v>
      </c>
      <c r="M426" s="32" t="s">
        <v>2788</v>
      </c>
    </row>
    <row r="427" spans="1:13" ht="15.75" thickBot="1" x14ac:dyDescent="0.3">
      <c r="A427" s="49">
        <v>46001.746759259258</v>
      </c>
      <c r="B427" s="52" t="s">
        <v>953</v>
      </c>
      <c r="C427" s="52" t="s">
        <v>753</v>
      </c>
      <c r="D427" s="52" t="s">
        <v>2789</v>
      </c>
      <c r="E427" s="52" t="s">
        <v>28</v>
      </c>
      <c r="F427" s="56">
        <v>41909</v>
      </c>
      <c r="G427" s="52" t="s">
        <v>2790</v>
      </c>
      <c r="H427" s="52" t="s">
        <v>2791</v>
      </c>
      <c r="I427" s="52" t="s">
        <v>2</v>
      </c>
      <c r="J427" s="59" t="s">
        <v>2792</v>
      </c>
      <c r="K427" s="52" t="s">
        <v>2619</v>
      </c>
      <c r="L427" s="78" t="s">
        <v>2793</v>
      </c>
      <c r="M427" s="37" t="s">
        <v>2794</v>
      </c>
    </row>
    <row r="428" spans="1:13" ht="15.75" thickBot="1" x14ac:dyDescent="0.3">
      <c r="A428" s="50">
        <v>46001.748194444444</v>
      </c>
      <c r="B428" s="53" t="s">
        <v>953</v>
      </c>
      <c r="C428" s="53" t="s">
        <v>753</v>
      </c>
      <c r="D428" s="53" t="s">
        <v>2795</v>
      </c>
      <c r="E428" s="53" t="s">
        <v>28</v>
      </c>
      <c r="F428" s="57">
        <v>42487</v>
      </c>
      <c r="G428" s="53" t="s">
        <v>2796</v>
      </c>
      <c r="H428" s="53" t="s">
        <v>2797</v>
      </c>
      <c r="I428" s="53" t="s">
        <v>2</v>
      </c>
      <c r="J428" s="60" t="s">
        <v>2798</v>
      </c>
      <c r="K428" s="53" t="s">
        <v>2799</v>
      </c>
      <c r="L428" s="78" t="s">
        <v>2800</v>
      </c>
      <c r="M428" s="32" t="s">
        <v>2801</v>
      </c>
    </row>
    <row r="429" spans="1:13" ht="15.75" thickBot="1" x14ac:dyDescent="0.3">
      <c r="A429" s="49">
        <v>46001.752442129633</v>
      </c>
      <c r="B429" s="52" t="s">
        <v>953</v>
      </c>
      <c r="C429" s="52" t="s">
        <v>753</v>
      </c>
      <c r="D429" s="52" t="s">
        <v>2802</v>
      </c>
      <c r="E429" s="52" t="s">
        <v>28</v>
      </c>
      <c r="F429" s="56">
        <v>41839</v>
      </c>
      <c r="G429" s="52" t="s">
        <v>2803</v>
      </c>
      <c r="H429" s="52" t="s">
        <v>2804</v>
      </c>
      <c r="I429" s="52" t="s">
        <v>2</v>
      </c>
      <c r="J429" s="59" t="s">
        <v>2805</v>
      </c>
      <c r="K429" s="52" t="s">
        <v>2799</v>
      </c>
      <c r="L429" s="78" t="s">
        <v>2806</v>
      </c>
      <c r="M429" s="37" t="s">
        <v>2807</v>
      </c>
    </row>
    <row r="430" spans="1:13" ht="15.75" thickBot="1" x14ac:dyDescent="0.3">
      <c r="A430" s="50">
        <v>46001.764884259261</v>
      </c>
      <c r="B430" s="53" t="s">
        <v>953</v>
      </c>
      <c r="C430" s="53" t="s">
        <v>753</v>
      </c>
      <c r="D430" s="53" t="s">
        <v>2808</v>
      </c>
      <c r="E430" s="53" t="s">
        <v>28</v>
      </c>
      <c r="F430" s="57">
        <v>42173</v>
      </c>
      <c r="G430" s="53" t="s">
        <v>2809</v>
      </c>
      <c r="H430" s="53" t="s">
        <v>2810</v>
      </c>
      <c r="I430" s="53" t="s">
        <v>2</v>
      </c>
      <c r="J430" s="60" t="s">
        <v>2811</v>
      </c>
      <c r="K430" s="53" t="s">
        <v>2619</v>
      </c>
      <c r="L430" s="78" t="s">
        <v>2812</v>
      </c>
      <c r="M430" s="32" t="s">
        <v>2813</v>
      </c>
    </row>
    <row r="431" spans="1:13" ht="15.75" thickBot="1" x14ac:dyDescent="0.3">
      <c r="A431" s="49">
        <v>46001.77065972222</v>
      </c>
      <c r="B431" s="52" t="s">
        <v>953</v>
      </c>
      <c r="C431" s="52" t="s">
        <v>725</v>
      </c>
      <c r="D431" s="52" t="s">
        <v>2814</v>
      </c>
      <c r="E431" s="52" t="s">
        <v>10</v>
      </c>
      <c r="F431" s="56">
        <v>41824</v>
      </c>
      <c r="G431" s="52" t="s">
        <v>2185</v>
      </c>
      <c r="H431" s="52" t="s">
        <v>2186</v>
      </c>
      <c r="I431" s="52" t="s">
        <v>2</v>
      </c>
      <c r="J431" s="59" t="s">
        <v>2815</v>
      </c>
      <c r="K431" s="52" t="s">
        <v>1740</v>
      </c>
      <c r="L431" s="78" t="s">
        <v>2816</v>
      </c>
      <c r="M431" s="37" t="s">
        <v>2817</v>
      </c>
    </row>
    <row r="432" spans="1:13" ht="15.75" thickBot="1" x14ac:dyDescent="0.3">
      <c r="A432" s="33">
        <v>46001.772291666668</v>
      </c>
      <c r="B432" s="34" t="s">
        <v>953</v>
      </c>
      <c r="C432" s="34" t="s">
        <v>725</v>
      </c>
      <c r="D432" s="34" t="s">
        <v>744</v>
      </c>
      <c r="E432" s="34" t="s">
        <v>10</v>
      </c>
      <c r="F432" s="35">
        <v>41824</v>
      </c>
      <c r="G432" s="34" t="s">
        <v>2185</v>
      </c>
      <c r="H432" s="34" t="s">
        <v>2186</v>
      </c>
      <c r="I432" s="34" t="s">
        <v>2</v>
      </c>
      <c r="J432" s="36" t="s">
        <v>2822</v>
      </c>
      <c r="K432" s="34" t="s">
        <v>1740</v>
      </c>
      <c r="L432" s="78" t="s">
        <v>2823</v>
      </c>
      <c r="M432" s="37" t="s">
        <v>2824</v>
      </c>
    </row>
    <row r="433" spans="1:13" ht="15.75" thickBot="1" x14ac:dyDescent="0.3">
      <c r="A433" s="28">
        <v>46001.772407407407</v>
      </c>
      <c r="B433" s="29" t="s">
        <v>953</v>
      </c>
      <c r="C433" s="29" t="s">
        <v>725</v>
      </c>
      <c r="D433" s="29" t="s">
        <v>2818</v>
      </c>
      <c r="E433" s="29" t="s">
        <v>10</v>
      </c>
      <c r="F433" s="30">
        <v>41814</v>
      </c>
      <c r="G433" s="29" t="s">
        <v>2775</v>
      </c>
      <c r="H433" s="29" t="s">
        <v>2776</v>
      </c>
      <c r="I433" s="29" t="s">
        <v>2</v>
      </c>
      <c r="J433" s="31" t="s">
        <v>2819</v>
      </c>
      <c r="K433" s="29" t="s">
        <v>2778</v>
      </c>
      <c r="L433" s="78" t="s">
        <v>2820</v>
      </c>
      <c r="M433" s="32" t="s">
        <v>2821</v>
      </c>
    </row>
    <row r="434" spans="1:13" ht="15.75" thickBot="1" x14ac:dyDescent="0.3">
      <c r="A434" s="50">
        <v>46001.781736111108</v>
      </c>
      <c r="B434" s="53" t="s">
        <v>10</v>
      </c>
      <c r="C434" s="53" t="s">
        <v>2219</v>
      </c>
      <c r="D434" s="53" t="s">
        <v>2825</v>
      </c>
      <c r="E434" s="53" t="s">
        <v>315</v>
      </c>
      <c r="F434" s="57">
        <v>41394</v>
      </c>
      <c r="G434" s="53" t="s">
        <v>2826</v>
      </c>
      <c r="H434" s="53" t="s">
        <v>2827</v>
      </c>
      <c r="I434" s="53" t="s">
        <v>2</v>
      </c>
      <c r="J434" s="60" t="s">
        <v>2828</v>
      </c>
      <c r="K434" s="53" t="s">
        <v>2829</v>
      </c>
      <c r="L434" s="78" t="s">
        <v>2830</v>
      </c>
      <c r="M434" s="32" t="s">
        <v>2831</v>
      </c>
    </row>
    <row r="435" spans="1:13" ht="15.75" thickBot="1" x14ac:dyDescent="0.3">
      <c r="A435" s="49">
        <v>46001.79478009259</v>
      </c>
      <c r="B435" s="52" t="s">
        <v>10</v>
      </c>
      <c r="C435" s="52" t="s">
        <v>2008</v>
      </c>
      <c r="D435" s="52" t="s">
        <v>2832</v>
      </c>
      <c r="E435" s="52" t="s">
        <v>28</v>
      </c>
      <c r="F435" s="56">
        <v>41818</v>
      </c>
      <c r="G435" s="52" t="s">
        <v>2833</v>
      </c>
      <c r="H435" s="52" t="s">
        <v>194</v>
      </c>
      <c r="I435" s="52" t="s">
        <v>66</v>
      </c>
      <c r="J435" s="59" t="s">
        <v>2834</v>
      </c>
      <c r="K435" s="52" t="s">
        <v>2013</v>
      </c>
      <c r="L435" s="78" t="s">
        <v>2835</v>
      </c>
      <c r="M435" s="37" t="s">
        <v>2836</v>
      </c>
    </row>
    <row r="436" spans="1:13" ht="15.75" thickBot="1" x14ac:dyDescent="0.3">
      <c r="A436" s="50">
        <v>46001.802997685183</v>
      </c>
      <c r="B436" s="53" t="s">
        <v>10</v>
      </c>
      <c r="C436" s="53" t="s">
        <v>2008</v>
      </c>
      <c r="D436" s="53" t="s">
        <v>2837</v>
      </c>
      <c r="E436" s="53" t="s">
        <v>28</v>
      </c>
      <c r="F436" s="57">
        <v>41926</v>
      </c>
      <c r="G436" s="53" t="s">
        <v>2838</v>
      </c>
      <c r="H436" s="53" t="s">
        <v>2839</v>
      </c>
      <c r="I436" s="53" t="s">
        <v>2</v>
      </c>
      <c r="J436" s="60" t="s">
        <v>2840</v>
      </c>
      <c r="K436" s="53" t="s">
        <v>2013</v>
      </c>
      <c r="L436" s="78" t="s">
        <v>2841</v>
      </c>
      <c r="M436" s="32" t="s">
        <v>2842</v>
      </c>
    </row>
    <row r="437" spans="1:13" ht="15.75" thickBot="1" x14ac:dyDescent="0.3">
      <c r="A437" s="28">
        <v>46001.811192129629</v>
      </c>
      <c r="B437" s="29" t="s">
        <v>10</v>
      </c>
      <c r="C437" s="29" t="s">
        <v>2008</v>
      </c>
      <c r="D437" s="29" t="s">
        <v>2850</v>
      </c>
      <c r="E437" s="29" t="s">
        <v>28</v>
      </c>
      <c r="F437" s="30">
        <v>42537</v>
      </c>
      <c r="G437" s="29" t="s">
        <v>2851</v>
      </c>
      <c r="H437" s="29" t="s">
        <v>2852</v>
      </c>
      <c r="I437" s="29" t="s">
        <v>66</v>
      </c>
      <c r="J437" s="31" t="s">
        <v>2853</v>
      </c>
      <c r="K437" s="29" t="s">
        <v>2013</v>
      </c>
      <c r="L437" s="78" t="s">
        <v>2854</v>
      </c>
      <c r="M437" s="32" t="s">
        <v>2855</v>
      </c>
    </row>
    <row r="438" spans="1:13" ht="15.75" thickBot="1" x14ac:dyDescent="0.3">
      <c r="A438" s="50">
        <v>46001.814513888887</v>
      </c>
      <c r="B438" s="53" t="s">
        <v>10</v>
      </c>
      <c r="C438" s="53" t="s">
        <v>435</v>
      </c>
      <c r="D438" s="53" t="s">
        <v>2843</v>
      </c>
      <c r="E438" s="53" t="s">
        <v>116</v>
      </c>
      <c r="F438" s="57">
        <v>42040</v>
      </c>
      <c r="G438" s="53" t="s">
        <v>2844</v>
      </c>
      <c r="H438" s="53" t="s">
        <v>2845</v>
      </c>
      <c r="I438" s="53" t="s">
        <v>2</v>
      </c>
      <c r="J438" s="60" t="s">
        <v>2863</v>
      </c>
      <c r="K438" s="53" t="s">
        <v>2847</v>
      </c>
      <c r="L438" s="78" t="s">
        <v>2864</v>
      </c>
      <c r="M438" s="32" t="s">
        <v>2865</v>
      </c>
    </row>
    <row r="439" spans="1:13" ht="15.75" thickBot="1" x14ac:dyDescent="0.3">
      <c r="A439" s="49">
        <v>46001.815567129626</v>
      </c>
      <c r="B439" s="52" t="s">
        <v>10</v>
      </c>
      <c r="C439" s="52" t="s">
        <v>435</v>
      </c>
      <c r="D439" s="52" t="s">
        <v>2843</v>
      </c>
      <c r="E439" s="52" t="s">
        <v>116</v>
      </c>
      <c r="F439" s="56">
        <v>42040</v>
      </c>
      <c r="G439" s="52" t="s">
        <v>2844</v>
      </c>
      <c r="H439" s="52" t="s">
        <v>2845</v>
      </c>
      <c r="I439" s="52" t="s">
        <v>2</v>
      </c>
      <c r="J439" s="59" t="s">
        <v>2846</v>
      </c>
      <c r="K439" s="52" t="s">
        <v>2847</v>
      </c>
      <c r="L439" s="78" t="s">
        <v>2848</v>
      </c>
      <c r="M439" s="37" t="s">
        <v>2849</v>
      </c>
    </row>
    <row r="440" spans="1:13" ht="15.75" thickBot="1" x14ac:dyDescent="0.3">
      <c r="A440" s="33">
        <v>46001.81621527778</v>
      </c>
      <c r="B440" s="34" t="s">
        <v>953</v>
      </c>
      <c r="C440" s="34" t="s">
        <v>725</v>
      </c>
      <c r="D440" s="34" t="s">
        <v>2866</v>
      </c>
      <c r="E440" s="34" t="s">
        <v>28</v>
      </c>
      <c r="F440" s="35">
        <v>41741</v>
      </c>
      <c r="G440" s="34" t="s">
        <v>2867</v>
      </c>
      <c r="H440" s="34" t="s">
        <v>2868</v>
      </c>
      <c r="I440" s="34" t="s">
        <v>2</v>
      </c>
      <c r="J440" s="36" t="s">
        <v>2869</v>
      </c>
      <c r="K440" s="34" t="s">
        <v>2870</v>
      </c>
      <c r="L440" s="78" t="s">
        <v>2871</v>
      </c>
      <c r="M440" s="37" t="s">
        <v>2872</v>
      </c>
    </row>
    <row r="441" spans="1:13" ht="15.75" thickBot="1" x14ac:dyDescent="0.3">
      <c r="A441" s="28">
        <v>46001.822812500002</v>
      </c>
      <c r="B441" s="29" t="s">
        <v>10</v>
      </c>
      <c r="C441" s="29" t="s">
        <v>435</v>
      </c>
      <c r="D441" s="29" t="s">
        <v>2843</v>
      </c>
      <c r="E441" s="29" t="s">
        <v>116</v>
      </c>
      <c r="F441" s="30">
        <v>42040</v>
      </c>
      <c r="G441" s="29" t="s">
        <v>2844</v>
      </c>
      <c r="H441" s="29" t="s">
        <v>2845</v>
      </c>
      <c r="I441" s="29" t="s">
        <v>2</v>
      </c>
      <c r="J441" s="31" t="s">
        <v>2873</v>
      </c>
      <c r="K441" s="29" t="s">
        <v>2874</v>
      </c>
      <c r="L441" s="78" t="s">
        <v>2875</v>
      </c>
      <c r="M441" s="32" t="s">
        <v>2876</v>
      </c>
    </row>
    <row r="442" spans="1:13" ht="15.75" thickBot="1" x14ac:dyDescent="0.3">
      <c r="A442" s="33">
        <v>46001.825578703705</v>
      </c>
      <c r="B442" s="34" t="s">
        <v>10</v>
      </c>
      <c r="C442" s="34" t="s">
        <v>435</v>
      </c>
      <c r="D442" s="34" t="s">
        <v>2856</v>
      </c>
      <c r="E442" s="34" t="s">
        <v>402</v>
      </c>
      <c r="F442" s="35">
        <v>42344</v>
      </c>
      <c r="G442" s="34" t="s">
        <v>2857</v>
      </c>
      <c r="H442" s="34" t="s">
        <v>2858</v>
      </c>
      <c r="I442" s="34" t="s">
        <v>2</v>
      </c>
      <c r="J442" s="36" t="s">
        <v>2859</v>
      </c>
      <c r="K442" s="34" t="s">
        <v>2860</v>
      </c>
      <c r="L442" s="78" t="s">
        <v>2861</v>
      </c>
      <c r="M442" s="37" t="s">
        <v>2862</v>
      </c>
    </row>
    <row r="443" spans="1:13" ht="15.75" thickBot="1" x14ac:dyDescent="0.3">
      <c r="A443" s="49">
        <v>46001.826249999998</v>
      </c>
      <c r="B443" s="52" t="s">
        <v>10</v>
      </c>
      <c r="C443" s="52" t="s">
        <v>435</v>
      </c>
      <c r="D443" s="52" t="s">
        <v>2843</v>
      </c>
      <c r="E443" s="52" t="s">
        <v>116</v>
      </c>
      <c r="F443" s="56">
        <v>42040</v>
      </c>
      <c r="G443" s="52" t="s">
        <v>2844</v>
      </c>
      <c r="H443" s="52" t="s">
        <v>2845</v>
      </c>
      <c r="I443" s="52" t="s">
        <v>2</v>
      </c>
      <c r="J443" s="59" t="s">
        <v>2877</v>
      </c>
      <c r="K443" s="52" t="s">
        <v>2874</v>
      </c>
      <c r="L443" s="78" t="s">
        <v>2878</v>
      </c>
      <c r="M443" s="37" t="s">
        <v>2879</v>
      </c>
    </row>
    <row r="444" spans="1:13" ht="15.75" thickBot="1" x14ac:dyDescent="0.3">
      <c r="A444" s="50">
        <v>46001.829861111109</v>
      </c>
      <c r="B444" s="53" t="s">
        <v>10</v>
      </c>
      <c r="C444" s="83" t="s">
        <v>2880</v>
      </c>
      <c r="D444" s="53" t="s">
        <v>2881</v>
      </c>
      <c r="E444" s="53" t="s">
        <v>365</v>
      </c>
      <c r="F444" s="57">
        <v>42709</v>
      </c>
      <c r="G444" s="53" t="s">
        <v>2882</v>
      </c>
      <c r="H444" s="53" t="s">
        <v>2883</v>
      </c>
      <c r="I444" s="53" t="s">
        <v>2</v>
      </c>
      <c r="J444" s="60" t="s">
        <v>2884</v>
      </c>
      <c r="K444" s="53" t="s">
        <v>2013</v>
      </c>
      <c r="L444" s="78" t="s">
        <v>2885</v>
      </c>
      <c r="M444" s="32" t="s">
        <v>2886</v>
      </c>
    </row>
    <row r="445" spans="1:13" ht="15.75" thickBot="1" x14ac:dyDescent="0.3">
      <c r="A445" s="49">
        <v>46001.832245370373</v>
      </c>
      <c r="B445" s="52" t="s">
        <v>10</v>
      </c>
      <c r="C445" s="52" t="s">
        <v>2008</v>
      </c>
      <c r="D445" s="52" t="s">
        <v>2009</v>
      </c>
      <c r="E445" s="52" t="s">
        <v>28</v>
      </c>
      <c r="F445" s="56">
        <v>42131</v>
      </c>
      <c r="G445" s="52" t="s">
        <v>2010</v>
      </c>
      <c r="H445" s="52" t="s">
        <v>2011</v>
      </c>
      <c r="I445" s="52" t="s">
        <v>2</v>
      </c>
      <c r="J445" s="59" t="s">
        <v>2887</v>
      </c>
      <c r="K445" s="52" t="s">
        <v>2013</v>
      </c>
      <c r="L445" s="78" t="s">
        <v>2888</v>
      </c>
      <c r="M445" s="37" t="s">
        <v>2889</v>
      </c>
    </row>
    <row r="446" spans="1:13" ht="15.75" thickBot="1" x14ac:dyDescent="0.3">
      <c r="A446" s="50">
        <v>46001.835046296299</v>
      </c>
      <c r="B446" s="53" t="s">
        <v>10</v>
      </c>
      <c r="C446" s="53" t="s">
        <v>435</v>
      </c>
      <c r="D446" s="53" t="s">
        <v>2890</v>
      </c>
      <c r="E446" s="53" t="s">
        <v>10</v>
      </c>
      <c r="F446" s="57">
        <v>42313</v>
      </c>
      <c r="G446" s="53" t="s">
        <v>2891</v>
      </c>
      <c r="H446" s="53" t="s">
        <v>2892</v>
      </c>
      <c r="I446" s="53" t="s">
        <v>66</v>
      </c>
      <c r="J446" s="60" t="s">
        <v>2893</v>
      </c>
      <c r="K446" s="53" t="s">
        <v>2894</v>
      </c>
      <c r="L446" s="78" t="s">
        <v>2895</v>
      </c>
      <c r="M446" s="32" t="s">
        <v>2896</v>
      </c>
    </row>
    <row r="447" spans="1:13" ht="15.75" thickBot="1" x14ac:dyDescent="0.3">
      <c r="A447" s="49">
        <v>46001.835127314815</v>
      </c>
      <c r="B447" s="52" t="s">
        <v>10</v>
      </c>
      <c r="C447" s="52" t="s">
        <v>435</v>
      </c>
      <c r="D447" s="52" t="s">
        <v>2843</v>
      </c>
      <c r="E447" s="52" t="s">
        <v>116</v>
      </c>
      <c r="F447" s="56">
        <v>42040</v>
      </c>
      <c r="G447" s="52" t="s">
        <v>2844</v>
      </c>
      <c r="H447" s="52" t="s">
        <v>2845</v>
      </c>
      <c r="I447" s="52" t="s">
        <v>2</v>
      </c>
      <c r="J447" s="59" t="s">
        <v>2897</v>
      </c>
      <c r="K447" s="52" t="s">
        <v>2898</v>
      </c>
      <c r="L447" s="78" t="s">
        <v>2899</v>
      </c>
      <c r="M447" s="37" t="s">
        <v>2900</v>
      </c>
    </row>
    <row r="448" spans="1:13" ht="15.75" thickBot="1" x14ac:dyDescent="0.3">
      <c r="A448" s="50">
        <v>46001.836400462962</v>
      </c>
      <c r="B448" s="53" t="s">
        <v>10</v>
      </c>
      <c r="C448" s="53" t="s">
        <v>435</v>
      </c>
      <c r="D448" s="53" t="s">
        <v>2890</v>
      </c>
      <c r="E448" s="53" t="s">
        <v>10</v>
      </c>
      <c r="F448" s="57">
        <v>42313</v>
      </c>
      <c r="G448" s="53" t="s">
        <v>2891</v>
      </c>
      <c r="H448" s="53" t="s">
        <v>2892</v>
      </c>
      <c r="I448" s="53" t="s">
        <v>66</v>
      </c>
      <c r="J448" s="60" t="s">
        <v>2901</v>
      </c>
      <c r="K448" s="53" t="s">
        <v>2894</v>
      </c>
      <c r="L448" s="78" t="s">
        <v>2902</v>
      </c>
      <c r="M448" s="32" t="s">
        <v>2903</v>
      </c>
    </row>
    <row r="449" spans="1:13" ht="15.75" thickBot="1" x14ac:dyDescent="0.3">
      <c r="A449" s="72">
        <v>46001.841666666667</v>
      </c>
      <c r="B449" s="73" t="s">
        <v>1317</v>
      </c>
      <c r="C449" s="73" t="s">
        <v>854</v>
      </c>
      <c r="D449" s="73" t="s">
        <v>2904</v>
      </c>
      <c r="E449" s="73" t="s">
        <v>116</v>
      </c>
      <c r="F449" s="74">
        <v>42171</v>
      </c>
      <c r="G449" s="73" t="s">
        <v>2905</v>
      </c>
      <c r="H449" s="73" t="s">
        <v>2906</v>
      </c>
      <c r="I449" s="73" t="s">
        <v>2</v>
      </c>
      <c r="J449" s="75" t="s">
        <v>2907</v>
      </c>
      <c r="K449" s="73" t="s">
        <v>2908</v>
      </c>
      <c r="L449" s="79" t="s">
        <v>3113</v>
      </c>
      <c r="M449" s="71"/>
    </row>
    <row r="450" spans="1:13" ht="15.75" thickBot="1" x14ac:dyDescent="0.3">
      <c r="A450" s="50">
        <v>46001.841921296298</v>
      </c>
      <c r="B450" s="53" t="s">
        <v>10</v>
      </c>
      <c r="C450" s="53" t="s">
        <v>435</v>
      </c>
      <c r="D450" s="53" t="s">
        <v>2843</v>
      </c>
      <c r="E450" s="53" t="s">
        <v>116</v>
      </c>
      <c r="F450" s="57">
        <v>42040</v>
      </c>
      <c r="G450" s="53" t="s">
        <v>2844</v>
      </c>
      <c r="H450" s="53" t="s">
        <v>2845</v>
      </c>
      <c r="I450" s="53" t="s">
        <v>2</v>
      </c>
      <c r="J450" s="60" t="s">
        <v>2909</v>
      </c>
      <c r="K450" s="53" t="s">
        <v>2898</v>
      </c>
      <c r="L450" s="78" t="s">
        <v>2910</v>
      </c>
      <c r="M450" s="32" t="s">
        <v>2911</v>
      </c>
    </row>
    <row r="451" spans="1:13" ht="15.75" thickBot="1" x14ac:dyDescent="0.3">
      <c r="A451" s="49">
        <v>46001.841967592591</v>
      </c>
      <c r="B451" s="52" t="s">
        <v>10</v>
      </c>
      <c r="C451" s="52" t="s">
        <v>435</v>
      </c>
      <c r="D451" s="52" t="s">
        <v>2890</v>
      </c>
      <c r="E451" s="52" t="s">
        <v>10</v>
      </c>
      <c r="F451" s="56">
        <v>42313</v>
      </c>
      <c r="G451" s="52" t="s">
        <v>2891</v>
      </c>
      <c r="H451" s="52" t="s">
        <v>2892</v>
      </c>
      <c r="I451" s="52" t="s">
        <v>66</v>
      </c>
      <c r="J451" s="59" t="s">
        <v>2912</v>
      </c>
      <c r="K451" s="52" t="s">
        <v>2894</v>
      </c>
      <c r="L451" s="78" t="s">
        <v>2913</v>
      </c>
      <c r="M451" s="37" t="s">
        <v>2914</v>
      </c>
    </row>
    <row r="452" spans="1:13" ht="15.75" thickBot="1" x14ac:dyDescent="0.3">
      <c r="A452" s="67">
        <v>46001.847418981481</v>
      </c>
      <c r="B452" s="68" t="s">
        <v>1317</v>
      </c>
      <c r="C452" s="68" t="s">
        <v>511</v>
      </c>
      <c r="D452" s="68" t="s">
        <v>1459</v>
      </c>
      <c r="E452" s="68" t="s">
        <v>1255</v>
      </c>
      <c r="F452" s="69">
        <v>41734</v>
      </c>
      <c r="G452" s="68" t="s">
        <v>1460</v>
      </c>
      <c r="H452" s="68" t="s">
        <v>1461</v>
      </c>
      <c r="I452" s="68" t="s">
        <v>66</v>
      </c>
      <c r="J452" s="70" t="s">
        <v>1462</v>
      </c>
      <c r="K452" s="68" t="s">
        <v>1463</v>
      </c>
      <c r="L452" s="79" t="s">
        <v>3054</v>
      </c>
      <c r="M452" s="71"/>
    </row>
    <row r="453" spans="1:13" ht="15.75" thickBot="1" x14ac:dyDescent="0.3">
      <c r="A453" s="72">
        <v>46001.852106481485</v>
      </c>
      <c r="B453" s="73" t="s">
        <v>1317</v>
      </c>
      <c r="C453" s="73" t="s">
        <v>511</v>
      </c>
      <c r="D453" s="73" t="s">
        <v>1843</v>
      </c>
      <c r="E453" s="73" t="s">
        <v>116</v>
      </c>
      <c r="F453" s="74">
        <v>41770</v>
      </c>
      <c r="G453" s="73" t="s">
        <v>1844</v>
      </c>
      <c r="H453" s="73" t="s">
        <v>2915</v>
      </c>
      <c r="I453" s="73" t="s">
        <v>2</v>
      </c>
      <c r="J453" s="75" t="s">
        <v>2916</v>
      </c>
      <c r="K453" s="73" t="s">
        <v>2917</v>
      </c>
      <c r="L453" s="79" t="s">
        <v>3114</v>
      </c>
      <c r="M453" s="71"/>
    </row>
    <row r="454" spans="1:13" ht="15.75" thickBot="1" x14ac:dyDescent="0.3">
      <c r="A454" s="67">
        <v>46001.859305555554</v>
      </c>
      <c r="B454" s="68" t="s">
        <v>1317</v>
      </c>
      <c r="C454" s="68" t="s">
        <v>854</v>
      </c>
      <c r="D454" s="68" t="s">
        <v>2918</v>
      </c>
      <c r="E454" s="68" t="s">
        <v>10</v>
      </c>
      <c r="F454" s="69">
        <v>42187</v>
      </c>
      <c r="G454" s="68" t="s">
        <v>2919</v>
      </c>
      <c r="H454" s="68" t="s">
        <v>2920</v>
      </c>
      <c r="I454" s="68" t="s">
        <v>66</v>
      </c>
      <c r="J454" s="70" t="s">
        <v>2921</v>
      </c>
      <c r="K454" s="68" t="s">
        <v>2922</v>
      </c>
      <c r="L454" s="79" t="s">
        <v>3115</v>
      </c>
      <c r="M454" s="71"/>
    </row>
    <row r="455" spans="1:13" ht="15.75" thickBot="1" x14ac:dyDescent="0.3">
      <c r="A455" s="28">
        <v>46001.869039351855</v>
      </c>
      <c r="B455" s="29" t="s">
        <v>953</v>
      </c>
      <c r="C455" s="29" t="s">
        <v>2923</v>
      </c>
      <c r="D455" s="29" t="s">
        <v>2924</v>
      </c>
      <c r="E455" s="29" t="s">
        <v>28</v>
      </c>
      <c r="F455" s="30">
        <v>41783</v>
      </c>
      <c r="G455" s="29" t="s">
        <v>2925</v>
      </c>
      <c r="H455" s="29" t="s">
        <v>2926</v>
      </c>
      <c r="I455" s="29" t="s">
        <v>2</v>
      </c>
      <c r="J455" s="31" t="s">
        <v>2927</v>
      </c>
      <c r="K455" s="29" t="s">
        <v>2928</v>
      </c>
      <c r="L455" s="78" t="s">
        <v>2929</v>
      </c>
      <c r="M455" s="32" t="s">
        <v>2930</v>
      </c>
    </row>
    <row r="456" spans="1:13" ht="15.75" thickBot="1" x14ac:dyDescent="0.3">
      <c r="A456" s="33">
        <v>46001.87296296296</v>
      </c>
      <c r="B456" s="34" t="s">
        <v>953</v>
      </c>
      <c r="C456" s="34" t="s">
        <v>2923</v>
      </c>
      <c r="D456" s="34" t="s">
        <v>2931</v>
      </c>
      <c r="E456" s="34" t="s">
        <v>28</v>
      </c>
      <c r="F456" s="35">
        <v>42162</v>
      </c>
      <c r="G456" s="34" t="s">
        <v>2932</v>
      </c>
      <c r="H456" s="34" t="s">
        <v>2933</v>
      </c>
      <c r="I456" s="34" t="s">
        <v>2</v>
      </c>
      <c r="J456" s="36" t="s">
        <v>2934</v>
      </c>
      <c r="K456" s="34" t="s">
        <v>2928</v>
      </c>
      <c r="L456" s="78" t="s">
        <v>2935</v>
      </c>
      <c r="M456" s="37" t="s">
        <v>2936</v>
      </c>
    </row>
    <row r="457" spans="1:13" ht="15.75" thickBot="1" x14ac:dyDescent="0.3">
      <c r="A457" s="28">
        <v>46001.876886574071</v>
      </c>
      <c r="B457" s="29" t="s">
        <v>953</v>
      </c>
      <c r="C457" s="29" t="s">
        <v>2923</v>
      </c>
      <c r="D457" s="29" t="s">
        <v>2937</v>
      </c>
      <c r="E457" s="29" t="s">
        <v>28</v>
      </c>
      <c r="F457" s="30">
        <v>42014</v>
      </c>
      <c r="G457" s="29" t="s">
        <v>2938</v>
      </c>
      <c r="H457" s="29" t="s">
        <v>2939</v>
      </c>
      <c r="I457" s="29" t="s">
        <v>2</v>
      </c>
      <c r="J457" s="31" t="s">
        <v>2940</v>
      </c>
      <c r="K457" s="29" t="s">
        <v>2941</v>
      </c>
      <c r="L457" s="78" t="s">
        <v>2942</v>
      </c>
      <c r="M457" s="32" t="s">
        <v>2943</v>
      </c>
    </row>
    <row r="458" spans="1:13" ht="15.75" thickBot="1" x14ac:dyDescent="0.3">
      <c r="A458" s="33">
        <v>46001.880648148152</v>
      </c>
      <c r="B458" s="34" t="s">
        <v>953</v>
      </c>
      <c r="C458" s="34" t="s">
        <v>2923</v>
      </c>
      <c r="D458" s="34" t="s">
        <v>2944</v>
      </c>
      <c r="E458" s="34" t="s">
        <v>28</v>
      </c>
      <c r="F458" s="35">
        <v>41225</v>
      </c>
      <c r="G458" s="34" t="s">
        <v>2945</v>
      </c>
      <c r="H458" s="34" t="s">
        <v>2946</v>
      </c>
      <c r="I458" s="34" t="s">
        <v>2</v>
      </c>
      <c r="J458" s="36" t="s">
        <v>2947</v>
      </c>
      <c r="K458" s="34" t="s">
        <v>2941</v>
      </c>
      <c r="L458" s="78" t="s">
        <v>2948</v>
      </c>
      <c r="M458" s="37" t="s">
        <v>2949</v>
      </c>
    </row>
    <row r="459" spans="1:13" ht="15.75" thickBot="1" x14ac:dyDescent="0.3">
      <c r="A459" s="28">
        <v>46001.882905092592</v>
      </c>
      <c r="B459" s="29" t="s">
        <v>953</v>
      </c>
      <c r="C459" s="29" t="s">
        <v>2923</v>
      </c>
      <c r="D459" s="29" t="s">
        <v>2950</v>
      </c>
      <c r="E459" s="29" t="s">
        <v>28</v>
      </c>
      <c r="F459" s="30">
        <v>41623</v>
      </c>
      <c r="G459" s="29" t="s">
        <v>2951</v>
      </c>
      <c r="H459" s="29" t="s">
        <v>2952</v>
      </c>
      <c r="I459" s="29" t="s">
        <v>2</v>
      </c>
      <c r="J459" s="31" t="s">
        <v>2953</v>
      </c>
      <c r="K459" s="29" t="s">
        <v>2941</v>
      </c>
      <c r="L459" s="78" t="s">
        <v>2954</v>
      </c>
      <c r="M459" s="32" t="s">
        <v>2955</v>
      </c>
    </row>
    <row r="460" spans="1:13" ht="15.75" thickBot="1" x14ac:dyDescent="0.3">
      <c r="A460" s="33">
        <v>46001.887673611112</v>
      </c>
      <c r="B460" s="34" t="s">
        <v>953</v>
      </c>
      <c r="C460" s="34" t="s">
        <v>2923</v>
      </c>
      <c r="D460" s="34" t="s">
        <v>2956</v>
      </c>
      <c r="E460" s="34" t="s">
        <v>28</v>
      </c>
      <c r="F460" s="35">
        <v>42439</v>
      </c>
      <c r="G460" s="34" t="s">
        <v>2957</v>
      </c>
      <c r="H460" s="34" t="s">
        <v>2958</v>
      </c>
      <c r="I460" s="34" t="s">
        <v>2</v>
      </c>
      <c r="J460" s="36" t="s">
        <v>2959</v>
      </c>
      <c r="K460" s="34" t="s">
        <v>2941</v>
      </c>
      <c r="L460" s="78" t="s">
        <v>2960</v>
      </c>
      <c r="M460" s="37" t="s">
        <v>2961</v>
      </c>
    </row>
    <row r="461" spans="1:13" ht="15.75" thickBot="1" x14ac:dyDescent="0.3">
      <c r="A461" s="28">
        <v>46001.890069444446</v>
      </c>
      <c r="B461" s="29" t="s">
        <v>953</v>
      </c>
      <c r="C461" s="29" t="s">
        <v>2923</v>
      </c>
      <c r="D461" s="29" t="s">
        <v>2962</v>
      </c>
      <c r="E461" s="29" t="s">
        <v>28</v>
      </c>
      <c r="F461" s="30">
        <v>41460</v>
      </c>
      <c r="G461" s="29" t="s">
        <v>2963</v>
      </c>
      <c r="H461" s="29" t="s">
        <v>2964</v>
      </c>
      <c r="I461" s="29" t="s">
        <v>2</v>
      </c>
      <c r="J461" s="31" t="s">
        <v>2965</v>
      </c>
      <c r="K461" s="29" t="s">
        <v>2941</v>
      </c>
      <c r="L461" s="77" t="s">
        <v>2966</v>
      </c>
      <c r="M461" s="32" t="s">
        <v>2967</v>
      </c>
    </row>
    <row r="462" spans="1:13" ht="15.75" thickBot="1" x14ac:dyDescent="0.3">
      <c r="A462" s="33">
        <v>46001.891412037039</v>
      </c>
      <c r="B462" s="34" t="s">
        <v>953</v>
      </c>
      <c r="C462" s="34" t="s">
        <v>2923</v>
      </c>
      <c r="D462" s="34" t="s">
        <v>2968</v>
      </c>
      <c r="E462" s="34" t="s">
        <v>28</v>
      </c>
      <c r="F462" s="35">
        <v>41647</v>
      </c>
      <c r="G462" s="34" t="s">
        <v>2969</v>
      </c>
      <c r="H462" s="34" t="s">
        <v>2970</v>
      </c>
      <c r="I462" s="34" t="s">
        <v>2</v>
      </c>
      <c r="J462" s="36" t="s">
        <v>2971</v>
      </c>
      <c r="K462" s="34" t="s">
        <v>2941</v>
      </c>
      <c r="L462" s="78" t="s">
        <v>2972</v>
      </c>
      <c r="M462" s="37" t="s">
        <v>2973</v>
      </c>
    </row>
    <row r="463" spans="1:13" ht="15.75" thickBot="1" x14ac:dyDescent="0.3">
      <c r="A463" s="28">
        <v>46001.893125000002</v>
      </c>
      <c r="B463" s="29" t="s">
        <v>10</v>
      </c>
      <c r="C463" s="29" t="s">
        <v>490</v>
      </c>
      <c r="D463" s="29" t="s">
        <v>2974</v>
      </c>
      <c r="E463" s="29" t="s">
        <v>28</v>
      </c>
      <c r="F463" s="30">
        <v>41965</v>
      </c>
      <c r="G463" s="29" t="s">
        <v>2975</v>
      </c>
      <c r="H463" s="29" t="s">
        <v>2976</v>
      </c>
      <c r="I463" s="29" t="s">
        <v>2</v>
      </c>
      <c r="J463" s="31" t="s">
        <v>2977</v>
      </c>
      <c r="K463" s="29" t="s">
        <v>2978</v>
      </c>
      <c r="L463" s="77" t="s">
        <v>2979</v>
      </c>
      <c r="M463" s="32" t="s">
        <v>2980</v>
      </c>
    </row>
    <row r="464" spans="1:13" ht="15.75" thickBot="1" x14ac:dyDescent="0.3">
      <c r="A464" s="33">
        <v>46001.893587962964</v>
      </c>
      <c r="B464" s="34" t="s">
        <v>953</v>
      </c>
      <c r="C464" s="34" t="s">
        <v>2923</v>
      </c>
      <c r="D464" s="34" t="s">
        <v>2981</v>
      </c>
      <c r="E464" s="34" t="s">
        <v>28</v>
      </c>
      <c r="F464" s="35">
        <v>41535</v>
      </c>
      <c r="G464" s="34" t="s">
        <v>2982</v>
      </c>
      <c r="H464" s="34" t="s">
        <v>2983</v>
      </c>
      <c r="I464" s="34" t="s">
        <v>66</v>
      </c>
      <c r="J464" s="36" t="s">
        <v>2984</v>
      </c>
      <c r="K464" s="34" t="s">
        <v>2941</v>
      </c>
      <c r="L464" s="78" t="s">
        <v>2985</v>
      </c>
      <c r="M464" s="37" t="s">
        <v>2986</v>
      </c>
    </row>
    <row r="465" spans="1:13" ht="15.75" thickBot="1" x14ac:dyDescent="0.3">
      <c r="A465" s="28">
        <v>46001.896817129629</v>
      </c>
      <c r="B465" s="29" t="s">
        <v>10</v>
      </c>
      <c r="C465" s="29" t="s">
        <v>490</v>
      </c>
      <c r="D465" s="29" t="s">
        <v>2974</v>
      </c>
      <c r="E465" s="29" t="s">
        <v>28</v>
      </c>
      <c r="F465" s="30">
        <v>41965</v>
      </c>
      <c r="G465" s="29" t="s">
        <v>2975</v>
      </c>
      <c r="H465" s="29" t="s">
        <v>2976</v>
      </c>
      <c r="I465" s="29" t="s">
        <v>2</v>
      </c>
      <c r="J465" s="31" t="s">
        <v>2987</v>
      </c>
      <c r="K465" s="29" t="s">
        <v>2978</v>
      </c>
      <c r="L465" s="77" t="s">
        <v>2988</v>
      </c>
      <c r="M465" s="32" t="s">
        <v>2989</v>
      </c>
    </row>
    <row r="466" spans="1:13" ht="15.75" thickBot="1" x14ac:dyDescent="0.3">
      <c r="A466" s="33">
        <v>46001.89744212963</v>
      </c>
      <c r="B466" s="34" t="s">
        <v>953</v>
      </c>
      <c r="C466" s="34" t="s">
        <v>2923</v>
      </c>
      <c r="D466" s="34" t="s">
        <v>2990</v>
      </c>
      <c r="E466" s="34" t="s">
        <v>365</v>
      </c>
      <c r="F466" s="35">
        <v>42319</v>
      </c>
      <c r="G466" s="34" t="s">
        <v>2991</v>
      </c>
      <c r="H466" s="34" t="s">
        <v>2992</v>
      </c>
      <c r="I466" s="34" t="s">
        <v>66</v>
      </c>
      <c r="J466" s="36" t="s">
        <v>2993</v>
      </c>
      <c r="K466" s="34" t="s">
        <v>2941</v>
      </c>
      <c r="L466" s="78" t="s">
        <v>2994</v>
      </c>
      <c r="M466" s="37" t="s">
        <v>2995</v>
      </c>
    </row>
    <row r="467" spans="1:13" ht="15.75" thickBot="1" x14ac:dyDescent="0.3">
      <c r="A467" s="28">
        <v>46001.95716435185</v>
      </c>
      <c r="B467" s="29" t="s">
        <v>10</v>
      </c>
      <c r="C467" s="29" t="s">
        <v>490</v>
      </c>
      <c r="D467" s="29" t="s">
        <v>2974</v>
      </c>
      <c r="E467" s="29" t="s">
        <v>28</v>
      </c>
      <c r="F467" s="30">
        <v>41965</v>
      </c>
      <c r="G467" s="29" t="s">
        <v>2975</v>
      </c>
      <c r="H467" s="29" t="s">
        <v>2976</v>
      </c>
      <c r="I467" s="29" t="s">
        <v>2</v>
      </c>
      <c r="J467" s="31" t="s">
        <v>2996</v>
      </c>
      <c r="K467" s="29" t="s">
        <v>2997</v>
      </c>
      <c r="L467" s="77" t="s">
        <v>2998</v>
      </c>
      <c r="M467" s="32" t="s">
        <v>2999</v>
      </c>
    </row>
    <row r="468" spans="1:13" ht="15.75" thickBot="1" x14ac:dyDescent="0.3">
      <c r="A468" s="40">
        <v>46002.112511574072</v>
      </c>
      <c r="B468" s="41" t="s">
        <v>10</v>
      </c>
      <c r="C468" s="41" t="s">
        <v>2219</v>
      </c>
      <c r="D468" s="41" t="s">
        <v>3000</v>
      </c>
      <c r="E468" s="41" t="s">
        <v>28</v>
      </c>
      <c r="F468" s="42">
        <v>42588</v>
      </c>
      <c r="G468" s="41" t="s">
        <v>2982</v>
      </c>
      <c r="H468" s="41" t="s">
        <v>2755</v>
      </c>
      <c r="I468" s="41" t="s">
        <v>2</v>
      </c>
      <c r="J468" s="43" t="s">
        <v>3001</v>
      </c>
      <c r="K468" s="41" t="s">
        <v>2542</v>
      </c>
      <c r="L468" s="81" t="s">
        <v>3002</v>
      </c>
      <c r="M468" s="44" t="s">
        <v>3003</v>
      </c>
    </row>
  </sheetData>
  <autoFilter ref="A1:M468" xr:uid="{14CE7836-5608-4EAE-A864-00EDFB41B9A3}">
    <sortState xmlns:xlrd2="http://schemas.microsoft.com/office/spreadsheetml/2017/richdata2" ref="A2:M468">
      <sortCondition ref="A1:A468"/>
    </sortState>
  </autoFilter>
  <sortState xmlns:xlrd2="http://schemas.microsoft.com/office/spreadsheetml/2017/richdata2" ref="A2:M468">
    <sortCondition ref="B2:B468"/>
    <sortCondition ref="C2:C468"/>
  </sortState>
  <phoneticPr fontId="9" type="noConversion"/>
  <conditionalFormatting sqref="L1:L1048576">
    <cfRule type="duplicateValues" dxfId="4" priority="1"/>
  </conditionalFormatting>
  <conditionalFormatting sqref="L2:L1048576">
    <cfRule type="duplicateValues" dxfId="3" priority="2"/>
  </conditionalFormatting>
  <hyperlinks>
    <hyperlink ref="J2" r:id="rId1" xr:uid="{3A2CD18C-06F8-4A2E-93C9-ECBDF1DA66F4}"/>
    <hyperlink ref="J3" r:id="rId2" xr:uid="{ED8B47F1-6D82-4F7C-803E-EB8FCE9762B1}"/>
    <hyperlink ref="M3" r:id="rId3" xr:uid="{419D3DC3-933D-4345-AC1B-0FF73FE40B6A}"/>
    <hyperlink ref="J4" r:id="rId4" xr:uid="{D146B49A-44C7-4B55-A858-8D2DF772B893}"/>
    <hyperlink ref="M4" r:id="rId5" xr:uid="{CFF66A68-099B-4619-BCDF-F78655976CF6}"/>
    <hyperlink ref="J5" r:id="rId6" xr:uid="{D996CC45-BCAF-4574-AF56-1F310213C6E3}"/>
    <hyperlink ref="M5" r:id="rId7" xr:uid="{1161CFBC-49D1-45AF-BAC2-2EF6EAF78DBC}"/>
    <hyperlink ref="J6" r:id="rId8" xr:uid="{2975513A-D648-4D6B-ABBD-297365A19988}"/>
    <hyperlink ref="M6" r:id="rId9" xr:uid="{44240A96-E978-4B7B-93BF-770441F93066}"/>
    <hyperlink ref="J7" r:id="rId10" xr:uid="{8A4E3FB3-827E-40CC-AB48-E73FE1BE374E}"/>
    <hyperlink ref="M7" r:id="rId11" xr:uid="{D64060B0-A470-4F85-A9EC-4B7E0CA2EB7B}"/>
    <hyperlink ref="J8" r:id="rId12" xr:uid="{8F37D730-1D2D-467E-B2ED-0C132B44497F}"/>
    <hyperlink ref="M8" r:id="rId13" xr:uid="{D7ACB1F0-7B9A-4A4D-A79C-D6B8C4A0D60B}"/>
    <hyperlink ref="J9" r:id="rId14" xr:uid="{7CF4E204-AFA1-46EA-A5FE-F4F93522FAE0}"/>
    <hyperlink ref="M9" r:id="rId15" xr:uid="{9B3C0791-1D46-4A43-AA0E-E6D875C12F88}"/>
    <hyperlink ref="J10" r:id="rId16" xr:uid="{5D3C3365-97D4-49E6-BB39-36EABF23CF95}"/>
    <hyperlink ref="M10" r:id="rId17" xr:uid="{789B8F08-15A8-4017-95A5-396F048398CA}"/>
    <hyperlink ref="J11" r:id="rId18" xr:uid="{820C9E42-B0CF-4C69-A6FA-8F2F8B330F9C}"/>
    <hyperlink ref="M11" r:id="rId19" xr:uid="{979D8E4A-B89A-4EAA-991A-00962A23C96E}"/>
    <hyperlink ref="J12" r:id="rId20" xr:uid="{EA54E14E-AE35-48A1-9598-06F42E25993B}"/>
    <hyperlink ref="M12" r:id="rId21" xr:uid="{B462B824-2022-4B4F-A307-B854B3ED93DB}"/>
    <hyperlink ref="J13" r:id="rId22" xr:uid="{8250F41D-76B5-438E-BCD3-B490A4050229}"/>
    <hyperlink ref="M13" r:id="rId23" xr:uid="{C6B74678-3835-4F6D-BF93-5E9658571E47}"/>
    <hyperlink ref="J14" r:id="rId24" xr:uid="{38982FB0-BD73-403E-BF1D-7C363951F309}"/>
    <hyperlink ref="M14" r:id="rId25" xr:uid="{BBDBA172-51E2-4AA5-8363-569F23EFD689}"/>
    <hyperlink ref="J15" r:id="rId26" xr:uid="{5A442CA3-7973-4C5A-AB03-5AD9F8F1F5AF}"/>
    <hyperlink ref="M15" r:id="rId27" xr:uid="{8E9908DD-335E-4456-9B41-96C04AC540FE}"/>
    <hyperlink ref="J16" r:id="rId28" xr:uid="{8FC2515D-549D-443D-AD65-85EC0D5C4F91}"/>
    <hyperlink ref="M16" r:id="rId29" xr:uid="{B802035F-1B25-4BF3-8EB7-B7633B911974}"/>
    <hyperlink ref="J17" r:id="rId30" xr:uid="{27938D73-EC20-4929-BD59-9C361A80B90F}"/>
    <hyperlink ref="M17" r:id="rId31" xr:uid="{DF1923E8-4647-4B69-9882-10876CEA4D96}"/>
    <hyperlink ref="J18" r:id="rId32" xr:uid="{8C33C098-DA1D-4C0C-A02F-D605DBE2628A}"/>
    <hyperlink ref="M18" r:id="rId33" xr:uid="{1DFB9AB4-73FD-44CF-969C-B62D266EE2CB}"/>
    <hyperlink ref="J19" r:id="rId34" xr:uid="{947F7D1D-4798-455F-89D6-5464D4454A90}"/>
    <hyperlink ref="M19" r:id="rId35" xr:uid="{F3FCA174-7259-4144-9C9C-7733E4DEEB13}"/>
    <hyperlink ref="J20" r:id="rId36" xr:uid="{D081BB37-6354-469D-9D41-4F7876F7F495}"/>
    <hyperlink ref="M20" r:id="rId37" xr:uid="{677DF8CA-D28E-42F3-B689-E5B9617A4951}"/>
    <hyperlink ref="J21" r:id="rId38" xr:uid="{7783125F-6B47-43F3-AD7D-F7CDE2E7E4AA}"/>
    <hyperlink ref="M21" r:id="rId39" xr:uid="{27ACEF20-AEC6-477E-ADC4-A430C7416852}"/>
    <hyperlink ref="J22" r:id="rId40" xr:uid="{AEF90CDD-16D1-43B8-A99E-5F80DE5155F3}"/>
    <hyperlink ref="M22" r:id="rId41" xr:uid="{8E72875E-BBB9-41EC-93A3-8BDF5E75E7BE}"/>
    <hyperlink ref="J23" r:id="rId42" xr:uid="{FCA046B6-3149-41D7-BE9A-014DCA1C5624}"/>
    <hyperlink ref="M23" r:id="rId43" xr:uid="{ED3B3D57-DF82-4939-A669-63CC57E0C22C}"/>
    <hyperlink ref="J24" r:id="rId44" xr:uid="{0054B5B0-5DC5-4B5C-B94E-7BC74B3ABEDD}"/>
    <hyperlink ref="M24" r:id="rId45" xr:uid="{5CEEA1D8-B97D-467F-AD71-ADF90ED23890}"/>
    <hyperlink ref="J25" r:id="rId46" xr:uid="{AC80D448-FFF8-4A7B-9B13-E9EB0DDD5200}"/>
    <hyperlink ref="M25" r:id="rId47" xr:uid="{2E595B70-7A37-42ED-9490-7E89DBFB4F3F}"/>
    <hyperlink ref="J26" r:id="rId48" xr:uid="{F159C755-6FFA-431F-8AB0-F45FAF9C6011}"/>
    <hyperlink ref="M26" r:id="rId49" xr:uid="{63C6B342-9556-4A0E-8CF1-006108D47197}"/>
    <hyperlink ref="J27" r:id="rId50" xr:uid="{F27A5F14-C7FA-436B-AA67-7B8FBECB0840}"/>
    <hyperlink ref="M27" r:id="rId51" xr:uid="{A5BEA9FE-C46E-41F3-9429-8D9888FB7957}"/>
    <hyperlink ref="J28" r:id="rId52" xr:uid="{84D8D552-DA40-416A-B968-1F49C85A8DF6}"/>
    <hyperlink ref="M28" r:id="rId53" xr:uid="{B29EFDB5-42AD-4C2A-87D0-254D8C78E802}"/>
    <hyperlink ref="J29" r:id="rId54" xr:uid="{33963D57-1F42-4055-9E9B-EC1CC4E4272A}"/>
    <hyperlink ref="M29" r:id="rId55" xr:uid="{9E809104-1545-4F74-A907-FD3783358D6A}"/>
    <hyperlink ref="J30" r:id="rId56" xr:uid="{15A34A32-C27F-413B-8F4D-A17E1F05408A}"/>
    <hyperlink ref="M30" r:id="rId57" xr:uid="{1A4E3806-12BC-4791-B30B-BB5A444A220A}"/>
    <hyperlink ref="J31" r:id="rId58" xr:uid="{E9794544-B5B8-407D-AD51-A579DCF7B15C}"/>
    <hyperlink ref="M31" r:id="rId59" xr:uid="{D72E03FE-AD23-43DC-9FB3-CEE6AC2A726E}"/>
    <hyperlink ref="J32" r:id="rId60" xr:uid="{3B8D55B6-5553-457A-A17F-02196943861C}"/>
    <hyperlink ref="M32" r:id="rId61" xr:uid="{33F4422B-8132-4AA6-B64D-E68444D97B08}"/>
    <hyperlink ref="J33" r:id="rId62" xr:uid="{EDE16E65-6ADC-44CB-9F87-4BDCBDB085E8}"/>
    <hyperlink ref="M33" r:id="rId63" xr:uid="{B5620F98-F440-4162-96EC-DB09A0E2C234}"/>
    <hyperlink ref="J34" r:id="rId64" xr:uid="{A18EAFFB-FB45-49CB-9670-C628CD08FF56}"/>
    <hyperlink ref="M34" r:id="rId65" xr:uid="{0F0CD2DA-A3D1-41D1-9195-4DC6F19BFB3B}"/>
    <hyperlink ref="J35" r:id="rId66" xr:uid="{EAA63603-C0EE-4CD3-A2CD-855F55BC7DAB}"/>
    <hyperlink ref="M35" r:id="rId67" xr:uid="{8FF55B63-B4FB-4269-8CC5-6589202204F7}"/>
    <hyperlink ref="J36" r:id="rId68" xr:uid="{BA794C5E-BB5C-423F-B12B-52DD012BA342}"/>
    <hyperlink ref="M36" r:id="rId69" xr:uid="{627BFFBD-E55D-445D-B334-E0E23DD9207C}"/>
    <hyperlink ref="J37" r:id="rId70" xr:uid="{BD9F62D9-5500-4424-982F-9DCA83F064B2}"/>
    <hyperlink ref="M37" r:id="rId71" xr:uid="{8EB4417D-0CD7-4182-A46A-9761E7CCD661}"/>
    <hyperlink ref="J38" r:id="rId72" xr:uid="{CB4AB9CF-DA63-4F88-8F79-F7ED0912894A}"/>
    <hyperlink ref="J39" r:id="rId73" xr:uid="{602A22FC-43D8-4EBB-823B-EFF9B579171B}"/>
    <hyperlink ref="M39" r:id="rId74" xr:uid="{6CCF32E9-9B61-44B0-B8E6-CBBF4A3B135A}"/>
    <hyperlink ref="J40" r:id="rId75" xr:uid="{745CC85E-4283-4A46-97EE-D65B085BA2FE}"/>
    <hyperlink ref="M40" r:id="rId76" xr:uid="{4D5410BF-3A13-49F7-93A6-1B331C279D96}"/>
    <hyperlink ref="J41" r:id="rId77" xr:uid="{583BAE13-0891-470B-9D5D-3B40E9BC7AB0}"/>
    <hyperlink ref="J42" r:id="rId78" xr:uid="{73E984BC-0C3B-4797-B666-A216039ACD0B}"/>
    <hyperlink ref="J43" r:id="rId79" xr:uid="{579861C7-DECD-45EF-8C73-7B7A42F330DA}"/>
    <hyperlink ref="J44" r:id="rId80" xr:uid="{91622164-8FC4-4D7A-9807-8A9CA7AEBF6C}"/>
    <hyperlink ref="J45" r:id="rId81" xr:uid="{910B57CF-6CB0-4B12-AB1A-B5344F4FA78F}"/>
    <hyperlink ref="J46" r:id="rId82" xr:uid="{B0E6A45B-41B4-4960-B98B-B913BE8724BE}"/>
    <hyperlink ref="J47" r:id="rId83" xr:uid="{619A3734-8363-4C6F-ADCF-F55D0D3F0AE5}"/>
    <hyperlink ref="M47" r:id="rId84" xr:uid="{6249BEF0-0E2E-4A3A-BE31-7336FF3844DD}"/>
    <hyperlink ref="J48" r:id="rId85" xr:uid="{CE27EAA2-1943-4A6B-9EE6-4BBF6B153FE5}"/>
    <hyperlink ref="J49" r:id="rId86" xr:uid="{C19363D5-4282-4875-B0F0-95F7BE866CF5}"/>
    <hyperlink ref="M49" r:id="rId87" xr:uid="{BB4FE6DF-0737-4ADD-A00B-5F96610C9D26}"/>
    <hyperlink ref="J50" r:id="rId88" xr:uid="{AA92B645-DB28-42B2-9656-3E8B91EED7AC}"/>
    <hyperlink ref="J51" r:id="rId89" xr:uid="{91C57377-D81C-4524-9C19-215D95E4968A}"/>
    <hyperlink ref="J52" r:id="rId90" xr:uid="{C6A2C9DD-EF63-4D55-A005-E39FA9169FE0}"/>
    <hyperlink ref="J53" r:id="rId91" xr:uid="{40F0F6DE-3C9E-4208-903F-93C45B6928AF}"/>
    <hyperlink ref="M53" r:id="rId92" xr:uid="{9D217828-54E9-4640-9996-D9FAF3D70CAC}"/>
    <hyperlink ref="J54" r:id="rId93" xr:uid="{7C6267FB-D3EA-4F8C-872E-B45BEE0750D2}"/>
    <hyperlink ref="M54" r:id="rId94" xr:uid="{4739721C-BC0F-4DC8-B5DF-C32E71746D2A}"/>
    <hyperlink ref="J55" r:id="rId95" xr:uid="{5D84B9FB-362A-4AF3-8D25-F255D1DD0C7B}"/>
    <hyperlink ref="M55" r:id="rId96" xr:uid="{9AC0A99F-8987-4400-ADE4-302B1ED9952A}"/>
    <hyperlink ref="J56" r:id="rId97" xr:uid="{D14EAA37-52C2-45FA-8667-F1232B851343}"/>
    <hyperlink ref="M56" r:id="rId98" xr:uid="{94B6F6FF-688F-4D82-AF55-513695F37569}"/>
    <hyperlink ref="J57" r:id="rId99" xr:uid="{1AE88898-6912-4C7B-9DBE-47C734A4B6DB}"/>
    <hyperlink ref="M57" r:id="rId100" xr:uid="{2C42B7ED-CF79-4148-A644-6A86EE49943A}"/>
    <hyperlink ref="J58" r:id="rId101" xr:uid="{5F1391DC-F172-4BC6-9AFB-C5A9DE0398CF}"/>
    <hyperlink ref="M58" r:id="rId102" xr:uid="{A6365995-33C8-45BD-82BE-74B9981AD67A}"/>
    <hyperlink ref="J59" r:id="rId103" xr:uid="{540A46D8-3839-452D-91DE-4D168ED62949}"/>
    <hyperlink ref="M59" r:id="rId104" xr:uid="{A0EC1BCB-D05C-4A50-9A8E-CD997C518F11}"/>
    <hyperlink ref="J60" r:id="rId105" xr:uid="{859FE567-601C-411B-9E33-C9EF64FEB0D1}"/>
    <hyperlink ref="J61" r:id="rId106" xr:uid="{A41202D6-3BE9-4E51-8098-446EF77AD235}"/>
    <hyperlink ref="J62" r:id="rId107" xr:uid="{03930EE3-69F2-4A9B-836B-5D55F126099A}"/>
    <hyperlink ref="J63" r:id="rId108" xr:uid="{F1C8AFF5-3B14-48BB-BD10-B1BF7F371C02}"/>
    <hyperlink ref="J64" r:id="rId109" xr:uid="{392D5F9A-2AAC-416E-98B2-D1C91BD40538}"/>
    <hyperlink ref="J65" r:id="rId110" xr:uid="{7D304510-5AA2-4D55-A467-A0E91B0FA662}"/>
    <hyperlink ref="J66" r:id="rId111" xr:uid="{1C34F24E-1D53-4B25-A4AB-B24EA1EBCDAF}"/>
    <hyperlink ref="J67" r:id="rId112" xr:uid="{002829B6-4183-4EDB-8A98-8F7773BF0592}"/>
    <hyperlink ref="M67" r:id="rId113" xr:uid="{87A01FEF-9028-40E1-B37D-4AA96B7D46C5}"/>
    <hyperlink ref="J68" r:id="rId114" xr:uid="{BA1D8AE0-81FD-43A1-81FC-58111CD9613E}"/>
    <hyperlink ref="J69" r:id="rId115" xr:uid="{BBE92477-E7CD-4682-9AF9-A50FD8517CD9}"/>
    <hyperlink ref="M69" r:id="rId116" xr:uid="{83772731-BD65-453A-A149-E5AF80642646}"/>
    <hyperlink ref="J70" r:id="rId117" xr:uid="{0B7DC796-E6BD-4B25-B6F2-94C8A06EB285}"/>
    <hyperlink ref="M70" r:id="rId118" xr:uid="{656824DF-646E-4ABD-B4BC-8AB4E6091F25}"/>
    <hyperlink ref="J71" r:id="rId119" xr:uid="{199D9BE6-E3A2-494D-B980-AD7DE3A6F0A2}"/>
    <hyperlink ref="M71" r:id="rId120" xr:uid="{EC77006F-207E-4A86-BBDF-5A56CCD78AAE}"/>
    <hyperlink ref="J72" r:id="rId121" xr:uid="{8AA48958-AFB2-4DA6-B62A-103BF3FD4DAD}"/>
    <hyperlink ref="M72" r:id="rId122" xr:uid="{8B4F0CD8-2664-4733-9299-23028C074CFA}"/>
    <hyperlink ref="J73" r:id="rId123" xr:uid="{D7B3F2E9-9B11-4356-B390-E5F8873B0AE9}"/>
    <hyperlink ref="M73" r:id="rId124" xr:uid="{F78A0E83-B005-48C3-AFAE-856AC0B1655A}"/>
    <hyperlink ref="J74" r:id="rId125" xr:uid="{151D67B1-7BB7-4E53-8231-6434B91114F8}"/>
    <hyperlink ref="M74" r:id="rId126" xr:uid="{15D00194-FD16-44F2-A941-43B02D7574DC}"/>
    <hyperlink ref="J75" r:id="rId127" xr:uid="{8A051EC3-E6D8-4861-9270-2E4C3E3B358E}"/>
    <hyperlink ref="M75" r:id="rId128" xr:uid="{44FE6A43-7C3F-43C4-83A8-BED823EC47CA}"/>
    <hyperlink ref="J76" r:id="rId129" xr:uid="{5BA3AB23-837F-4E10-A5FD-CDC0948564C0}"/>
    <hyperlink ref="J77" r:id="rId130" xr:uid="{5E5882F8-A79C-451B-9DFE-BBD49A2F8E79}"/>
    <hyperlink ref="M77" r:id="rId131" xr:uid="{3CF58641-A339-4658-83C8-484EB8F7A11B}"/>
    <hyperlink ref="J78" r:id="rId132" xr:uid="{346073C9-3912-4601-A03A-2198B9F20863}"/>
    <hyperlink ref="J79" r:id="rId133" xr:uid="{6B378544-411B-4D7E-A650-9C31089B6F5F}"/>
    <hyperlink ref="J80" r:id="rId134" xr:uid="{2021447C-D607-4A4F-95E4-AF1133757BDA}"/>
    <hyperlink ref="J81" r:id="rId135" xr:uid="{5D0549C6-5279-4467-9321-7B990619DDCC}"/>
    <hyperlink ref="J82" r:id="rId136" xr:uid="{9B676E99-B9EC-4A42-948A-A3040868897C}"/>
    <hyperlink ref="J83" r:id="rId137" xr:uid="{FB653053-5572-4E03-9FEC-155560256411}"/>
    <hyperlink ref="J84" r:id="rId138" xr:uid="{C59BBC92-BC28-4912-B5B7-7DFF1A49C3F9}"/>
    <hyperlink ref="J85" r:id="rId139" xr:uid="{10E25A5E-F1B0-4669-80C8-3B3CA2BCBE7F}"/>
    <hyperlink ref="J86" r:id="rId140" xr:uid="{CC1B4060-4836-425F-A3FA-FC540F002F90}"/>
    <hyperlink ref="M86" r:id="rId141" xr:uid="{5A659D6D-A462-42D6-870F-C61DF29346B5}"/>
    <hyperlink ref="J87" r:id="rId142" xr:uid="{9831D265-59F9-4BB9-BF89-4B312FF6D0CB}"/>
    <hyperlink ref="M87" r:id="rId143" xr:uid="{C57FE36D-6A26-4924-BE62-ED0041F1B379}"/>
    <hyperlink ref="J88" r:id="rId144" xr:uid="{67F14962-8F73-47B0-ACB5-4D88C9B8A31B}"/>
    <hyperlink ref="J89" r:id="rId145" xr:uid="{02533847-16C0-412F-A828-2BAB22C2A26B}"/>
    <hyperlink ref="M89" r:id="rId146" xr:uid="{74AF1CEA-5C50-497B-AB91-6468C2830974}"/>
    <hyperlink ref="J90" r:id="rId147" xr:uid="{B8C292C3-E97A-45B7-A5AD-D169D53CD2CA}"/>
    <hyperlink ref="M90" r:id="rId148" xr:uid="{B72BD346-C36D-4182-AC28-A032F2923B5A}"/>
    <hyperlink ref="J91" r:id="rId149" xr:uid="{349CA39D-69D6-45E9-B5A1-F6236CD1139A}"/>
    <hyperlink ref="M91" r:id="rId150" xr:uid="{B6026217-5EAF-4A0E-BBAE-7AB6BD1D2116}"/>
    <hyperlink ref="J92" r:id="rId151" xr:uid="{BBE1BA07-E3A4-4008-ADE2-DB5DB829A956}"/>
    <hyperlink ref="J93" r:id="rId152" xr:uid="{AAD77E5D-CC5F-49A1-BFB9-D5A0FDE7C16B}"/>
    <hyperlink ref="J94" r:id="rId153" xr:uid="{50EF12D4-D52E-4E4E-A986-FB404B06988D}"/>
    <hyperlink ref="J95" r:id="rId154" xr:uid="{44D30224-1366-4F2B-AC11-67226858E796}"/>
    <hyperlink ref="J96" r:id="rId155" xr:uid="{D7AF9A15-9A94-44D6-9D33-0C832D7D509B}"/>
    <hyperlink ref="M96" r:id="rId156" xr:uid="{6DB194BC-4562-45F4-AC70-47E54FC06FA3}"/>
    <hyperlink ref="J97" r:id="rId157" xr:uid="{7E51651A-8C7C-43B7-BA86-14D2ACF13E00}"/>
    <hyperlink ref="J98" r:id="rId158" xr:uid="{9E22D965-223D-4B3A-927A-1C9A1CD55AC9}"/>
    <hyperlink ref="J99" r:id="rId159" xr:uid="{F07292D2-8F60-49B5-8E27-3119B2FC7C86}"/>
    <hyperlink ref="M99" r:id="rId160" xr:uid="{CBB00F0C-DE3D-4B20-B5DA-3BE1C9580FA2}"/>
    <hyperlink ref="J100" r:id="rId161" xr:uid="{B8020DD6-6AA9-4A70-B5B0-09ECC7BCEF5E}"/>
    <hyperlink ref="M100" r:id="rId162" xr:uid="{36CD30C6-050D-42FE-8DBE-65CD305089EA}"/>
    <hyperlink ref="J101" r:id="rId163" xr:uid="{5A2C9CAA-F851-47D8-AD9A-696AB72AC807}"/>
    <hyperlink ref="M101" r:id="rId164" xr:uid="{39F7D222-3F3C-4513-943E-186F7CA9659D}"/>
    <hyperlink ref="J102" r:id="rId165" xr:uid="{008FE228-07F9-47DF-ACAF-1178C8CFA311}"/>
    <hyperlink ref="J103" r:id="rId166" xr:uid="{AFF42EC6-E43F-41C3-A084-B8B6C54A5497}"/>
    <hyperlink ref="M103" r:id="rId167" xr:uid="{B3BF0956-B8F7-4270-85C3-353AEB9E652D}"/>
    <hyperlink ref="J104" r:id="rId168" xr:uid="{EAD000B2-4FC5-413C-9300-1AC023DAE282}"/>
    <hyperlink ref="M104" r:id="rId169" xr:uid="{6F2EE435-34A3-4549-A163-19A88AFCCFC8}"/>
    <hyperlink ref="J105" r:id="rId170" xr:uid="{F2B6B1EA-DEA4-4D1F-A858-E28789B48C14}"/>
    <hyperlink ref="M105" r:id="rId171" xr:uid="{4682D42E-3495-44C3-888C-D6DC1195E632}"/>
    <hyperlink ref="J106" r:id="rId172" xr:uid="{CB655AF5-7344-42E4-BADE-D984B4CFF17F}"/>
    <hyperlink ref="M106" r:id="rId173" xr:uid="{8765AAA6-FE7D-45B2-A12E-94F8125BA263}"/>
    <hyperlink ref="J107" r:id="rId174" xr:uid="{7C56A3E9-F3D2-4C50-8533-3F9015B86CAA}"/>
    <hyperlink ref="J108" r:id="rId175" xr:uid="{DA79EA73-0D40-4AB4-864E-96BB2C2F6357}"/>
    <hyperlink ref="M108" r:id="rId176" xr:uid="{697D22F8-1B15-464B-B70C-CC587C4B5363}"/>
    <hyperlink ref="J109" r:id="rId177" xr:uid="{62A1A933-FB83-4832-AAF8-E09745746811}"/>
    <hyperlink ref="M109" r:id="rId178" xr:uid="{AEE52C7C-1E85-4E43-B25B-77054A58CBC4}"/>
    <hyperlink ref="J110" r:id="rId179" xr:uid="{03FBEEC2-C4EB-4D09-828A-2F38CD34F832}"/>
    <hyperlink ref="J111" r:id="rId180" xr:uid="{A5F9BF8F-D521-48FF-909B-C0FF2D9C2EA9}"/>
    <hyperlink ref="M111" r:id="rId181" xr:uid="{B6927E7E-2059-4E5B-843F-B258AAB81C9E}"/>
    <hyperlink ref="J112" r:id="rId182" xr:uid="{11E848BB-4D43-4C82-AED2-6A3E0CD2BF30}"/>
    <hyperlink ref="M112" r:id="rId183" xr:uid="{4A8B68D2-6B16-4C07-B0FE-AA5EDE6D489C}"/>
    <hyperlink ref="J113" r:id="rId184" xr:uid="{0F405308-5FAD-44F7-8840-7B555AFC494F}"/>
    <hyperlink ref="J114" r:id="rId185" xr:uid="{77518F29-F82A-406C-A4A0-D3E855735AFF}"/>
    <hyperlink ref="J115" r:id="rId186" xr:uid="{EA13049D-2F37-453A-9C03-89BF7C41D53C}"/>
    <hyperlink ref="J116" r:id="rId187" xr:uid="{638C6C4E-9F85-48E5-B6D6-F7A244571F10}"/>
    <hyperlink ref="M116" r:id="rId188" xr:uid="{8DBE325F-D220-4EBE-9A7C-3104EC56542C}"/>
    <hyperlink ref="J117" r:id="rId189" xr:uid="{110D922F-1BDD-440A-945D-53AC8B842AB0}"/>
    <hyperlink ref="M117" r:id="rId190" xr:uid="{6DA69422-DAF8-4213-A669-4EC6FBBA6494}"/>
    <hyperlink ref="J118" r:id="rId191" xr:uid="{B4A48299-AFCB-47B8-9407-14AF606BC4A2}"/>
    <hyperlink ref="M118" r:id="rId192" xr:uid="{E36E9AB1-1B61-475C-9D19-76C3142BD266}"/>
    <hyperlink ref="J119" r:id="rId193" xr:uid="{81AEF87D-AD4E-4A4A-9B0C-EB97D24F0E03}"/>
    <hyperlink ref="M119" r:id="rId194" xr:uid="{93E2E7A7-8E2F-416A-A7D5-97401FF0C454}"/>
    <hyperlink ref="J120" r:id="rId195" xr:uid="{BC1AB43D-9056-435F-8D77-970B3240E40B}"/>
    <hyperlink ref="M120" r:id="rId196" xr:uid="{2D6D232C-73A1-4D81-B67B-A1E259E11789}"/>
    <hyperlink ref="J121" r:id="rId197" xr:uid="{82F9CD6D-7700-44D4-A620-BA0766AC3CF4}"/>
    <hyperlink ref="M121" r:id="rId198" xr:uid="{697B0299-72C3-4CCB-AA76-820B633B5E60}"/>
    <hyperlink ref="J122" r:id="rId199" xr:uid="{CA151105-0A02-43F1-A40D-9EBA927C9496}"/>
    <hyperlink ref="M122" r:id="rId200" xr:uid="{3B1B08E7-6600-43DA-89F3-4471B4CE0472}"/>
    <hyperlink ref="J123" r:id="rId201" xr:uid="{F83A6A80-6C8D-46CE-A7E5-B8CF0CF39EC5}"/>
    <hyperlink ref="M123" r:id="rId202" xr:uid="{3D7C2C88-AF65-4144-8F1B-C988E2650F95}"/>
    <hyperlink ref="J124" r:id="rId203" xr:uid="{B16C275D-63D1-41C7-83EF-A88D367B3534}"/>
    <hyperlink ref="M124" r:id="rId204" xr:uid="{69590412-D814-4546-82AF-451B57F5DB26}"/>
    <hyperlink ref="J125" r:id="rId205" xr:uid="{5E2012B9-C5DE-40CC-BDB5-67BDF8EE77B8}"/>
    <hyperlink ref="J126" r:id="rId206" xr:uid="{04E54993-2C4B-4DC7-B555-64B8EC0ACE82}"/>
    <hyperlink ref="J127" r:id="rId207" xr:uid="{D2C63E93-52CE-45B5-9056-6776FB19D709}"/>
    <hyperlink ref="J128" r:id="rId208" xr:uid="{8AFCD691-479E-4CD5-B539-3A929526EB98}"/>
    <hyperlink ref="M128" r:id="rId209" xr:uid="{F179D00F-85A9-465D-9A5B-07E50D15B7A6}"/>
    <hyperlink ref="J129" r:id="rId210" xr:uid="{CEDCE0C8-0A00-4CAD-A07D-D6646569202F}"/>
    <hyperlink ref="M129" r:id="rId211" xr:uid="{B6385280-DDB5-4938-8FE4-285ADAE4BD41}"/>
    <hyperlink ref="J130" r:id="rId212" xr:uid="{B5800718-0CEE-4DC1-AB82-5ABF9C0B7F67}"/>
    <hyperlink ref="M130" r:id="rId213" xr:uid="{BCB73FA6-52E0-436C-81C3-B88AA5A2DF66}"/>
    <hyperlink ref="J131" r:id="rId214" xr:uid="{0FE21CF7-07E8-4EA3-BFF7-B901399A04FA}"/>
    <hyperlink ref="M131" r:id="rId215" xr:uid="{62A41279-C76B-4057-9D19-7ACEF98CA21B}"/>
    <hyperlink ref="J132" r:id="rId216" xr:uid="{08D8487A-22C0-446B-B109-24E9232B5D07}"/>
    <hyperlink ref="M132" r:id="rId217" xr:uid="{D9CE5851-A7EE-43C6-B5E4-2EA9FBA9F4EC}"/>
    <hyperlink ref="J133" r:id="rId218" xr:uid="{EB710680-5C5A-49C2-A0E4-BF009BE6E035}"/>
    <hyperlink ref="M133" r:id="rId219" xr:uid="{0E9A638B-DBB3-4BC6-9C56-D3E316B192B0}"/>
    <hyperlink ref="J134" r:id="rId220" xr:uid="{DFE94E23-AD84-4765-8E2A-F759E9CE2269}"/>
    <hyperlink ref="J135" r:id="rId221" xr:uid="{06F5D259-EDC5-4308-8866-40BAC1CA2BC5}"/>
    <hyperlink ref="J136" r:id="rId222" xr:uid="{9D615257-7F04-4D39-B9AB-0C030706F189}"/>
    <hyperlink ref="J137" r:id="rId223" xr:uid="{3C9ABF80-D71B-4CC2-8B20-CB94B6DE7E12}"/>
    <hyperlink ref="J138" r:id="rId224" xr:uid="{19BBD141-E0A9-4FE1-925F-C3305A452725}"/>
    <hyperlink ref="M138" r:id="rId225" xr:uid="{39663993-2B84-4EEB-900B-B8E2BBED24C2}"/>
    <hyperlink ref="J139" r:id="rId226" xr:uid="{4E577642-A81A-4E88-A3C0-C67C1AD874C8}"/>
    <hyperlink ref="M139" r:id="rId227" xr:uid="{A290CA87-1785-4ED1-9EB0-00B75F382C1F}"/>
    <hyperlink ref="J140" r:id="rId228" xr:uid="{1B131BC6-3852-4D92-9EDA-1D65ACBC6BF2}"/>
    <hyperlink ref="M140" r:id="rId229" xr:uid="{31CE3A44-537D-4602-B67C-3F4D0F11952D}"/>
    <hyperlink ref="J141" r:id="rId230" xr:uid="{DCDC86D6-B898-4599-A41E-D0BFA0C00463}"/>
    <hyperlink ref="M141" r:id="rId231" xr:uid="{082FC6BC-874A-4727-9FCF-DCC937E6BBB9}"/>
    <hyperlink ref="J142" r:id="rId232" xr:uid="{E58C6A88-B21A-43F1-B007-1B36FA5B8A2B}"/>
    <hyperlink ref="J143" r:id="rId233" xr:uid="{B9D69080-D8A9-4617-AD3C-D99CC262686E}"/>
    <hyperlink ref="M143" r:id="rId234" xr:uid="{4DD64A75-11A3-418C-871B-8484C86B9DF9}"/>
    <hyperlink ref="J144" r:id="rId235" xr:uid="{3700BA29-B10F-4B4E-ACD2-016E52F69364}"/>
    <hyperlink ref="M144" r:id="rId236" xr:uid="{6ABA5212-D148-4118-9697-A1CFBCBEA334}"/>
    <hyperlink ref="J452" r:id="rId237" xr:uid="{D062EF75-9F68-46A4-872B-922FE1B453F2}"/>
    <hyperlink ref="J145" r:id="rId238" xr:uid="{505599F4-9FFD-4716-BC51-51E24BFF2E02}"/>
    <hyperlink ref="M145" r:id="rId239" xr:uid="{C31D94AA-10B6-4F4D-93E1-A5F10D70892C}"/>
    <hyperlink ref="J146" r:id="rId240" xr:uid="{44C59F70-493F-4F74-AC32-19CC9B93D377}"/>
    <hyperlink ref="M146" r:id="rId241" xr:uid="{62181382-F168-4F4A-AD76-859F6006EB32}"/>
    <hyperlink ref="J147" r:id="rId242" xr:uid="{31C5A06A-AE4E-47A5-A9AB-E54FF3F2ADAA}"/>
    <hyperlink ref="M147" r:id="rId243" xr:uid="{A1C8DD7F-A778-4953-A30D-EE5BF1A38185}"/>
    <hyperlink ref="J148" r:id="rId244" xr:uid="{F43F616F-2EB0-4456-BF0C-973147E6C5E8}"/>
    <hyperlink ref="M148" r:id="rId245" xr:uid="{32559C34-F208-41EF-9707-41CD1311DAF0}"/>
    <hyperlink ref="J149" r:id="rId246" xr:uid="{8D812990-5CF5-42B5-BFF1-B939B67BA401}"/>
    <hyperlink ref="M149" r:id="rId247" xr:uid="{ED8012AA-65E1-4494-99C5-5ED6C5A5F578}"/>
    <hyperlink ref="J150" r:id="rId248" xr:uid="{B0C46892-7665-422E-9812-84D006349E19}"/>
    <hyperlink ref="M150" r:id="rId249" xr:uid="{1FC5F68A-0750-4CDA-AE79-9613F5FA743D}"/>
    <hyperlink ref="J151" r:id="rId250" xr:uid="{843D0D50-7906-420C-892A-BA97A1AEFFD8}"/>
    <hyperlink ref="M151" r:id="rId251" xr:uid="{DF68FA94-3CE9-47BA-A203-FE672F7EC0CD}"/>
    <hyperlink ref="J152" r:id="rId252" xr:uid="{330CE888-97FD-41AC-BEC4-E8652B4F9A25}"/>
    <hyperlink ref="M152" r:id="rId253" xr:uid="{7FADC0D3-B2EE-4E2D-BC5E-3E2BA9817781}"/>
    <hyperlink ref="J153" r:id="rId254" xr:uid="{F271B555-04A1-446D-A7B9-3DAC296E36F2}"/>
    <hyperlink ref="M153" r:id="rId255" xr:uid="{040BACEA-15D1-4262-B1FA-7D3BD825436C}"/>
    <hyperlink ref="J154" r:id="rId256" xr:uid="{6002CCD5-6C0F-4771-B6F6-D87B81DD11AB}"/>
    <hyperlink ref="M154" r:id="rId257" xr:uid="{C2206FF1-79A6-44A7-953F-900FEF9EC251}"/>
    <hyperlink ref="J155" r:id="rId258" xr:uid="{F549BD23-5657-4F4C-955D-B6C2A8F100C0}"/>
    <hyperlink ref="M155" r:id="rId259" xr:uid="{DC635B0C-8074-4399-AB31-0619DCA9EFD9}"/>
    <hyperlink ref="J156" r:id="rId260" xr:uid="{9876205F-B6A2-4945-A01E-EE75542BFE16}"/>
    <hyperlink ref="J157" r:id="rId261" xr:uid="{09F9F216-33E2-4D3D-AC58-41C8F710D6A8}"/>
    <hyperlink ref="M157" r:id="rId262" xr:uid="{0517473C-4387-4857-AC26-9788B204233A}"/>
    <hyperlink ref="J158" r:id="rId263" xr:uid="{E63C5586-728B-4FD8-A5D0-6DC22C8CFDFA}"/>
    <hyperlink ref="M158" r:id="rId264" xr:uid="{726573A8-7667-480F-8A14-F6C13D715E17}"/>
    <hyperlink ref="J160" r:id="rId265" xr:uid="{84496DAC-7FDF-497C-BD47-03C125FD2CF0}"/>
    <hyperlink ref="J159" r:id="rId266" xr:uid="{3F1259F6-1205-4F2A-933C-735C3DD2D216}"/>
    <hyperlink ref="M159" r:id="rId267" xr:uid="{73F9F6E9-6E6C-46B4-B9AB-B70DCBBC99CC}"/>
    <hyperlink ref="J161" r:id="rId268" xr:uid="{F5750B6F-5999-448A-AD9C-05D454BC7372}"/>
    <hyperlink ref="J162" r:id="rId269" xr:uid="{F2D13C28-0271-4C71-8BDC-E4F0078D9B6A}"/>
    <hyperlink ref="J163" r:id="rId270" xr:uid="{06D79663-D6D5-4221-B773-3F6E81A934A6}"/>
    <hyperlink ref="M163" r:id="rId271" xr:uid="{D5CC188A-5EAE-44B8-A6A2-B3A4E87508FE}"/>
    <hyperlink ref="J164" r:id="rId272" xr:uid="{6148ED14-449D-4D56-9C54-44A39A24F940}"/>
    <hyperlink ref="M164" r:id="rId273" xr:uid="{8C521D5A-B583-4F2D-8197-AC5A5EF834D9}"/>
    <hyperlink ref="J165" r:id="rId274" xr:uid="{188B0C86-AA02-4A58-93C1-9D5AEA935D97}"/>
    <hyperlink ref="J166" r:id="rId275" xr:uid="{370272DD-152E-4EFE-B4B2-F0E72E57EC06}"/>
    <hyperlink ref="J167" r:id="rId276" xr:uid="{4625EC87-626A-4FF6-B195-A171DDD13194}"/>
    <hyperlink ref="J168" r:id="rId277" xr:uid="{042E72DF-9863-48E2-8009-E8B7FF0E6988}"/>
    <hyperlink ref="M168" r:id="rId278" xr:uid="{6BA64D86-7748-4972-9EF9-B06396107A0D}"/>
    <hyperlink ref="J169" r:id="rId279" xr:uid="{A407E066-CACA-4BE1-BF69-0A52F4F8809B}"/>
    <hyperlink ref="M169" r:id="rId280" xr:uid="{4C8296FB-F52A-40E4-9368-99020E5274AC}"/>
    <hyperlink ref="J170" r:id="rId281" xr:uid="{88E84D92-BBB2-45E5-9D96-CB7BCFE368B5}"/>
    <hyperlink ref="M170" r:id="rId282" xr:uid="{498F862F-2C90-473D-862D-72670E79F9BE}"/>
    <hyperlink ref="J171" r:id="rId283" xr:uid="{4B52DB1C-A359-4658-97BA-D2780FD990E1}"/>
    <hyperlink ref="J172" r:id="rId284" xr:uid="{E7E21CBA-4DEF-4847-98BB-E102898E7540}"/>
    <hyperlink ref="M172" r:id="rId285" xr:uid="{5C9E2A49-4DC0-42BA-AA7B-0F13287DC94E}"/>
    <hyperlink ref="J173" r:id="rId286" xr:uid="{7929ABF8-E8B2-4188-809E-03781498BE5B}"/>
    <hyperlink ref="M173" r:id="rId287" xr:uid="{5C825A94-0F29-4738-A10F-912BAA5CCD1E}"/>
    <hyperlink ref="J174" r:id="rId288" xr:uid="{0A1326AE-61A4-4775-B27F-CF2680F2FA47}"/>
    <hyperlink ref="M174" r:id="rId289" xr:uid="{D65A0496-1CD0-441A-9102-0AEBAF9BAFCF}"/>
    <hyperlink ref="J175" r:id="rId290" xr:uid="{31BDD527-74F5-434E-B485-1B2149841E61}"/>
    <hyperlink ref="M175" r:id="rId291" xr:uid="{10F76431-8EB6-4E70-850B-AB989DBF0BBA}"/>
    <hyperlink ref="J176" r:id="rId292" xr:uid="{9B588F74-EB4D-4AA4-8686-A8C4ADFF112E}"/>
    <hyperlink ref="M176" r:id="rId293" xr:uid="{E54F48A4-CD06-44BC-889A-7F7D7D1BBDA9}"/>
    <hyperlink ref="J177" r:id="rId294" xr:uid="{F8656C27-85C8-4785-96E7-3E140F12CA0E}"/>
    <hyperlink ref="M177" r:id="rId295" xr:uid="{B06FE67A-2184-480D-9879-EE38A3352842}"/>
    <hyperlink ref="J178" r:id="rId296" xr:uid="{2884F174-60EF-445D-813B-C4273F365244}"/>
    <hyperlink ref="M178" r:id="rId297" xr:uid="{D17BCB07-FD7F-450A-B407-88BF45EF2E7C}"/>
    <hyperlink ref="J179" r:id="rId298" xr:uid="{CB9780B1-B9BF-4D91-A5F5-E6DA2D65075C}"/>
    <hyperlink ref="J180" r:id="rId299" xr:uid="{90E0C989-3E2D-4FD0-8A85-EE9CC706B2A2}"/>
    <hyperlink ref="M180" r:id="rId300" xr:uid="{C325111F-1219-412D-806E-0EC211E2AD6F}"/>
    <hyperlink ref="J181" r:id="rId301" xr:uid="{3AC6ED7B-626C-48A6-8F75-702D8AD4F89F}"/>
    <hyperlink ref="J182" r:id="rId302" xr:uid="{66C1A21F-6D71-4572-9638-489CAF3EC460}"/>
    <hyperlink ref="M182" r:id="rId303" xr:uid="{96B5F11F-7222-43D9-A757-C3642AADD86A}"/>
    <hyperlink ref="J183" r:id="rId304" xr:uid="{066AD2F7-B111-491C-9A28-5E836F721918}"/>
    <hyperlink ref="J184" r:id="rId305" xr:uid="{EBB56593-9411-478C-9874-41CBD814146D}"/>
    <hyperlink ref="M184" r:id="rId306" xr:uid="{B4EBD490-1F98-4094-9458-10D1FFC9DC64}"/>
    <hyperlink ref="J185" r:id="rId307" xr:uid="{29FCC18C-E7D5-4981-8B71-D15E5D4A0C42}"/>
    <hyperlink ref="J186" r:id="rId308" xr:uid="{EAADC93E-8391-4404-8122-0C7097F66EFD}"/>
    <hyperlink ref="M186" r:id="rId309" xr:uid="{C5010845-2CA5-4B9D-8E8E-AA3EF4D7272C}"/>
    <hyperlink ref="J187" r:id="rId310" xr:uid="{D6D00AF8-C5AF-4A7C-AC66-1C8840672426}"/>
    <hyperlink ref="J188" r:id="rId311" xr:uid="{5A0DB0E6-9863-495D-9D46-AFB9F0129C11}"/>
    <hyperlink ref="M188" r:id="rId312" xr:uid="{DD98DC23-F6BE-4F6C-AC85-6CDEF1B19FD9}"/>
    <hyperlink ref="J189" r:id="rId313" xr:uid="{8B64163E-08FB-4B95-8AE9-3DC4278B9707}"/>
    <hyperlink ref="J190" r:id="rId314" xr:uid="{ABEBAA3B-F167-4A84-BB8A-2C2294175FFF}"/>
    <hyperlink ref="J191" r:id="rId315" xr:uid="{BD4E8BCF-9B93-4F89-88DD-90E3CE1D28C7}"/>
    <hyperlink ref="M191" r:id="rId316" xr:uid="{FF140738-876F-40D7-B206-9D54C57BD88C}"/>
    <hyperlink ref="J192" r:id="rId317" xr:uid="{F74C3565-9253-4E20-AD4D-8A931E3A9249}"/>
    <hyperlink ref="M192" r:id="rId318" xr:uid="{A8AD24AD-B49C-4F01-8D6F-06D3B2C56917}"/>
    <hyperlink ref="J193" r:id="rId319" xr:uid="{B0FEC65C-8196-456C-93F1-764D2F1B73BC}"/>
    <hyperlink ref="M193" r:id="rId320" xr:uid="{4F517E14-8D58-45E5-A79B-26C0F3444820}"/>
    <hyperlink ref="J194" r:id="rId321" xr:uid="{B5511ADE-B2A2-4C6C-9277-FFF6A5823321}"/>
    <hyperlink ref="M194" r:id="rId322" xr:uid="{B58CFEBA-A28E-4DB9-B646-BCF46051501A}"/>
    <hyperlink ref="J195" r:id="rId323" xr:uid="{9350CC49-7150-439F-9D6D-4675B953C519}"/>
    <hyperlink ref="M195" r:id="rId324" xr:uid="{0DF076F0-5C6D-479B-8381-E50A9C08C98B}"/>
    <hyperlink ref="J196" r:id="rId325" xr:uid="{5D1CB6A9-3C95-4606-88F5-1EE4423CACC5}"/>
    <hyperlink ref="M196" r:id="rId326" xr:uid="{4C99FBF0-BA77-4294-B716-7E1DF1092563}"/>
    <hyperlink ref="J197" r:id="rId327" xr:uid="{D2955A5E-A67C-4F2E-92C8-37F87A70689F}"/>
    <hyperlink ref="M197" r:id="rId328" xr:uid="{E6C1C692-323A-4D95-80B0-2D5D98D559C3}"/>
    <hyperlink ref="J198" r:id="rId329" xr:uid="{AFDDA35B-472F-4D56-8E17-258FE3C26D4B}"/>
    <hyperlink ref="M198" r:id="rId330" xr:uid="{DA1EEA1A-1F0A-462F-AB24-1859F8A0F61E}"/>
    <hyperlink ref="J199" r:id="rId331" xr:uid="{DE3AFEF5-4376-4D35-B426-BFA18E0C85CA}"/>
    <hyperlink ref="J200" r:id="rId332" xr:uid="{7DEA4431-6847-47EC-9E49-9B689C8B3765}"/>
    <hyperlink ref="J201" r:id="rId333" xr:uid="{CF328FB8-A015-4F36-A359-DC9CE744913E}"/>
    <hyperlink ref="J202" r:id="rId334" xr:uid="{EF15FCC3-1A01-46E6-A13A-BA3DD90A6FFB}"/>
    <hyperlink ref="J203" r:id="rId335" xr:uid="{7445610E-776F-4257-9D42-D68CDD5EE250}"/>
    <hyperlink ref="M203" r:id="rId336" xr:uid="{C6BDF550-0E38-49A8-92DF-62BF468AAC33}"/>
    <hyperlink ref="J204" r:id="rId337" xr:uid="{09F2E1FC-EA3F-4454-8A4F-3066BD17007F}"/>
    <hyperlink ref="J205" r:id="rId338" xr:uid="{571A01AC-D150-4346-A7BC-6F835259146A}"/>
    <hyperlink ref="M205" r:id="rId339" xr:uid="{B5E782A4-D49E-43C7-AA9E-7760033A7445}"/>
    <hyperlink ref="J206" r:id="rId340" xr:uid="{0725D69E-C959-4CA7-9D01-8BB37D3F050D}"/>
    <hyperlink ref="M206" r:id="rId341" xr:uid="{297DC7C0-D6B1-4915-A17D-2F37505D8AD5}"/>
    <hyperlink ref="J207" r:id="rId342" xr:uid="{F7284DEA-54D1-481A-BD1F-2BAE8B992D8F}"/>
    <hyperlink ref="M207" r:id="rId343" xr:uid="{7B5FDE00-DEE0-4EBE-B0C3-A4FA7DCFC2D0}"/>
    <hyperlink ref="J208" r:id="rId344" xr:uid="{4A8F37FE-F35B-4CB1-B79B-A68F25C8295D}"/>
    <hyperlink ref="M208" r:id="rId345" xr:uid="{8A389E1C-B222-4BDB-B8AE-1335FD5DD627}"/>
    <hyperlink ref="J209" r:id="rId346" xr:uid="{95B58D02-8BAF-4A91-B4F5-3656AA87D3F2}"/>
    <hyperlink ref="J210" r:id="rId347" xr:uid="{A7C70F44-E583-4FEA-98AD-8576C66A9F63}"/>
    <hyperlink ref="M210" r:id="rId348" xr:uid="{32543AD1-1634-4780-A4AF-17D5B8EE89FF}"/>
    <hyperlink ref="J211" r:id="rId349" xr:uid="{B3A2C245-BE27-4CA3-BE53-9C4389F01DA6}"/>
    <hyperlink ref="J212" r:id="rId350" xr:uid="{C1F8B8B6-21C5-4BCC-ADEB-4D54732E5B8E}"/>
    <hyperlink ref="J213" r:id="rId351" xr:uid="{1161F7AA-D55A-4B8D-8237-1637614D2B22}"/>
    <hyperlink ref="J214" r:id="rId352" xr:uid="{577C75B8-A30C-4419-B287-D79008EF29E4}"/>
    <hyperlink ref="J215" r:id="rId353" xr:uid="{A0BF286B-3E80-4FB3-8628-8D31412D18A8}"/>
    <hyperlink ref="J216" r:id="rId354" xr:uid="{342A7F28-A46F-4661-B3DE-F6F7403313F1}"/>
    <hyperlink ref="J217" r:id="rId355" xr:uid="{5C5CCB84-955E-4C0C-9D94-C78F45D29FD8}"/>
    <hyperlink ref="M217" r:id="rId356" xr:uid="{15FD159A-1832-4D0F-8428-70C3EFFD7AD8}"/>
    <hyperlink ref="J218" r:id="rId357" xr:uid="{4E231131-F4C6-489F-A4ED-E4F15769EDC5}"/>
    <hyperlink ref="J219" r:id="rId358" xr:uid="{220DB9A7-D0B6-4397-9A1C-FF7974A58E91}"/>
    <hyperlink ref="J220" r:id="rId359" xr:uid="{A9662499-5A63-498D-A2F4-93585A392E3B}"/>
    <hyperlink ref="M220" r:id="rId360" xr:uid="{17623128-6F8C-4FA1-874A-604810197240}"/>
    <hyperlink ref="J221" r:id="rId361" xr:uid="{B2BD3734-1CEC-43B5-A333-6BC644856FF9}"/>
    <hyperlink ref="J222" r:id="rId362" xr:uid="{A1517E97-ABDB-4E1A-A9C6-F0BA381204C4}"/>
    <hyperlink ref="J223" r:id="rId363" xr:uid="{C901ACE5-A8FB-4D8E-A979-148D83E2AB68}"/>
    <hyperlink ref="J224" r:id="rId364" xr:uid="{E1082F8A-9334-449D-9411-DF4D812EA11B}"/>
    <hyperlink ref="J225" r:id="rId365" xr:uid="{CEB397A4-0DE1-43FB-9D74-3765B1C0504E}"/>
    <hyperlink ref="M225" r:id="rId366" xr:uid="{ED2A741A-95E5-41A4-8CA7-55F780E6E9A2}"/>
    <hyperlink ref="J226" r:id="rId367" xr:uid="{597B9505-9B44-430D-8AB2-FE6DF87508EC}"/>
    <hyperlink ref="M226" r:id="rId368" xr:uid="{B6099A7C-0526-45D9-9BFB-90DA9916467D}"/>
    <hyperlink ref="J227" r:id="rId369" xr:uid="{BDC51987-8A75-44C2-A539-52EFD939F6FC}"/>
    <hyperlink ref="J228" r:id="rId370" xr:uid="{5398B813-0166-4C9D-A67D-742821E29CBF}"/>
    <hyperlink ref="M228" r:id="rId371" xr:uid="{2C159340-A11F-4F7F-A2F8-6241EE2D13B1}"/>
    <hyperlink ref="J229" r:id="rId372" xr:uid="{FBED756D-7982-4754-B1D7-8A2A99377004}"/>
    <hyperlink ref="J230" r:id="rId373" xr:uid="{B05919A9-7B00-41AB-9C57-A7B6DB8F701F}"/>
    <hyperlink ref="M230" r:id="rId374" xr:uid="{267462B1-E171-4EB2-B038-F8C5DB92863C}"/>
    <hyperlink ref="J231" r:id="rId375" xr:uid="{15C99D08-2598-4A77-B6D8-6C4A9B4164A7}"/>
    <hyperlink ref="M231" r:id="rId376" xr:uid="{321C13A7-7DC7-492F-AE25-EA9984DF78A8}"/>
    <hyperlink ref="J232" r:id="rId377" xr:uid="{C132A496-DA35-4FBF-9047-1D9DFF84521F}"/>
    <hyperlink ref="M232" r:id="rId378" xr:uid="{757C7B1B-78E0-419B-9F48-E731452CA62E}"/>
    <hyperlink ref="J233" r:id="rId379" xr:uid="{E377DE03-C524-4D02-BCB2-C63602CA3776}"/>
    <hyperlink ref="M233" r:id="rId380" xr:uid="{BD8E0BDE-D052-40DD-A1C7-6DB53708FA80}"/>
    <hyperlink ref="J234" r:id="rId381" xr:uid="{4B7243B0-0D7C-409D-8B45-3B8667E835CB}"/>
    <hyperlink ref="M234" r:id="rId382" xr:uid="{FE84923B-F1F4-4A97-BAFC-F803C52CB460}"/>
    <hyperlink ref="J235" r:id="rId383" xr:uid="{20847D72-F809-4395-B4CE-3730965710E7}"/>
    <hyperlink ref="M235" r:id="rId384" xr:uid="{3C26E4BF-4A9E-436B-A092-0A0838296256}"/>
    <hyperlink ref="J236" r:id="rId385" xr:uid="{40F34BE5-4FAD-41A6-880C-506BF7CE1615}"/>
    <hyperlink ref="J237" r:id="rId386" xr:uid="{989E67D0-ABC3-4164-AFBD-75D4F6567B7B}"/>
    <hyperlink ref="M237" r:id="rId387" xr:uid="{C3E0C32C-B475-462B-9BD4-FC0581E963C5}"/>
    <hyperlink ref="J238" r:id="rId388" xr:uid="{5346C340-CC47-454F-9DAB-AE62B6DB9372}"/>
    <hyperlink ref="J239" r:id="rId389" xr:uid="{1FB9CCC2-F7CA-4AAE-A658-6C8579DCF163}"/>
    <hyperlink ref="M239" r:id="rId390" xr:uid="{A417F23A-C091-46E6-AE5A-8E6AF016B6E7}"/>
    <hyperlink ref="J240" r:id="rId391" xr:uid="{1EBD27CE-9BAC-4D8D-97DD-0F4586B4289E}"/>
    <hyperlink ref="J241" r:id="rId392" xr:uid="{3D6BC1E8-9652-45E1-B23D-EC2DF0115A5A}"/>
    <hyperlink ref="J242" r:id="rId393" xr:uid="{41D4A6AE-8C5B-4E8C-863B-A1C08137A1A0}"/>
    <hyperlink ref="M242" r:id="rId394" xr:uid="{6EA4D29A-63DA-4A3A-A7A8-20E85BCBE8F4}"/>
    <hyperlink ref="J243" r:id="rId395" xr:uid="{BDC608FC-694C-4698-BDC3-8E0FF91EF087}"/>
    <hyperlink ref="J244" r:id="rId396" xr:uid="{3507AEB9-74EB-4E59-B965-BA6C1E206359}"/>
    <hyperlink ref="J245" r:id="rId397" xr:uid="{931C2F29-B97A-4414-8EC5-EF46B7154E43}"/>
    <hyperlink ref="J246" r:id="rId398" xr:uid="{5F322BBD-7C63-478D-964B-514E6FC7020E}"/>
    <hyperlink ref="J247" r:id="rId399" xr:uid="{357F617F-0CF9-4785-90F5-A4F837B354BC}"/>
    <hyperlink ref="M247" r:id="rId400" xr:uid="{4EE4A0C4-A556-4C9F-A7C3-F17BBD216ED5}"/>
    <hyperlink ref="J248" r:id="rId401" xr:uid="{1A9FF1B7-56D6-4EDD-ABD9-1EE661817BA1}"/>
    <hyperlink ref="J249" r:id="rId402" xr:uid="{4E2BF66D-6B0A-487C-BD68-B7210FB04D54}"/>
    <hyperlink ref="J250" r:id="rId403" xr:uid="{79CA01E5-3819-4041-B5A0-05DE0F99ABBD}"/>
    <hyperlink ref="M250" r:id="rId404" xr:uid="{30E77283-437D-4C53-A882-0255D34F812C}"/>
    <hyperlink ref="J251" r:id="rId405" xr:uid="{4081DF8C-E6DF-4494-A67B-0C9CB89448F7}"/>
    <hyperlink ref="M251" r:id="rId406" xr:uid="{DCF17116-15D8-4AD2-8EF0-D9AF4FB1ECC3}"/>
    <hyperlink ref="J252" r:id="rId407" xr:uid="{BAD98625-2224-4E7A-9470-66C1FEDCB32C}"/>
    <hyperlink ref="J253" r:id="rId408" xr:uid="{C0CC131C-8ED1-4B39-AF3C-6A5E77A273AF}"/>
    <hyperlink ref="J254" r:id="rId409" xr:uid="{17D33D4B-D53C-40A3-8487-387BDDAA011E}"/>
    <hyperlink ref="M254" r:id="rId410" xr:uid="{2D8089A1-FC0E-41BE-9B58-65F983FD79CF}"/>
    <hyperlink ref="J255" r:id="rId411" xr:uid="{A58B692D-0C3D-4D2D-AEC5-92142F413795}"/>
    <hyperlink ref="M255" r:id="rId412" xr:uid="{00443118-052B-4923-9DAC-F7B223F56228}"/>
    <hyperlink ref="J256" r:id="rId413" xr:uid="{382E786B-461E-4856-BCE5-88B96D12C2DE}"/>
    <hyperlink ref="M256" r:id="rId414" xr:uid="{F52D720B-4D5E-45C9-AF35-4E4DD1FFC81E}"/>
    <hyperlink ref="J257" r:id="rId415" xr:uid="{347E2179-B601-4BC7-9377-093B12CA2219}"/>
    <hyperlink ref="J258" r:id="rId416" xr:uid="{056D1C76-2AC9-4AE4-8BF3-963B213D53E0}"/>
    <hyperlink ref="M258" r:id="rId417" xr:uid="{974D2FFE-3682-4B1C-B895-7BD5637766C1}"/>
    <hyperlink ref="J259" r:id="rId418" xr:uid="{8DFC2632-B9FD-4D99-90FD-F197B41305DC}"/>
    <hyperlink ref="M259" r:id="rId419" xr:uid="{61A9C2A3-EC26-4C87-ABE4-F3F577B8F7C4}"/>
    <hyperlink ref="J260" r:id="rId420" xr:uid="{5A57A850-D13B-47A2-B7D2-4F05EF9B71ED}"/>
    <hyperlink ref="M260" r:id="rId421" xr:uid="{02944B0D-A658-431C-ADF5-25FE1CD6A3BF}"/>
    <hyperlink ref="J261" r:id="rId422" xr:uid="{5A1D2E44-30EC-49BC-8B8C-6E932B4065C8}"/>
    <hyperlink ref="J262" r:id="rId423" xr:uid="{9530BE63-9D3F-42ED-8020-E2C72B42D94E}"/>
    <hyperlink ref="M262" r:id="rId424" xr:uid="{0F1E5817-215F-4B9B-99BE-1A9D70A9F6C3}"/>
    <hyperlink ref="J263" r:id="rId425" xr:uid="{59022A67-6AE3-4023-B3C2-33FF601CC31F}"/>
    <hyperlink ref="J264" r:id="rId426" xr:uid="{CB0B9945-38D7-45B1-B7D6-12939E4D0C7C}"/>
    <hyperlink ref="J265" r:id="rId427" xr:uid="{0A5C85E6-9C5F-4F47-A7EA-D79CC98034F0}"/>
    <hyperlink ref="J266" r:id="rId428" xr:uid="{D91A7867-3E58-4E77-84BC-811372A52234}"/>
    <hyperlink ref="J267" r:id="rId429" xr:uid="{C08AA729-53B4-4259-9869-3B9C3ED61C8C}"/>
    <hyperlink ref="J268" r:id="rId430" xr:uid="{6DB990A0-D462-44B8-A5DE-EDF88C566F7E}"/>
    <hyperlink ref="J269" r:id="rId431" xr:uid="{B68178A9-7900-4CB4-A63F-B60FB15FF96C}"/>
    <hyperlink ref="J270" r:id="rId432" xr:uid="{95335E33-E993-4E3E-802A-28B79DC3E28E}"/>
    <hyperlink ref="M270" r:id="rId433" xr:uid="{997CB68F-6961-4C7E-B8AD-3B765C079B3B}"/>
    <hyperlink ref="J271" r:id="rId434" xr:uid="{52F9F575-4869-43E0-9336-7E043195016A}"/>
    <hyperlink ref="M271" r:id="rId435" xr:uid="{DC4D08A8-5707-4131-A61E-E9B36BFFB75D}"/>
    <hyperlink ref="J272" r:id="rId436" xr:uid="{BAB42C05-9FB3-4CDD-8266-0D5D98DC3D54}"/>
    <hyperlink ref="M272" r:id="rId437" xr:uid="{D66F989F-9E73-4E10-8FFF-84CA4F88F884}"/>
    <hyperlink ref="J273" r:id="rId438" xr:uid="{96D0F720-3DEF-48F3-AEE9-71FAC0CAFFB3}"/>
    <hyperlink ref="M273" r:id="rId439" xr:uid="{E3589D78-58FE-44F0-B976-8A16F16DFC17}"/>
    <hyperlink ref="J274" r:id="rId440" xr:uid="{69C2AACA-1CDC-462E-B75F-037B5EDC746D}"/>
    <hyperlink ref="J275" r:id="rId441" xr:uid="{68F1FF70-DF8A-4818-A0CB-358E737DCC06}"/>
    <hyperlink ref="M275" r:id="rId442" xr:uid="{C4FD3799-9764-45E0-8AE6-5819D2D53855}"/>
    <hyperlink ref="J276" r:id="rId443" xr:uid="{16F71854-00C1-447C-B116-23D4CB12F52A}"/>
    <hyperlink ref="M276" r:id="rId444" xr:uid="{767219BC-00D2-4DA9-BE9A-C3C0ACFFF480}"/>
    <hyperlink ref="J277" r:id="rId445" xr:uid="{3CB77926-4315-4315-9908-3518C0FC0AF3}"/>
    <hyperlink ref="J278" r:id="rId446" xr:uid="{FB416A85-4241-46D4-9B45-68FEFF9FAA34}"/>
    <hyperlink ref="M278" r:id="rId447" xr:uid="{F6F46077-9F02-4FB0-BCA5-0E822CEAC500}"/>
    <hyperlink ref="J279" r:id="rId448" xr:uid="{C94A142F-137A-4EF9-B38A-8BFB09C5D54F}"/>
    <hyperlink ref="M279" r:id="rId449" xr:uid="{B70C4A5A-795E-45D1-B027-B77CA7763428}"/>
    <hyperlink ref="J280" r:id="rId450" xr:uid="{92DCC539-9D42-4398-B161-AF8004596563}"/>
    <hyperlink ref="M280" r:id="rId451" xr:uid="{DDD230CC-0F48-4703-82C2-8A35A0EDE316}"/>
    <hyperlink ref="J281" r:id="rId452" xr:uid="{0C613886-7829-4D79-80D7-62ACD509DBD6}"/>
    <hyperlink ref="M281" r:id="rId453" xr:uid="{8F71C5BA-6C77-4FA8-8783-31403BE5F260}"/>
    <hyperlink ref="J282" r:id="rId454" xr:uid="{74DF1214-74B6-477B-8E56-AC852C22B690}"/>
    <hyperlink ref="M282" r:id="rId455" xr:uid="{BC6469F3-A5E2-495C-8C48-1520E0083C48}"/>
    <hyperlink ref="J283" r:id="rId456" xr:uid="{F6F1904E-B25A-4AE0-A7C7-B4D1CE9BF5B0}"/>
    <hyperlink ref="M283" r:id="rId457" xr:uid="{DF54A7C2-D3D7-4ADE-899B-2E677676216F}"/>
    <hyperlink ref="J284" r:id="rId458" xr:uid="{7479C66C-C11E-49BE-A98E-9AA49F1ACA75}"/>
    <hyperlink ref="M284" r:id="rId459" xr:uid="{A25ADC3F-73E0-451F-8268-872DB4669C7D}"/>
    <hyperlink ref="J285" r:id="rId460" xr:uid="{98985440-228F-4AC7-B830-CF8817E13C67}"/>
    <hyperlink ref="M285" r:id="rId461" xr:uid="{ECBAC7E0-DC69-4B21-AC1B-81FE0D014C43}"/>
    <hyperlink ref="J286" r:id="rId462" xr:uid="{6220A9B0-9F25-4353-9010-B4CAC7FB595B}"/>
    <hyperlink ref="M286" r:id="rId463" xr:uid="{DFE3718D-51DB-4028-AFDA-CBF9AB8157A7}"/>
    <hyperlink ref="J287" r:id="rId464" xr:uid="{14BC4732-5A12-4EE1-A141-8BA2990DFB77}"/>
    <hyperlink ref="M287" r:id="rId465" xr:uid="{2729CF15-7C17-413C-A5F5-CE62755AC5F6}"/>
    <hyperlink ref="J288" r:id="rId466" xr:uid="{4B3FF8D4-49EC-4ABB-ADA6-13287E800A57}"/>
    <hyperlink ref="M288" r:id="rId467" xr:uid="{810D830B-0284-47DF-9299-E12EAA291BA8}"/>
    <hyperlink ref="J289" r:id="rId468" xr:uid="{7C38A9C8-BF31-4387-9920-479FF8E111E7}"/>
    <hyperlink ref="J290" r:id="rId469" xr:uid="{BF1C4737-023C-4B51-8248-731A953CDD25}"/>
    <hyperlink ref="M290" r:id="rId470" xr:uid="{B42C9585-8885-4215-9EB4-371777C36931}"/>
    <hyperlink ref="J291" r:id="rId471" xr:uid="{B414BA48-F44F-4770-B393-0A2A01C1658B}"/>
    <hyperlink ref="M291" r:id="rId472" xr:uid="{F28C1E29-3A52-4C6C-A4EF-33B16FF016A6}"/>
    <hyperlink ref="J292" r:id="rId473" xr:uid="{EB584C45-8362-4306-8D2D-D4E7C38B714D}"/>
    <hyperlink ref="J293" r:id="rId474" xr:uid="{B9DBBC29-6596-48FD-B401-CA4027BFB3CF}"/>
    <hyperlink ref="J294" r:id="rId475" xr:uid="{3CDA9009-C524-49C1-8CE8-A31DB90AB08B}"/>
    <hyperlink ref="M294" r:id="rId476" xr:uid="{71DD9BB5-9DF1-4444-B194-ED76B7202D26}"/>
    <hyperlink ref="J295" r:id="rId477" xr:uid="{251211CD-D935-41B1-9531-63F6B2EB7178}"/>
    <hyperlink ref="M295" r:id="rId478" xr:uid="{CCC02AA9-7C20-4421-81A5-37A5292B1536}"/>
    <hyperlink ref="J296" r:id="rId479" xr:uid="{C5E62CE8-0C75-4867-A6CE-0629A22692DF}"/>
    <hyperlink ref="M296" r:id="rId480" xr:uid="{D5FD98E3-F5B7-4FD1-8412-C9EE03257581}"/>
    <hyperlink ref="J297" r:id="rId481" xr:uid="{A022AC7E-D315-4B7F-8260-2E7346A2C695}"/>
    <hyperlink ref="J298" r:id="rId482" xr:uid="{0E8BDF54-B55F-4BE4-B2F4-E8C11697FBB8}"/>
    <hyperlink ref="M298" r:id="rId483" xr:uid="{CEC6CD9F-A339-4378-BA1D-B290A3A6637A}"/>
    <hyperlink ref="J299" r:id="rId484" xr:uid="{5AE36E23-828D-49EC-A4EB-70669FB92417}"/>
    <hyperlink ref="M299" r:id="rId485" xr:uid="{FBF12E37-1601-4D00-B537-7CF81873ABD3}"/>
    <hyperlink ref="J300" r:id="rId486" xr:uid="{4D533A45-476A-42A6-AADC-FB824AF924F2}"/>
    <hyperlink ref="M300" r:id="rId487" xr:uid="{3D2ECA4C-44EF-4367-80AD-D00EA29292D5}"/>
    <hyperlink ref="J301" r:id="rId488" xr:uid="{215DBD8A-7C3A-4340-BC74-5B609DB68E6B}"/>
    <hyperlink ref="M301" r:id="rId489" xr:uid="{021B61B6-0F93-48AE-9E7A-D7C9A3E93D52}"/>
    <hyperlink ref="J302" r:id="rId490" xr:uid="{1F5C46BA-B78F-4B19-AA32-667C7588F6CA}"/>
    <hyperlink ref="J303" r:id="rId491" xr:uid="{159EE40E-A093-4608-8D7C-5DF93A806759}"/>
    <hyperlink ref="J304" r:id="rId492" xr:uid="{F1180460-66E5-45ED-B65A-25AB69853EBD}"/>
    <hyperlink ref="M304" r:id="rId493" xr:uid="{6B26471F-5C7C-46A7-B8D3-0839D24688BF}"/>
    <hyperlink ref="J305" r:id="rId494" xr:uid="{3DD0FEA0-8146-4C8F-9CE6-5BC2FF102F46}"/>
    <hyperlink ref="J306" r:id="rId495" xr:uid="{3D418E61-46B4-4B07-AD3B-94E103BBC7C1}"/>
    <hyperlink ref="M306" r:id="rId496" xr:uid="{FBA0CB5F-4869-45F0-A21C-0C588DEBF733}"/>
    <hyperlink ref="J307" r:id="rId497" xr:uid="{248E3C01-09A6-4EFC-B8CC-6000FFDE6C62}"/>
    <hyperlink ref="J308" r:id="rId498" xr:uid="{633B5632-8D4E-492C-9919-8E22830A08A7}"/>
    <hyperlink ref="M308" r:id="rId499" xr:uid="{441DF686-B1A1-45D6-938D-69A31B3D728D}"/>
    <hyperlink ref="J310" r:id="rId500" xr:uid="{CD3580BD-DC82-4BD5-95E0-41872ED072CF}"/>
    <hyperlink ref="M310" r:id="rId501" xr:uid="{42C9AEBF-0F0D-477E-998C-CF3B512DFB14}"/>
    <hyperlink ref="J309" r:id="rId502" xr:uid="{00459740-1142-42AF-A83A-8F06DD640C24}"/>
    <hyperlink ref="J311" r:id="rId503" xr:uid="{C2A762F4-FBC5-46EF-B035-B679E292A1DA}"/>
    <hyperlink ref="M311" r:id="rId504" xr:uid="{ED0B733E-090B-4FCD-81F4-E73DDB50FF07}"/>
    <hyperlink ref="J312" r:id="rId505" xr:uid="{360C65F2-5E28-4043-AFF5-8E8B684D3081}"/>
    <hyperlink ref="M312" r:id="rId506" xr:uid="{0D1EF92A-353C-4247-AAD4-48A9B7EE8CF9}"/>
    <hyperlink ref="J313" r:id="rId507" xr:uid="{0D7355D3-C120-4687-80D9-B77D2B4C14B2}"/>
    <hyperlink ref="M313" r:id="rId508" xr:uid="{04994242-2B90-4606-BBF4-EE37C308262D}"/>
    <hyperlink ref="J314" r:id="rId509" xr:uid="{AB0ABE18-D415-4128-BB54-2F23A0837F5C}"/>
    <hyperlink ref="M314" r:id="rId510" xr:uid="{1F425B92-3B05-428C-BD43-C5D01B674C8C}"/>
    <hyperlink ref="J315" r:id="rId511" xr:uid="{2783B1F5-F388-4B93-94A2-454DCF82F4CB}"/>
    <hyperlink ref="J316" r:id="rId512" xr:uid="{341C42D4-C171-42DB-B0CC-472847AAE975}"/>
    <hyperlink ref="J317" r:id="rId513" xr:uid="{F52A0619-EE8A-4D11-9A36-22AEB18DAE16}"/>
    <hyperlink ref="J318" r:id="rId514" xr:uid="{D7E94A05-FD3B-46AB-8FE0-392ABE4ABFF3}"/>
    <hyperlink ref="J319" r:id="rId515" xr:uid="{6F71A60F-C12B-4DB1-8A2D-3155FD428B37}"/>
    <hyperlink ref="J320" r:id="rId516" xr:uid="{C53F8943-4295-420D-973A-9883E15B1F73}"/>
    <hyperlink ref="J321" r:id="rId517" xr:uid="{E07A8F4D-EA6D-4419-8660-0D23A84CB0D8}"/>
    <hyperlink ref="J322" r:id="rId518" xr:uid="{5A8B7E49-2F4D-4D80-8C26-087D1644158C}"/>
    <hyperlink ref="J323" r:id="rId519" xr:uid="{E241A78C-E4BB-4D41-AAF0-85F65298C7E1}"/>
    <hyperlink ref="J324" r:id="rId520" xr:uid="{2FCDABA9-CBDE-4860-A6DC-1D694624A7AB}"/>
    <hyperlink ref="J325" r:id="rId521" xr:uid="{E10C7B2B-86F4-4649-9E54-C1BF33815BEA}"/>
    <hyperlink ref="J326" r:id="rId522" xr:uid="{05CC3B2C-1BF7-4581-AA28-89BA67017772}"/>
    <hyperlink ref="M326" r:id="rId523" xr:uid="{9405E04E-AD81-4021-8245-7EAC3A9FF0BE}"/>
    <hyperlink ref="J327" r:id="rId524" xr:uid="{A6D84DAB-BB94-40E8-80C0-3A6CCE36AAB5}"/>
    <hyperlink ref="J328" r:id="rId525" xr:uid="{C6AFE774-8DC7-4821-B13F-F16D965D5190}"/>
    <hyperlink ref="J329" r:id="rId526" xr:uid="{C6E72A2C-3F58-41B7-B546-E58DBC578129}"/>
    <hyperlink ref="M329" r:id="rId527" xr:uid="{3E1F6408-E767-492F-993E-F056ABCA35E1}"/>
    <hyperlink ref="J330" r:id="rId528" xr:uid="{786E19A9-17A5-4DCA-B207-91B4A6CD1E75}"/>
    <hyperlink ref="M330" r:id="rId529" xr:uid="{99EF92B8-5F64-447A-90F2-EC099EE3041F}"/>
    <hyperlink ref="J331" r:id="rId530" xr:uid="{C4D936EB-3C80-4904-A43A-13BEA9129F34}"/>
    <hyperlink ref="M331" r:id="rId531" xr:uid="{0654DA22-D4C7-4D81-9715-D0625B76001C}"/>
    <hyperlink ref="J332" r:id="rId532" xr:uid="{67E9B975-8D5E-4744-9BB2-E2D4119DE1FF}"/>
    <hyperlink ref="M332" r:id="rId533" xr:uid="{2C63D01D-02EC-4633-B226-7C19C6745867}"/>
    <hyperlink ref="J333" r:id="rId534" xr:uid="{21275836-EEB2-4B81-8B66-8FF6B14E50E7}"/>
    <hyperlink ref="M333" r:id="rId535" xr:uid="{920FF7C2-AA67-4483-9E73-9ACDCD477212}"/>
    <hyperlink ref="J334" r:id="rId536" xr:uid="{03E47399-EC66-4FFB-B97C-06C70F33CC4C}"/>
    <hyperlink ref="M334" r:id="rId537" xr:uid="{C5B074E6-39D7-4F01-AD11-5EDF71D861E1}"/>
    <hyperlink ref="J335" r:id="rId538" xr:uid="{230C4005-DF8F-491E-867C-35304DDAF2D1}"/>
    <hyperlink ref="M335" r:id="rId539" xr:uid="{48713EB0-B837-4E1C-864C-E6D19ACC4D66}"/>
    <hyperlink ref="J336" r:id="rId540" xr:uid="{9DE73312-3C4D-48D8-A852-8ABC07CEA283}"/>
    <hyperlink ref="M336" r:id="rId541" xr:uid="{3980B3C9-5303-4F21-A81C-26241E7FD465}"/>
    <hyperlink ref="J337" r:id="rId542" xr:uid="{C95559A0-7F4C-44F7-83D4-1B2271466214}"/>
    <hyperlink ref="M337" r:id="rId543" xr:uid="{63D1A886-6A50-4F65-A9E9-9098C538C8DB}"/>
    <hyperlink ref="J338" r:id="rId544" xr:uid="{FDE5FA79-7F17-4E98-8764-E87CFA0C7095}"/>
    <hyperlink ref="M338" r:id="rId545" xr:uid="{C0671B93-33E8-4CE2-8D0A-5EF3CE5A0615}"/>
    <hyperlink ref="J339" r:id="rId546" xr:uid="{FC3FE1E3-6B35-4B0C-8437-0668F2508FC9}"/>
    <hyperlink ref="M339" r:id="rId547" xr:uid="{BFA411EF-D0BF-4BB2-91BE-C0F512F11A8A}"/>
    <hyperlink ref="J340" r:id="rId548" xr:uid="{23AA783F-3E2C-4A1F-A4F2-6E0FCBB9FB7D}"/>
    <hyperlink ref="M340" r:id="rId549" xr:uid="{F1C3FC9F-5EE5-4591-9321-A214BEE72C62}"/>
    <hyperlink ref="J341" r:id="rId550" xr:uid="{FB553878-7B8B-47E6-9F13-58FE9E0D1797}"/>
    <hyperlink ref="M341" r:id="rId551" xr:uid="{24286E49-E784-4414-8D81-E0E1BA3B220B}"/>
    <hyperlink ref="J342" r:id="rId552" xr:uid="{19E04D04-311B-4259-BE14-953DABCF40DF}"/>
    <hyperlink ref="M342" r:id="rId553" xr:uid="{B94E0158-3FB5-45C9-9691-32E5750CAF22}"/>
    <hyperlink ref="J343" r:id="rId554" xr:uid="{2C25D4E7-CB56-4A0B-BA30-76B639EFCCEB}"/>
    <hyperlink ref="M343" r:id="rId555" xr:uid="{9D9F1B88-3071-433D-84C2-447E2F0CB0FC}"/>
    <hyperlink ref="J344" r:id="rId556" xr:uid="{B89E995F-EF8D-4DE6-997F-580EACC51C3C}"/>
    <hyperlink ref="M344" r:id="rId557" xr:uid="{80C6267F-1AE1-4D00-88C5-F09269A52DFE}"/>
    <hyperlink ref="J345" r:id="rId558" xr:uid="{6AEDEC56-976A-4CEA-A006-81B9232B0429}"/>
    <hyperlink ref="M345" r:id="rId559" xr:uid="{24CC4B8B-2AD4-4995-B33D-4811ACFB0C79}"/>
    <hyperlink ref="J346" r:id="rId560" xr:uid="{9B163C80-75F4-433F-8440-FF42E7DF95F8}"/>
    <hyperlink ref="M346" r:id="rId561" xr:uid="{CB7FD1E8-798E-470B-B5E2-80366D8A7EDF}"/>
    <hyperlink ref="J347" r:id="rId562" xr:uid="{B927F5C6-6F86-42C4-A0D8-E6E10990DA4D}"/>
    <hyperlink ref="M347" r:id="rId563" xr:uid="{FAA76ADF-CB3D-485C-A751-7C72C7481ABB}"/>
    <hyperlink ref="J348" r:id="rId564" xr:uid="{35AAE74C-5DB9-4DE2-A1B1-29E73251025C}"/>
    <hyperlink ref="M348" r:id="rId565" xr:uid="{B516E223-2711-4B27-940F-878713AFDAB3}"/>
    <hyperlink ref="J349" r:id="rId566" xr:uid="{90FFB826-823C-41BF-9B31-E747A65A31E1}"/>
    <hyperlink ref="M349" r:id="rId567" xr:uid="{4098A319-81C1-4578-8B5A-E46974742ACC}"/>
    <hyperlink ref="J350" r:id="rId568" xr:uid="{CC82FCF0-92DC-4C67-8204-616CD3DDF262}"/>
    <hyperlink ref="M350" r:id="rId569" xr:uid="{3C937A99-ACB8-4268-801F-5B722E123434}"/>
    <hyperlink ref="J351" r:id="rId570" xr:uid="{5E2D54D0-3A82-46BA-B260-016308EAA0AD}"/>
    <hyperlink ref="M351" r:id="rId571" xr:uid="{8916202C-5F40-4CF5-B2EE-E3F6365855FC}"/>
    <hyperlink ref="J352" r:id="rId572" xr:uid="{816B9D71-A70F-47FC-892D-C687E81239DD}"/>
    <hyperlink ref="M352" r:id="rId573" xr:uid="{524F4925-1521-4635-86D9-7EE108897B7D}"/>
    <hyperlink ref="J353" r:id="rId574" xr:uid="{3F119D38-00BD-4FEF-9D27-4CB060094C25}"/>
    <hyperlink ref="M353" r:id="rId575" xr:uid="{D14D5893-FF47-4782-92FA-DCFF75E240C1}"/>
    <hyperlink ref="J354" r:id="rId576" xr:uid="{E9C1BB7E-0655-4A16-B154-79C9C5CF5B74}"/>
    <hyperlink ref="J355" r:id="rId577" xr:uid="{59776DCA-C4DF-4D99-B261-41CB3DFDDD1D}"/>
    <hyperlink ref="M355" r:id="rId578" xr:uid="{E56AB0F4-85EC-414F-922B-7C6692706153}"/>
    <hyperlink ref="J356" r:id="rId579" xr:uid="{C7B31A78-BF4C-4A39-8B8F-2462DE5029AA}"/>
    <hyperlink ref="M356" r:id="rId580" xr:uid="{C3C7BCAA-82BA-4366-9DA7-4A21CD4F2706}"/>
    <hyperlink ref="J357" r:id="rId581" xr:uid="{96FEA452-858D-43C7-B767-224E6E178070}"/>
    <hyperlink ref="J358" r:id="rId582" xr:uid="{DF1FB5CE-00F2-4298-B11D-8AFBCE21562D}"/>
    <hyperlink ref="M358" r:id="rId583" xr:uid="{C5DD68A1-BDA7-4632-8E6C-817CFFD75681}"/>
    <hyperlink ref="J364" r:id="rId584" xr:uid="{F5A1750F-82AF-4FAA-B865-8DDC049114FA}"/>
    <hyperlink ref="M364" r:id="rId585" xr:uid="{900AD105-2BF1-4EAB-94B3-3B708BC04678}"/>
    <hyperlink ref="J360" r:id="rId586" xr:uid="{458F180A-6782-4376-BD1E-A3EE7997C34C}"/>
    <hyperlink ref="M360" r:id="rId587" xr:uid="{80003FB1-4327-42C4-8355-E68A0236666C}"/>
    <hyperlink ref="J359" r:id="rId588" xr:uid="{30928ABC-A479-4A18-A870-366FA0DEE134}"/>
    <hyperlink ref="M359" r:id="rId589" xr:uid="{9632CE0D-F0DA-4FD6-8D2B-7DD87C9D02AD}"/>
    <hyperlink ref="J361" r:id="rId590" xr:uid="{684C184B-E9C4-4335-9A50-31462520A025}"/>
    <hyperlink ref="M361" r:id="rId591" xr:uid="{4571AF85-F717-4EE2-B8A5-4FA45D2532AB}"/>
    <hyperlink ref="J362" r:id="rId592" xr:uid="{0CB813A8-53D7-40FC-ADF3-B3CDF9E0288E}"/>
    <hyperlink ref="M362" r:id="rId593" xr:uid="{C36EF91A-7638-4A7E-9E37-2EE77F3B793C}"/>
    <hyperlink ref="J363" r:id="rId594" xr:uid="{B7C3FC86-AEC9-4AFB-9C40-1A36CC2C58D3}"/>
    <hyperlink ref="M363" r:id="rId595" xr:uid="{BCCEAE7D-787D-4C27-8401-FAAF8ADDF7D0}"/>
    <hyperlink ref="J369" r:id="rId596" xr:uid="{903075C0-EF2A-4850-B5F6-BEC20049DDDA}"/>
    <hyperlink ref="M369" r:id="rId597" xr:uid="{3BF0111D-D945-4FBF-8381-1FF81B1CB246}"/>
    <hyperlink ref="J365" r:id="rId598" xr:uid="{95B9BE79-3E9D-4D79-8761-F37EAA749296}"/>
    <hyperlink ref="M365" r:id="rId599" xr:uid="{EE23AE72-B069-4B19-9B02-D35C07640C04}"/>
    <hyperlink ref="J366" r:id="rId600" xr:uid="{C5BE80CF-2A7F-4906-80C6-2FFE0C58B959}"/>
    <hyperlink ref="M366" r:id="rId601" xr:uid="{9DC6CD84-5C94-4646-BF8E-621B64838BB7}"/>
    <hyperlink ref="J367" r:id="rId602" xr:uid="{3F29CC98-AFBE-4C0F-9EF0-C3BAFB4A5220}"/>
    <hyperlink ref="M367" r:id="rId603" xr:uid="{F92C1C96-05D1-49DB-AE40-0F408AF10870}"/>
    <hyperlink ref="J368" r:id="rId604" xr:uid="{A4AEC4EC-A33B-45F8-B3E6-B1FCF2F2F5C9}"/>
    <hyperlink ref="M368" r:id="rId605" xr:uid="{403045E6-7645-43FB-9856-674E67AD26D2}"/>
    <hyperlink ref="J370" r:id="rId606" xr:uid="{CA1B2F35-7465-475E-B83F-47FAD7A2F9C8}"/>
    <hyperlink ref="M370" r:id="rId607" xr:uid="{CC8E7C3E-58A5-42D1-AC2D-0CF501EEFCE0}"/>
    <hyperlink ref="J371" r:id="rId608" xr:uid="{2D718D5D-9108-4ADA-916A-C43D604E6800}"/>
    <hyperlink ref="M371" r:id="rId609" xr:uid="{04A9AC2A-2416-40CC-A5D2-FF50B8807678}"/>
    <hyperlink ref="J372" r:id="rId610" xr:uid="{AAF57B4C-B6A9-4B66-A59A-B452F181058B}"/>
    <hyperlink ref="M372" r:id="rId611" xr:uid="{4DCF99F0-98FB-4E18-B718-A53FF5911276}"/>
    <hyperlink ref="J373" r:id="rId612" xr:uid="{FEDCB182-5402-49EB-AB67-72A6F7912F42}"/>
    <hyperlink ref="M373" r:id="rId613" xr:uid="{82870F5D-019E-4E07-BC7D-E38A2BC1064B}"/>
    <hyperlink ref="J374" r:id="rId614" xr:uid="{D434FE2B-D35B-4EE6-8AB6-EEB7406D56BE}"/>
    <hyperlink ref="M374" r:id="rId615" xr:uid="{F86EF45C-47FE-4797-9A54-DF4157B64F08}"/>
    <hyperlink ref="J375" r:id="rId616" xr:uid="{3B5D1612-9B46-4128-80BC-C9BBD4C28FD5}"/>
    <hyperlink ref="M375" r:id="rId617" xr:uid="{BEC5DB97-2337-427B-B91E-890B189048FE}"/>
    <hyperlink ref="J376" r:id="rId618" xr:uid="{4E94878E-BC33-4B6B-935E-EAA2664462FA}"/>
    <hyperlink ref="M376" r:id="rId619" xr:uid="{CB603A49-9C9A-46CB-A42C-7BE7AF11F38F}"/>
    <hyperlink ref="J377" r:id="rId620" xr:uid="{18A44157-D883-4C67-8D55-0BC2039112B4}"/>
    <hyperlink ref="M377" r:id="rId621" xr:uid="{B827B337-F2BD-40FC-9E24-16B4B463B0BA}"/>
    <hyperlink ref="J378" r:id="rId622" xr:uid="{113CB904-78A1-4C2B-B274-E65F625ADC76}"/>
    <hyperlink ref="M378" r:id="rId623" xr:uid="{23115567-806A-4C10-B7BD-3371BE056474}"/>
    <hyperlink ref="J379" r:id="rId624" xr:uid="{AF7D4CDD-D1F0-49C4-9AFD-D4506ECBA641}"/>
    <hyperlink ref="M379" r:id="rId625" xr:uid="{530554FA-CD11-4465-9F06-22873EBA2DE2}"/>
    <hyperlink ref="J380" r:id="rId626" xr:uid="{771514E8-5D8A-4B65-82C9-757F27D176FF}"/>
    <hyperlink ref="M380" r:id="rId627" xr:uid="{FC95684E-BEA2-4660-AE37-7882A8B8F576}"/>
    <hyperlink ref="J381" r:id="rId628" xr:uid="{1733B961-5E52-4691-BF25-96CF1B406FE1}"/>
    <hyperlink ref="M381" r:id="rId629" xr:uid="{8B4DCC98-9F29-4894-A2B9-CA7A5F62C26F}"/>
    <hyperlink ref="J382" r:id="rId630" xr:uid="{A81F354F-7751-4108-B2A6-40502AF3B369}"/>
    <hyperlink ref="M382" r:id="rId631" xr:uid="{9FE82C26-B6D0-43AB-BD5E-7CDD75FA47CB}"/>
    <hyperlink ref="J383" r:id="rId632" xr:uid="{991E6AD2-BE9D-4BB2-B527-F246142F0D76}"/>
    <hyperlink ref="M383" r:id="rId633" xr:uid="{3214FF91-3C21-4D93-840D-558C74624474}"/>
    <hyperlink ref="J384" r:id="rId634" xr:uid="{484B755D-8E01-4A82-9588-BD60826B92CD}"/>
    <hyperlink ref="M384" r:id="rId635" xr:uid="{0F52DF89-4571-4BD7-948E-15B4B8CB066B}"/>
    <hyperlink ref="J385" r:id="rId636" xr:uid="{A31824CD-3ABE-4EE8-B154-9113C409ABE1}"/>
    <hyperlink ref="M385" r:id="rId637" xr:uid="{D0B1A84D-9984-45B5-976B-1EDB69F5E34E}"/>
    <hyperlink ref="J386" r:id="rId638" xr:uid="{FC2D4E98-C9B2-41B4-B7A0-2548B0BC705A}"/>
    <hyperlink ref="M386" r:id="rId639" xr:uid="{EF4DCA82-EF97-422A-8A0C-904FAA47143A}"/>
    <hyperlink ref="J387" r:id="rId640" xr:uid="{6B6E63A9-C345-4A1F-B711-F429597BE163}"/>
    <hyperlink ref="M387" r:id="rId641" xr:uid="{2D1031D2-DCB7-4055-82B4-9AC4B0F5CFD2}"/>
    <hyperlink ref="J388" r:id="rId642" xr:uid="{EBD20888-AFB3-4148-9D8D-4B5D0A5CC8DC}"/>
    <hyperlink ref="J389" r:id="rId643" xr:uid="{D5F355CB-0E38-4D21-86EC-5C0DF7C91FE0}"/>
    <hyperlink ref="M389" r:id="rId644" xr:uid="{AA6EF1F0-B945-4E1C-94ED-D68B0CC6C2CD}"/>
    <hyperlink ref="J390" r:id="rId645" xr:uid="{0E7BF2BF-B514-4017-BC0B-47054F89AEF9}"/>
    <hyperlink ref="M390" r:id="rId646" xr:uid="{346178FE-E397-4428-84C0-FD73A016428E}"/>
    <hyperlink ref="J391" r:id="rId647" xr:uid="{9FA8A341-C207-4240-8ED7-834525ED3C5E}"/>
    <hyperlink ref="M391" r:id="rId648" xr:uid="{9E9E61CD-3018-458B-8259-AA187ED64551}"/>
    <hyperlink ref="J392" r:id="rId649" xr:uid="{4E4A72D7-9FFE-4283-9DA2-1909A73EA67D}"/>
    <hyperlink ref="M392" r:id="rId650" xr:uid="{4764383E-A911-4EB2-BA76-5F6BFD10A134}"/>
    <hyperlink ref="J393" r:id="rId651" xr:uid="{DA080E60-DA61-44FB-AAE6-C590C7D671E0}"/>
    <hyperlink ref="M393" r:id="rId652" xr:uid="{904F1358-B992-408B-8F21-FCE8D20C7B75}"/>
    <hyperlink ref="J394" r:id="rId653" xr:uid="{40C4C01F-03C5-481A-B947-E4CBE49346B9}"/>
    <hyperlink ref="M394" r:id="rId654" xr:uid="{01A21ED1-C11E-42D7-AC1A-CFF331732B45}"/>
    <hyperlink ref="J395" r:id="rId655" xr:uid="{2AB31107-BF67-4F8E-B25C-7FCB98F79E8B}"/>
    <hyperlink ref="M395" r:id="rId656" xr:uid="{8BBB8D41-E88F-4D74-9E35-7E61DADFF419}"/>
    <hyperlink ref="J396" r:id="rId657" xr:uid="{C4651179-54BC-4B3D-BF8D-DFC6E3915764}"/>
    <hyperlink ref="M396" r:id="rId658" xr:uid="{984D27FB-2E6B-4FB9-9D19-20DB57FF8DA9}"/>
    <hyperlink ref="J397" r:id="rId659" xr:uid="{5E992180-23A5-4417-9A1F-0AC4DBAD4BEB}"/>
    <hyperlink ref="M397" r:id="rId660" xr:uid="{8C1E7434-2E14-47CB-AB9D-8215627D940C}"/>
    <hyperlink ref="J398" r:id="rId661" xr:uid="{F96C7A9F-A9A2-4D8C-A93C-A9ED9908C326}"/>
    <hyperlink ref="M398" r:id="rId662" xr:uid="{0227C106-DF67-4C3A-A817-83B9E013D743}"/>
    <hyperlink ref="J399" r:id="rId663" xr:uid="{E1C7B19A-397E-4F0C-80E4-A5C2F399095A}"/>
    <hyperlink ref="M399" r:id="rId664" xr:uid="{91FB8F22-D20E-425A-9B05-49AFDBB7EE55}"/>
    <hyperlink ref="J400" r:id="rId665" xr:uid="{0859DB4D-B229-4FD0-989C-3A7AF3D4D19D}"/>
    <hyperlink ref="M400" r:id="rId666" xr:uid="{6754CC77-1AA5-4F40-83AA-94A01F126F1F}"/>
    <hyperlink ref="J401" r:id="rId667" xr:uid="{A9A88A38-00FD-4954-975A-65A340992FC3}"/>
    <hyperlink ref="M401" r:id="rId668" xr:uid="{55D30A19-3DD9-473E-8F3F-60C63B2BC7DF}"/>
    <hyperlink ref="J402" r:id="rId669" xr:uid="{38B64E91-E993-45A5-8390-759B0F810150}"/>
    <hyperlink ref="M402" r:id="rId670" xr:uid="{447C22CC-635D-4060-B4E0-67415E59B75B}"/>
    <hyperlink ref="J403" r:id="rId671" xr:uid="{36DED66D-5595-4DEB-B193-A7D55513AC99}"/>
    <hyperlink ref="M403" r:id="rId672" xr:uid="{AAC52382-AB50-42EE-96DE-37AA06B08FF6}"/>
    <hyperlink ref="J404" r:id="rId673" xr:uid="{97B9F1E1-2F4E-4AAB-B538-39FA674A87CC}"/>
    <hyperlink ref="M404" r:id="rId674" xr:uid="{6E094775-501D-436A-8928-47563C4504EC}"/>
    <hyperlink ref="J405" r:id="rId675" xr:uid="{381EE575-1F29-444B-9E46-B0904F1C432F}"/>
    <hyperlink ref="M405" r:id="rId676" xr:uid="{F6844556-B363-4C43-A72C-4442CC91B63E}"/>
    <hyperlink ref="J406" r:id="rId677" xr:uid="{2417FFFF-5B28-490F-A769-D322149754A9}"/>
    <hyperlink ref="M406" r:id="rId678" xr:uid="{4C2E443A-506F-4006-A429-607CCE91AF6F}"/>
    <hyperlink ref="J407" r:id="rId679" xr:uid="{4B67FE25-05E7-4F35-AA7E-7AEAD4FA7F5D}"/>
    <hyperlink ref="M407" r:id="rId680" xr:uid="{04D118CA-9276-4F2E-A3AF-1A0094C42CB3}"/>
    <hyperlink ref="J408" r:id="rId681" xr:uid="{FBF1FCFB-1A9D-423E-B3D4-5BDB318CF185}"/>
    <hyperlink ref="M408" r:id="rId682" xr:uid="{62E2AC2B-326B-4FA4-86AA-CB2D3B1CE38D}"/>
    <hyperlink ref="J409" r:id="rId683" xr:uid="{3F422411-0BB6-4B4C-A90E-4DF36E3E149F}"/>
    <hyperlink ref="M409" r:id="rId684" xr:uid="{0007A9D2-D210-42E3-B439-6CE9C1601150}"/>
    <hyperlink ref="J410" r:id="rId685" xr:uid="{1B3D1B9B-3CC0-44EA-9958-90030C7CBDA4}"/>
    <hyperlink ref="M410" r:id="rId686" xr:uid="{69DEA83B-0A9F-4FCD-83FE-4FA193FBE71D}"/>
    <hyperlink ref="J411" r:id="rId687" xr:uid="{031C43B0-E1BE-466E-991F-F18F08192C56}"/>
    <hyperlink ref="M411" r:id="rId688" xr:uid="{D6BC4053-8539-44E9-B2A6-7D22C39A1BC6}"/>
    <hyperlink ref="J412" r:id="rId689" xr:uid="{86D069C1-FB9D-4922-A642-9B861A4EA6ED}"/>
    <hyperlink ref="M412" r:id="rId690" xr:uid="{283CC691-C054-416A-B8C5-AFEE158A1CAA}"/>
    <hyperlink ref="J413" r:id="rId691" xr:uid="{22420D4B-31D8-470E-8F77-805F29FF9D20}"/>
    <hyperlink ref="M413" r:id="rId692" xr:uid="{AB39B829-BC89-4DFF-8DEB-A480C30A0AEB}"/>
    <hyperlink ref="J414" r:id="rId693" xr:uid="{AA8EE62C-E14D-49A6-A880-5D48CFD36D51}"/>
    <hyperlink ref="M414" r:id="rId694" xr:uid="{A9868653-B7D8-4B7F-ADB1-5590355BBB87}"/>
    <hyperlink ref="J415" r:id="rId695" xr:uid="{D5120EF5-513F-453F-B150-BBD98429B35A}"/>
    <hyperlink ref="M415" r:id="rId696" xr:uid="{E14A266E-D3D4-4236-BF04-FB03C5F823FF}"/>
    <hyperlink ref="J416" r:id="rId697" xr:uid="{B1D91ED5-6C27-4895-A916-852C12A828F3}"/>
    <hyperlink ref="M416" r:id="rId698" xr:uid="{4F5E5970-AD99-4584-A8C0-379176075B33}"/>
    <hyperlink ref="J417" r:id="rId699" xr:uid="{47F122A6-2843-4462-8785-A6FE177C08DF}"/>
    <hyperlink ref="J418" r:id="rId700" xr:uid="{1AEB812E-28CC-4944-B932-9C50A09F787E}"/>
    <hyperlink ref="M418" r:id="rId701" xr:uid="{F5023922-666C-4622-8F31-0E5AA47669E5}"/>
    <hyperlink ref="J419" r:id="rId702" xr:uid="{BCFD41D8-A3B9-4C8E-86B5-E45D57CB949B}"/>
    <hyperlink ref="M419" r:id="rId703" xr:uid="{83BAE383-94D2-4FAF-90A5-814F9084D91D}"/>
    <hyperlink ref="J420" r:id="rId704" xr:uid="{C7427307-AA7A-4781-8E64-880B2B3660E5}"/>
    <hyperlink ref="J421" r:id="rId705" xr:uid="{69D92E2A-F77A-44F8-988B-E3DFB21A6EBD}"/>
    <hyperlink ref="M421" r:id="rId706" xr:uid="{959E2743-FF9D-4DBE-921F-158EACFC9C83}"/>
    <hyperlink ref="J422" r:id="rId707" xr:uid="{A99A0C5D-7793-4D21-9B13-0E0E624077D5}"/>
    <hyperlink ref="M422" r:id="rId708" xr:uid="{259AF0D2-0805-4EF4-BD03-0EAB911D6209}"/>
    <hyperlink ref="J423" r:id="rId709" xr:uid="{CED4DDE9-A8CA-4F2E-85FD-067EB7ECAF2E}"/>
    <hyperlink ref="M423" r:id="rId710" xr:uid="{BCA53CC2-C1AD-4829-B5A2-2D7CD07D1497}"/>
    <hyperlink ref="J424" r:id="rId711" xr:uid="{FA5B1460-2586-4421-8D7B-7DD50DAE7F65}"/>
    <hyperlink ref="M424" r:id="rId712" xr:uid="{D626AE87-606E-45F9-B27A-A4A23080B5D2}"/>
    <hyperlink ref="J425" r:id="rId713" xr:uid="{23D72D80-1E59-4852-B4E3-FAAC9B2EE686}"/>
    <hyperlink ref="M425" r:id="rId714" xr:uid="{5EA3080A-E1EC-48CD-9B73-A2AD54C22F5D}"/>
    <hyperlink ref="J426" r:id="rId715" xr:uid="{5849A65B-0CE8-4EB6-9283-A2A60582D6B3}"/>
    <hyperlink ref="M426" r:id="rId716" xr:uid="{3F232690-132A-486C-8907-4590797847D2}"/>
    <hyperlink ref="J427" r:id="rId717" xr:uid="{DC101026-6F5D-449E-B54E-1D6724DE3BA4}"/>
    <hyperlink ref="M427" r:id="rId718" xr:uid="{1CE0E762-244F-45AA-A714-7AA6F645E2CE}"/>
    <hyperlink ref="J428" r:id="rId719" xr:uid="{8FAE4DE5-5458-4068-A454-54C66880B6B5}"/>
    <hyperlink ref="M428" r:id="rId720" xr:uid="{CB19DCC5-BE76-496F-852A-1616CAD8B37C}"/>
    <hyperlink ref="J429" r:id="rId721" xr:uid="{054BDF6B-DBAA-45B6-9E1D-41DDF1182E12}"/>
    <hyperlink ref="M429" r:id="rId722" xr:uid="{4D9EE9C3-DB80-4CC0-A7C3-8BCF3BDE8548}"/>
    <hyperlink ref="J430" r:id="rId723" xr:uid="{5275339D-DEB7-4BB1-B26A-776377A55175}"/>
    <hyperlink ref="M430" r:id="rId724" xr:uid="{F1AD7045-39E1-4E56-A370-EC578E6D5895}"/>
    <hyperlink ref="J431" r:id="rId725" xr:uid="{57CF81B1-1534-4BD4-ABDB-7AE4F7F76C00}"/>
    <hyperlink ref="M431" r:id="rId726" xr:uid="{6838EA98-57BE-4019-BA7D-D943480254FB}"/>
    <hyperlink ref="J433" r:id="rId727" xr:uid="{EF4E2F97-50F6-4D34-8381-DD7BFF895BA8}"/>
    <hyperlink ref="M433" r:id="rId728" xr:uid="{AC65E88C-9FD3-47B0-97AA-C168CE647882}"/>
    <hyperlink ref="J432" r:id="rId729" xr:uid="{1A663A80-4810-4D93-A521-C10DE1DEE025}"/>
    <hyperlink ref="M432" r:id="rId730" xr:uid="{35E1D22D-3880-4E67-A7DB-8500C796432F}"/>
    <hyperlink ref="J434" r:id="rId731" xr:uid="{18ED596C-0C7C-4A51-86B6-821512C3F418}"/>
    <hyperlink ref="M434" r:id="rId732" xr:uid="{8B7C82C0-41C5-4379-B292-A91E7F4444D4}"/>
    <hyperlink ref="J435" r:id="rId733" xr:uid="{98D9E2D0-3D85-4D45-9FB7-F981DD36C6AD}"/>
    <hyperlink ref="M435" r:id="rId734" xr:uid="{9AC7DF53-DF1C-4A12-AA0F-F16266F11944}"/>
    <hyperlink ref="J436" r:id="rId735" xr:uid="{6F98FF4F-D5C4-4B69-A2A3-AD6242E797E3}"/>
    <hyperlink ref="M436" r:id="rId736" xr:uid="{2E8713AC-8A98-45A5-8507-A176303D0CBA}"/>
    <hyperlink ref="J439" r:id="rId737" xr:uid="{6DCDE081-E128-46ED-9B51-D6635736504D}"/>
    <hyperlink ref="M439" r:id="rId738" xr:uid="{D41FB00F-BCE4-40B7-AC60-A1A152AF629F}"/>
    <hyperlink ref="J437" r:id="rId739" xr:uid="{F239AF4F-AD65-45E2-BEEB-1564803F7CF5}"/>
    <hyperlink ref="M437" r:id="rId740" xr:uid="{BB084465-FB65-4D47-B6CE-B921516EE66E}"/>
    <hyperlink ref="J442" r:id="rId741" xr:uid="{9D2A1DBC-23A1-43A3-876F-5E60398F5683}"/>
    <hyperlink ref="M442" r:id="rId742" xr:uid="{67AAC51D-2DF9-4C83-8AA1-C33D70C56BCE}"/>
    <hyperlink ref="J438" r:id="rId743" xr:uid="{3533DB4A-BDA0-4F6D-AEE9-9370E0A3AB01}"/>
    <hyperlink ref="M438" r:id="rId744" xr:uid="{CC4C67A3-BF5E-45B0-9BE0-A02D2B2EB3D1}"/>
    <hyperlink ref="J440" r:id="rId745" xr:uid="{8C3B23DD-2D20-4234-BDDE-51901BC00E49}"/>
    <hyperlink ref="M440" r:id="rId746" xr:uid="{793AC5BD-089D-4F68-BB01-9258A8031E75}"/>
    <hyperlink ref="J441" r:id="rId747" xr:uid="{1E5803D0-00D6-4B91-87C9-FC0F18DEA361}"/>
    <hyperlink ref="M441" r:id="rId748" xr:uid="{C5366737-8E0C-49DF-8FAA-1EBB9EA462EA}"/>
    <hyperlink ref="J443" r:id="rId749" xr:uid="{112F4EEE-8F17-4499-B1E7-7A94E3BDDC1F}"/>
    <hyperlink ref="M443" r:id="rId750" xr:uid="{BA47C443-C853-4656-931D-4BFCD66F6B12}"/>
    <hyperlink ref="J444" r:id="rId751" xr:uid="{4AD25415-9B78-478A-A237-EAB4AA558A10}"/>
    <hyperlink ref="M444" r:id="rId752" xr:uid="{80F2EBCE-CD7D-4805-9B77-1F80F97FB4F3}"/>
    <hyperlink ref="J445" r:id="rId753" xr:uid="{B68113C1-1290-44F7-9A30-E0A0CB618F4B}"/>
    <hyperlink ref="M445" r:id="rId754" xr:uid="{9895936C-B885-4B0F-8E62-EB8093F0264D}"/>
    <hyperlink ref="J446" r:id="rId755" xr:uid="{2873AEAE-F8DE-4E90-A7E1-C284AD92591B}"/>
    <hyperlink ref="M446" r:id="rId756" xr:uid="{0AD0AC1D-CFF6-441A-A92B-AD1DC8FE5A53}"/>
    <hyperlink ref="J447" r:id="rId757" xr:uid="{A8C99AE2-A239-4279-ADC1-4028AC68CDC4}"/>
    <hyperlink ref="M447" r:id="rId758" xr:uid="{0939FF67-3FA3-44A8-B3A9-82CB7D7D0DD9}"/>
    <hyperlink ref="J448" r:id="rId759" xr:uid="{1D70213D-A99F-461A-B319-D7355C0D1D13}"/>
    <hyperlink ref="M448" r:id="rId760" xr:uid="{0985A803-3F4D-44F0-BD34-BA435D9DBFD5}"/>
    <hyperlink ref="J449" r:id="rId761" xr:uid="{E8460360-C1B7-4257-B448-53BBA7E6ACF2}"/>
    <hyperlink ref="J450" r:id="rId762" xr:uid="{84CCD221-00A1-481C-82D4-627AF7E7AE81}"/>
    <hyperlink ref="M450" r:id="rId763" xr:uid="{4018E285-BD66-421C-B08F-B17AF9368343}"/>
    <hyperlink ref="J451" r:id="rId764" xr:uid="{C606A847-F65B-4B50-B634-435F447CC199}"/>
    <hyperlink ref="M451" r:id="rId765" xr:uid="{E7CAA0F8-120E-468A-B7F2-8FA4F74CE7C5}"/>
    <hyperlink ref="J453" r:id="rId766" xr:uid="{11B5120E-15C5-4B63-A7AE-7C5ABEB88D28}"/>
    <hyperlink ref="J454" r:id="rId767" xr:uid="{1158E5E4-E055-4607-A31F-A775CE3289AA}"/>
    <hyperlink ref="J455" r:id="rId768" xr:uid="{D5716999-58C0-477B-ADF5-7C90FBF5657C}"/>
    <hyperlink ref="M455" r:id="rId769" xr:uid="{2C7A478E-9D1A-4F02-8C5A-0984ACEDC14A}"/>
    <hyperlink ref="J456" r:id="rId770" xr:uid="{BBE6B50D-D8D0-4CF4-8F54-C23910E8D5BC}"/>
    <hyperlink ref="M456" r:id="rId771" xr:uid="{00317C81-5734-4626-9233-A8C0ADBD4091}"/>
    <hyperlink ref="J457" r:id="rId772" xr:uid="{DB847B05-B1F1-4C41-8C4D-8D0C0D7C1F75}"/>
    <hyperlink ref="M457" r:id="rId773" xr:uid="{354C1AFA-D635-4C43-A15D-AE1D055F07F5}"/>
    <hyperlink ref="J458" r:id="rId774" xr:uid="{3A1F6C3C-3DE5-4246-8B75-4D520B4AF3A2}"/>
    <hyperlink ref="M458" r:id="rId775" xr:uid="{51C174D1-BD54-46A8-98AB-20D09BF6E506}"/>
    <hyperlink ref="J459" r:id="rId776" xr:uid="{3D815B6A-AFAA-46BA-9F40-8BD10B7B0CBC}"/>
    <hyperlink ref="M459" r:id="rId777" xr:uid="{73CC52BC-E8B5-45EC-AB47-E885F5AB347A}"/>
    <hyperlink ref="J460" r:id="rId778" xr:uid="{C9737C7C-E579-4093-8852-FA619223396F}"/>
    <hyperlink ref="M460" r:id="rId779" xr:uid="{64E63A63-05E3-4E42-B2F3-B8BE6AAEAB0F}"/>
    <hyperlink ref="J461" r:id="rId780" xr:uid="{A6D6ED20-7692-4791-945A-49351168D96C}"/>
    <hyperlink ref="M461" r:id="rId781" xr:uid="{D47AF5EB-C4FB-4F03-B575-3D19918021A9}"/>
    <hyperlink ref="J462" r:id="rId782" xr:uid="{514E99CD-F6C9-44D5-BFB2-3C1A5E89C5EB}"/>
    <hyperlink ref="M462" r:id="rId783" xr:uid="{8D85D1EF-E5F0-4C07-9F3E-D2C25ED68942}"/>
    <hyperlink ref="J463" r:id="rId784" xr:uid="{A0A58F8C-12B1-49AE-A573-296820DA8074}"/>
    <hyperlink ref="M463" r:id="rId785" xr:uid="{49B9F0C5-62D2-46A5-9B84-9A28753317EA}"/>
    <hyperlink ref="J464" r:id="rId786" xr:uid="{29FD2F4E-95A6-45D0-86D0-978948B40613}"/>
    <hyperlink ref="M464" r:id="rId787" xr:uid="{680103BE-9D4F-4137-993F-BECA35474A88}"/>
    <hyperlink ref="J465" r:id="rId788" xr:uid="{C0CFEBF7-B35C-43C5-88F2-46C65BC92A4E}"/>
    <hyperlink ref="M465" r:id="rId789" xr:uid="{C322E3B4-9594-4FD0-9063-0E38841C3324}"/>
    <hyperlink ref="J466" r:id="rId790" xr:uid="{CBF1081A-A88E-411F-8C3E-87894713453A}"/>
    <hyperlink ref="M466" r:id="rId791" xr:uid="{44B4BAF0-968C-400A-BABB-70685AD42E17}"/>
    <hyperlink ref="J467" r:id="rId792" xr:uid="{2003A7C3-AD4F-42B3-B5DA-A97E4E244525}"/>
    <hyperlink ref="M467" r:id="rId793" xr:uid="{F4293F9C-8EF7-47CC-A16B-E9E8D773E3D3}"/>
    <hyperlink ref="J468" r:id="rId794" xr:uid="{60B8A89A-A149-49CA-AEFE-F69E583D02FE}"/>
    <hyperlink ref="M468" r:id="rId795" xr:uid="{55532596-3478-48E2-B8C3-99FFC971C1E8}"/>
  </hyperlinks>
  <pageMargins left="0.7" right="0.7" top="0.75" bottom="0.75" header="0.3" footer="0.3"/>
  <pageSetup paperSize="10000" orientation="landscape" horizontalDpi="0" verticalDpi="0" r:id="rId7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7B24-7A9C-4D6E-A210-7BFD33C16131}">
  <dimension ref="A1:B526"/>
  <sheetViews>
    <sheetView workbookViewId="0">
      <selection sqref="A1:B526"/>
    </sheetView>
  </sheetViews>
  <sheetFormatPr defaultRowHeight="15" x14ac:dyDescent="0.25"/>
  <cols>
    <col min="1" max="1" width="57" bestFit="1" customWidth="1"/>
  </cols>
  <sheetData>
    <row r="1" spans="1:2" ht="15.75" thickBot="1" x14ac:dyDescent="0.3">
      <c r="A1">
        <v>1</v>
      </c>
      <c r="B1" t="s">
        <v>3328</v>
      </c>
    </row>
    <row r="2" spans="1:2" ht="15.75" thickBot="1" x14ac:dyDescent="0.3">
      <c r="A2" s="101">
        <v>2</v>
      </c>
      <c r="B2" t="s">
        <v>3329</v>
      </c>
    </row>
    <row r="3" spans="1:2" ht="15.75" thickBot="1" x14ac:dyDescent="0.3">
      <c r="A3" s="101">
        <v>3</v>
      </c>
      <c r="B3" t="s">
        <v>3330</v>
      </c>
    </row>
    <row r="4" spans="1:2" ht="15.75" thickBot="1" x14ac:dyDescent="0.3">
      <c r="A4" s="101">
        <v>4</v>
      </c>
      <c r="B4" t="s">
        <v>3331</v>
      </c>
    </row>
    <row r="5" spans="1:2" ht="15.75" thickBot="1" x14ac:dyDescent="0.3">
      <c r="A5" s="101">
        <v>5</v>
      </c>
      <c r="B5" t="s">
        <v>3332</v>
      </c>
    </row>
    <row r="6" spans="1:2" ht="15.75" thickBot="1" x14ac:dyDescent="0.3">
      <c r="A6" s="13">
        <v>6</v>
      </c>
      <c r="B6" t="s">
        <v>3333</v>
      </c>
    </row>
    <row r="7" spans="1:2" ht="15.75" thickBot="1" x14ac:dyDescent="0.3">
      <c r="A7" s="13">
        <v>7</v>
      </c>
      <c r="B7" t="s">
        <v>3334</v>
      </c>
    </row>
    <row r="8" spans="1:2" ht="15.75" thickBot="1" x14ac:dyDescent="0.3">
      <c r="A8" s="13">
        <v>8</v>
      </c>
      <c r="B8" t="s">
        <v>3335</v>
      </c>
    </row>
    <row r="9" spans="1:2" ht="15.75" thickBot="1" x14ac:dyDescent="0.3">
      <c r="A9" s="13">
        <v>9</v>
      </c>
      <c r="B9" t="s">
        <v>3336</v>
      </c>
    </row>
    <row r="10" spans="1:2" ht="15.75" thickBot="1" x14ac:dyDescent="0.3">
      <c r="A10" s="13">
        <v>10</v>
      </c>
      <c r="B10" t="s">
        <v>3337</v>
      </c>
    </row>
    <row r="11" spans="1:2" ht="15.75" thickBot="1" x14ac:dyDescent="0.3">
      <c r="A11" s="13">
        <v>11</v>
      </c>
      <c r="B11" t="s">
        <v>3338</v>
      </c>
    </row>
    <row r="12" spans="1:2" ht="15.75" thickBot="1" x14ac:dyDescent="0.3">
      <c r="A12" s="13">
        <v>12</v>
      </c>
      <c r="B12" t="s">
        <v>3339</v>
      </c>
    </row>
    <row r="13" spans="1:2" ht="15.75" thickBot="1" x14ac:dyDescent="0.3">
      <c r="A13" s="13">
        <v>13</v>
      </c>
      <c r="B13" t="s">
        <v>3340</v>
      </c>
    </row>
    <row r="14" spans="1:2" ht="15.75" thickBot="1" x14ac:dyDescent="0.3">
      <c r="A14" s="13">
        <v>14</v>
      </c>
      <c r="B14" t="s">
        <v>550</v>
      </c>
    </row>
    <row r="15" spans="1:2" ht="15.75" thickBot="1" x14ac:dyDescent="0.3">
      <c r="A15" s="13">
        <v>15</v>
      </c>
      <c r="B15" t="s">
        <v>441</v>
      </c>
    </row>
    <row r="16" spans="1:2" ht="15.75" thickBot="1" x14ac:dyDescent="0.3">
      <c r="A16" s="101">
        <v>16</v>
      </c>
      <c r="B16" t="s">
        <v>3341</v>
      </c>
    </row>
    <row r="17" spans="1:2" ht="15.75" thickBot="1" x14ac:dyDescent="0.3">
      <c r="A17" s="101">
        <v>17</v>
      </c>
      <c r="B17" t="s">
        <v>3342</v>
      </c>
    </row>
    <row r="18" spans="1:2" ht="15.75" thickBot="1" x14ac:dyDescent="0.3">
      <c r="A18" s="13">
        <v>18</v>
      </c>
      <c r="B18" t="s">
        <v>3343</v>
      </c>
    </row>
    <row r="19" spans="1:2" ht="15.75" thickBot="1" x14ac:dyDescent="0.3">
      <c r="A19" s="101">
        <v>19</v>
      </c>
      <c r="B19" t="s">
        <v>3344</v>
      </c>
    </row>
    <row r="20" spans="1:2" ht="15.75" thickBot="1" x14ac:dyDescent="0.3">
      <c r="A20" s="13">
        <v>20</v>
      </c>
      <c r="B20" t="s">
        <v>567</v>
      </c>
    </row>
    <row r="21" spans="1:2" ht="15.75" thickBot="1" x14ac:dyDescent="0.3">
      <c r="A21" s="13">
        <v>21</v>
      </c>
      <c r="B21" t="s">
        <v>3345</v>
      </c>
    </row>
    <row r="22" spans="1:2" ht="15.75" thickBot="1" x14ac:dyDescent="0.3">
      <c r="A22" s="13">
        <v>22</v>
      </c>
      <c r="B22" t="s">
        <v>25</v>
      </c>
    </row>
    <row r="23" spans="1:2" ht="15.75" thickBot="1" x14ac:dyDescent="0.3">
      <c r="A23" s="13">
        <v>23</v>
      </c>
      <c r="B23" t="s">
        <v>2219</v>
      </c>
    </row>
    <row r="24" spans="1:2" ht="15.75" thickBot="1" x14ac:dyDescent="0.3">
      <c r="A24" s="13">
        <v>24</v>
      </c>
      <c r="B24" t="s">
        <v>671</v>
      </c>
    </row>
    <row r="25" spans="1:2" ht="15.75" thickBot="1" x14ac:dyDescent="0.3">
      <c r="A25" s="13">
        <v>25</v>
      </c>
      <c r="B25" t="s">
        <v>3346</v>
      </c>
    </row>
    <row r="26" spans="1:2" ht="15.75" thickBot="1" x14ac:dyDescent="0.3">
      <c r="A26" s="13">
        <v>26</v>
      </c>
      <c r="B26" t="s">
        <v>3347</v>
      </c>
    </row>
    <row r="27" spans="1:2" ht="15.75" thickBot="1" x14ac:dyDescent="0.3">
      <c r="A27" s="13">
        <v>27</v>
      </c>
      <c r="B27" t="s">
        <v>342</v>
      </c>
    </row>
    <row r="28" spans="1:2" ht="15.75" thickBot="1" x14ac:dyDescent="0.3">
      <c r="A28" s="13">
        <v>28</v>
      </c>
      <c r="B28" t="s">
        <v>490</v>
      </c>
    </row>
    <row r="29" spans="1:2" ht="15.75" thickBot="1" x14ac:dyDescent="0.3">
      <c r="A29" s="13">
        <v>29</v>
      </c>
      <c r="B29" t="s">
        <v>14</v>
      </c>
    </row>
    <row r="30" spans="1:2" ht="15.75" thickBot="1" x14ac:dyDescent="0.3">
      <c r="A30" s="101">
        <v>30</v>
      </c>
      <c r="B30" t="s">
        <v>2008</v>
      </c>
    </row>
    <row r="31" spans="1:2" ht="15.75" thickBot="1" x14ac:dyDescent="0.3">
      <c r="A31" s="13">
        <v>31</v>
      </c>
      <c r="B31" t="s">
        <v>3348</v>
      </c>
    </row>
    <row r="32" spans="1:2" ht="15.75" thickBot="1" x14ac:dyDescent="0.3">
      <c r="A32" s="13">
        <v>32</v>
      </c>
      <c r="B32" t="s">
        <v>435</v>
      </c>
    </row>
    <row r="33" spans="1:2" ht="15.75" thickBot="1" x14ac:dyDescent="0.3">
      <c r="A33" s="101">
        <v>33</v>
      </c>
      <c r="B33" t="s">
        <v>3349</v>
      </c>
    </row>
    <row r="34" spans="1:2" ht="15.75" thickBot="1" x14ac:dyDescent="0.3">
      <c r="A34" s="13">
        <v>34</v>
      </c>
      <c r="B34" t="s">
        <v>2781</v>
      </c>
    </row>
    <row r="35" spans="1:2" ht="15.75" thickBot="1" x14ac:dyDescent="0.3">
      <c r="A35" s="13">
        <v>35</v>
      </c>
      <c r="B35" t="s">
        <v>2626</v>
      </c>
    </row>
    <row r="36" spans="1:2" ht="15.75" thickBot="1" x14ac:dyDescent="0.3">
      <c r="A36" s="13">
        <v>36</v>
      </c>
      <c r="B36" t="s">
        <v>3350</v>
      </c>
    </row>
    <row r="37" spans="1:2" ht="15.75" thickBot="1" x14ac:dyDescent="0.3">
      <c r="A37" s="13">
        <v>37</v>
      </c>
      <c r="B37" t="s">
        <v>3351</v>
      </c>
    </row>
    <row r="38" spans="1:2" ht="15.75" thickBot="1" x14ac:dyDescent="0.3">
      <c r="A38" s="13">
        <v>38</v>
      </c>
      <c r="B38" t="s">
        <v>3352</v>
      </c>
    </row>
    <row r="39" spans="1:2" ht="15.75" thickBot="1" x14ac:dyDescent="0.3">
      <c r="A39" s="13">
        <v>39</v>
      </c>
      <c r="B39" t="s">
        <v>3353</v>
      </c>
    </row>
    <row r="40" spans="1:2" ht="15.75" thickBot="1" x14ac:dyDescent="0.3">
      <c r="A40" s="13">
        <v>40</v>
      </c>
      <c r="B40" t="s">
        <v>3354</v>
      </c>
    </row>
    <row r="41" spans="1:2" ht="15.75" thickBot="1" x14ac:dyDescent="0.3">
      <c r="A41" s="13">
        <v>41</v>
      </c>
      <c r="B41" t="s">
        <v>3355</v>
      </c>
    </row>
    <row r="42" spans="1:2" ht="15.75" thickBot="1" x14ac:dyDescent="0.3">
      <c r="A42" s="13">
        <v>42</v>
      </c>
      <c r="B42" t="s">
        <v>3356</v>
      </c>
    </row>
    <row r="43" spans="1:2" ht="15.75" thickBot="1" x14ac:dyDescent="0.3">
      <c r="A43" s="13">
        <v>43</v>
      </c>
      <c r="B43" t="s">
        <v>3357</v>
      </c>
    </row>
    <row r="44" spans="1:2" ht="15.75" thickBot="1" x14ac:dyDescent="0.3">
      <c r="A44" s="13">
        <v>44</v>
      </c>
      <c r="B44" t="s">
        <v>3358</v>
      </c>
    </row>
    <row r="45" spans="1:2" ht="15.75" thickBot="1" x14ac:dyDescent="0.3">
      <c r="A45" s="13">
        <v>45</v>
      </c>
      <c r="B45" t="s">
        <v>3359</v>
      </c>
    </row>
    <row r="46" spans="1:2" ht="15.75" thickBot="1" x14ac:dyDescent="0.3">
      <c r="A46" s="99">
        <v>46</v>
      </c>
      <c r="B46" t="s">
        <v>3360</v>
      </c>
    </row>
    <row r="47" spans="1:2" ht="15.75" thickBot="1" x14ac:dyDescent="0.3">
      <c r="A47" s="100">
        <v>47</v>
      </c>
      <c r="B47" t="s">
        <v>3361</v>
      </c>
    </row>
    <row r="48" spans="1:2" ht="15.75" thickBot="1" x14ac:dyDescent="0.3">
      <c r="A48" s="13">
        <v>48</v>
      </c>
      <c r="B48" t="s">
        <v>3362</v>
      </c>
    </row>
    <row r="49" spans="1:2" ht="15.75" thickBot="1" x14ac:dyDescent="0.3">
      <c r="A49" s="13">
        <v>49</v>
      </c>
      <c r="B49" t="s">
        <v>3363</v>
      </c>
    </row>
    <row r="50" spans="1:2" ht="15.75" thickBot="1" x14ac:dyDescent="0.3">
      <c r="A50" s="13">
        <v>50</v>
      </c>
      <c r="B50" t="s">
        <v>3364</v>
      </c>
    </row>
    <row r="51" spans="1:2" ht="15.75" thickBot="1" x14ac:dyDescent="0.3">
      <c r="A51" s="13">
        <v>51</v>
      </c>
      <c r="B51" t="s">
        <v>3365</v>
      </c>
    </row>
    <row r="52" spans="1:2" ht="15.75" thickBot="1" x14ac:dyDescent="0.3">
      <c r="A52" s="13">
        <v>52</v>
      </c>
      <c r="B52" t="s">
        <v>3366</v>
      </c>
    </row>
    <row r="53" spans="1:2" ht="15.75" thickBot="1" x14ac:dyDescent="0.3">
      <c r="A53" s="13">
        <v>53</v>
      </c>
      <c r="B53" t="s">
        <v>3367</v>
      </c>
    </row>
    <row r="54" spans="1:2" ht="15.75" thickBot="1" x14ac:dyDescent="0.3">
      <c r="A54" s="13">
        <v>54</v>
      </c>
      <c r="B54" t="s">
        <v>113</v>
      </c>
    </row>
    <row r="55" spans="1:2" ht="15.75" thickBot="1" x14ac:dyDescent="0.3">
      <c r="A55" s="13">
        <v>55</v>
      </c>
      <c r="B55" t="s">
        <v>96</v>
      </c>
    </row>
    <row r="56" spans="1:2" ht="15.75" thickBot="1" x14ac:dyDescent="0.3">
      <c r="A56" s="13">
        <v>56</v>
      </c>
      <c r="B56" t="s">
        <v>208</v>
      </c>
    </row>
    <row r="57" spans="1:2" ht="15.75" thickBot="1" x14ac:dyDescent="0.3">
      <c r="A57" s="13">
        <v>57</v>
      </c>
      <c r="B57" t="s">
        <v>214</v>
      </c>
    </row>
    <row r="58" spans="1:2" ht="15.75" thickBot="1" x14ac:dyDescent="0.3">
      <c r="A58" s="13">
        <v>58</v>
      </c>
      <c r="B58" t="s">
        <v>902</v>
      </c>
    </row>
    <row r="59" spans="1:2" ht="15.75" thickBot="1" x14ac:dyDescent="0.3">
      <c r="A59" s="13"/>
      <c r="B59" t="s">
        <v>289</v>
      </c>
    </row>
    <row r="60" spans="1:2" ht="15.75" thickBot="1" x14ac:dyDescent="0.3">
      <c r="A60" s="13"/>
      <c r="B60" t="s">
        <v>289</v>
      </c>
    </row>
    <row r="61" spans="1:2" ht="15.75" thickBot="1" x14ac:dyDescent="0.3">
      <c r="A61" s="13"/>
      <c r="B61" t="s">
        <v>753</v>
      </c>
    </row>
    <row r="62" spans="1:2" ht="15.75" thickBot="1" x14ac:dyDescent="0.3">
      <c r="A62" s="13"/>
      <c r="B62" t="s">
        <v>753</v>
      </c>
    </row>
    <row r="63" spans="1:2" ht="15.75" thickBot="1" x14ac:dyDescent="0.3">
      <c r="A63" s="13"/>
      <c r="B63" t="s">
        <v>753</v>
      </c>
    </row>
    <row r="64" spans="1:2" ht="15.75" thickBot="1" x14ac:dyDescent="0.3">
      <c r="A64" s="13"/>
      <c r="B64" t="s">
        <v>753</v>
      </c>
    </row>
    <row r="65" spans="1:2" ht="15.75" thickBot="1" x14ac:dyDescent="0.3">
      <c r="A65" s="101"/>
      <c r="B65" t="s">
        <v>753</v>
      </c>
    </row>
    <row r="66" spans="1:2" ht="15.75" thickBot="1" x14ac:dyDescent="0.3">
      <c r="A66" s="13"/>
      <c r="B66" t="s">
        <v>753</v>
      </c>
    </row>
    <row r="67" spans="1:2" ht="15.75" thickBot="1" x14ac:dyDescent="0.3">
      <c r="A67" s="13"/>
      <c r="B67" t="s">
        <v>753</v>
      </c>
    </row>
    <row r="68" spans="1:2" ht="15.75" thickBot="1" x14ac:dyDescent="0.3">
      <c r="A68" s="13"/>
      <c r="B68" t="s">
        <v>753</v>
      </c>
    </row>
    <row r="69" spans="1:2" ht="15.75" thickBot="1" x14ac:dyDescent="0.3">
      <c r="A69" s="13"/>
      <c r="B69" t="s">
        <v>753</v>
      </c>
    </row>
    <row r="70" spans="1:2" ht="15.75" thickBot="1" x14ac:dyDescent="0.3">
      <c r="A70" s="13"/>
      <c r="B70" t="s">
        <v>753</v>
      </c>
    </row>
    <row r="71" spans="1:2" ht="15.75" thickBot="1" x14ac:dyDescent="0.3">
      <c r="A71" s="13"/>
      <c r="B71" t="s">
        <v>2923</v>
      </c>
    </row>
    <row r="72" spans="1:2" ht="15.75" thickBot="1" x14ac:dyDescent="0.3">
      <c r="A72" s="13"/>
      <c r="B72" t="s">
        <v>2923</v>
      </c>
    </row>
    <row r="73" spans="1:2" ht="15.75" thickBot="1" x14ac:dyDescent="0.3">
      <c r="A73" s="13"/>
      <c r="B73" t="s">
        <v>2923</v>
      </c>
    </row>
    <row r="74" spans="1:2" ht="15.75" thickBot="1" x14ac:dyDescent="0.3">
      <c r="A74" s="14"/>
      <c r="B74" t="s">
        <v>2923</v>
      </c>
    </row>
    <row r="75" spans="1:2" ht="15.75" thickBot="1" x14ac:dyDescent="0.3">
      <c r="A75" s="13"/>
      <c r="B75" t="s">
        <v>2923</v>
      </c>
    </row>
    <row r="76" spans="1:2" ht="15.75" thickBot="1" x14ac:dyDescent="0.3">
      <c r="A76" s="13"/>
      <c r="B76" t="s">
        <v>2923</v>
      </c>
    </row>
    <row r="77" spans="1:2" ht="15.75" thickBot="1" x14ac:dyDescent="0.3">
      <c r="A77" s="13"/>
      <c r="B77" t="s">
        <v>2923</v>
      </c>
    </row>
    <row r="78" spans="1:2" ht="15.75" thickBot="1" x14ac:dyDescent="0.3">
      <c r="A78" s="101"/>
      <c r="B78" t="s">
        <v>2923</v>
      </c>
    </row>
    <row r="79" spans="1:2" ht="15.75" thickBot="1" x14ac:dyDescent="0.3">
      <c r="A79" s="13"/>
      <c r="B79" t="s">
        <v>2923</v>
      </c>
    </row>
    <row r="80" spans="1:2" ht="15.75" thickBot="1" x14ac:dyDescent="0.3">
      <c r="A80" s="13"/>
      <c r="B80" t="s">
        <v>2923</v>
      </c>
    </row>
    <row r="81" spans="1:2" ht="15.75" thickBot="1" x14ac:dyDescent="0.3">
      <c r="A81" s="13"/>
      <c r="B81" t="s">
        <v>268</v>
      </c>
    </row>
    <row r="82" spans="1:2" ht="15.75" thickBot="1" x14ac:dyDescent="0.3">
      <c r="A82" s="13"/>
      <c r="B82" t="s">
        <v>268</v>
      </c>
    </row>
    <row r="83" spans="1:2" ht="15.75" thickBot="1" x14ac:dyDescent="0.3">
      <c r="A83" s="13"/>
      <c r="B83" t="s">
        <v>268</v>
      </c>
    </row>
    <row r="84" spans="1:2" ht="15.75" thickBot="1" x14ac:dyDescent="0.3">
      <c r="A84" s="13"/>
      <c r="B84" t="s">
        <v>268</v>
      </c>
    </row>
    <row r="85" spans="1:2" ht="15.75" thickBot="1" x14ac:dyDescent="0.3">
      <c r="A85" s="13"/>
      <c r="B85" t="s">
        <v>268</v>
      </c>
    </row>
    <row r="86" spans="1:2" ht="15.75" thickBot="1" x14ac:dyDescent="0.3">
      <c r="A86" s="13"/>
      <c r="B86" t="s">
        <v>268</v>
      </c>
    </row>
    <row r="87" spans="1:2" ht="15.75" thickBot="1" x14ac:dyDescent="0.3">
      <c r="A87" s="13"/>
      <c r="B87" t="s">
        <v>268</v>
      </c>
    </row>
    <row r="88" spans="1:2" ht="15.75" thickBot="1" x14ac:dyDescent="0.3">
      <c r="A88" s="13"/>
      <c r="B88" t="s">
        <v>268</v>
      </c>
    </row>
    <row r="89" spans="1:2" ht="15.75" thickBot="1" x14ac:dyDescent="0.3">
      <c r="A89" s="13"/>
      <c r="B89" t="s">
        <v>268</v>
      </c>
    </row>
    <row r="90" spans="1:2" ht="15.75" thickBot="1" x14ac:dyDescent="0.3">
      <c r="A90" s="13"/>
      <c r="B90" t="s">
        <v>268</v>
      </c>
    </row>
    <row r="91" spans="1:2" ht="15.75" thickBot="1" x14ac:dyDescent="0.3">
      <c r="A91" s="13"/>
      <c r="B91" t="s">
        <v>196</v>
      </c>
    </row>
    <row r="92" spans="1:2" ht="15.75" thickBot="1" x14ac:dyDescent="0.3">
      <c r="A92" s="13"/>
      <c r="B92" t="s">
        <v>196</v>
      </c>
    </row>
    <row r="93" spans="1:2" ht="15.75" thickBot="1" x14ac:dyDescent="0.3">
      <c r="A93" s="13"/>
      <c r="B93" t="s">
        <v>609</v>
      </c>
    </row>
    <row r="94" spans="1:2" ht="15.75" thickBot="1" x14ac:dyDescent="0.3">
      <c r="A94" s="13"/>
      <c r="B94" t="s">
        <v>609</v>
      </c>
    </row>
    <row r="95" spans="1:2" ht="15.75" thickBot="1" x14ac:dyDescent="0.3">
      <c r="A95" s="13"/>
      <c r="B95" t="s">
        <v>609</v>
      </c>
    </row>
    <row r="96" spans="1:2" ht="15.75" thickBot="1" x14ac:dyDescent="0.3">
      <c r="A96" s="13"/>
      <c r="B96" t="s">
        <v>609</v>
      </c>
    </row>
    <row r="97" spans="1:2" ht="15.75" thickBot="1" x14ac:dyDescent="0.3">
      <c r="A97" s="13"/>
      <c r="B97" t="s">
        <v>609</v>
      </c>
    </row>
    <row r="98" spans="1:2" ht="15.75" thickBot="1" x14ac:dyDescent="0.3">
      <c r="A98" s="13"/>
      <c r="B98" t="s">
        <v>609</v>
      </c>
    </row>
    <row r="99" spans="1:2" ht="15.75" thickBot="1" x14ac:dyDescent="0.3">
      <c r="A99" s="102"/>
      <c r="B99" t="s">
        <v>609</v>
      </c>
    </row>
    <row r="100" spans="1:2" ht="15.75" thickBot="1" x14ac:dyDescent="0.3">
      <c r="A100" s="14"/>
      <c r="B100" t="s">
        <v>609</v>
      </c>
    </row>
    <row r="101" spans="1:2" ht="15.75" thickBot="1" x14ac:dyDescent="0.3">
      <c r="A101" s="13"/>
      <c r="B101" t="s">
        <v>609</v>
      </c>
    </row>
    <row r="102" spans="1:2" ht="15.75" thickBot="1" x14ac:dyDescent="0.3">
      <c r="A102" s="13"/>
      <c r="B102" t="s">
        <v>609</v>
      </c>
    </row>
    <row r="103" spans="1:2" ht="15.75" thickBot="1" x14ac:dyDescent="0.3">
      <c r="A103" s="13"/>
      <c r="B103" t="s">
        <v>609</v>
      </c>
    </row>
    <row r="104" spans="1:2" ht="15.75" thickBot="1" x14ac:dyDescent="0.3">
      <c r="A104" s="13"/>
      <c r="B104" t="s">
        <v>609</v>
      </c>
    </row>
    <row r="105" spans="1:2" ht="15.75" thickBot="1" x14ac:dyDescent="0.3">
      <c r="A105" s="13"/>
      <c r="B105" t="s">
        <v>609</v>
      </c>
    </row>
    <row r="106" spans="1:2" ht="15.75" thickBot="1" x14ac:dyDescent="0.3">
      <c r="A106" s="13"/>
      <c r="B106" t="s">
        <v>609</v>
      </c>
    </row>
    <row r="107" spans="1:2" ht="15.75" thickBot="1" x14ac:dyDescent="0.3">
      <c r="A107" s="13"/>
      <c r="B107" t="s">
        <v>609</v>
      </c>
    </row>
    <row r="108" spans="1:2" ht="15.75" thickBot="1" x14ac:dyDescent="0.3">
      <c r="A108" s="13"/>
      <c r="B108" t="s">
        <v>609</v>
      </c>
    </row>
    <row r="109" spans="1:2" ht="15.75" thickBot="1" x14ac:dyDescent="0.3">
      <c r="A109" s="13"/>
      <c r="B109" t="s">
        <v>609</v>
      </c>
    </row>
    <row r="110" spans="1:2" ht="15.75" thickBot="1" x14ac:dyDescent="0.3">
      <c r="A110" s="13"/>
      <c r="B110" t="s">
        <v>609</v>
      </c>
    </row>
    <row r="111" spans="1:2" ht="15.75" thickBot="1" x14ac:dyDescent="0.3">
      <c r="A111" s="102"/>
      <c r="B111" t="s">
        <v>609</v>
      </c>
    </row>
    <row r="112" spans="1:2" ht="15.75" thickBot="1" x14ac:dyDescent="0.3">
      <c r="A112" s="101"/>
      <c r="B112" t="s">
        <v>609</v>
      </c>
    </row>
    <row r="113" spans="1:2" ht="15.75" thickBot="1" x14ac:dyDescent="0.3">
      <c r="A113" s="101"/>
      <c r="B113" t="s">
        <v>609</v>
      </c>
    </row>
    <row r="114" spans="1:2" ht="15.75" thickBot="1" x14ac:dyDescent="0.3">
      <c r="A114" s="101"/>
      <c r="B114" t="s">
        <v>609</v>
      </c>
    </row>
    <row r="115" spans="1:2" ht="15.75" thickBot="1" x14ac:dyDescent="0.3">
      <c r="A115" s="13"/>
      <c r="B115" t="s">
        <v>609</v>
      </c>
    </row>
    <row r="116" spans="1:2" ht="15.75" thickBot="1" x14ac:dyDescent="0.3">
      <c r="A116" s="98"/>
      <c r="B116" t="s">
        <v>609</v>
      </c>
    </row>
    <row r="117" spans="1:2" ht="15.75" thickBot="1" x14ac:dyDescent="0.3">
      <c r="A117" s="101"/>
      <c r="B117" t="s">
        <v>609</v>
      </c>
    </row>
    <row r="118" spans="1:2" ht="15.75" thickBot="1" x14ac:dyDescent="0.3">
      <c r="A118" s="13"/>
      <c r="B118" t="s">
        <v>609</v>
      </c>
    </row>
    <row r="119" spans="1:2" ht="15.75" thickBot="1" x14ac:dyDescent="0.3">
      <c r="A119" s="13"/>
      <c r="B119" t="s">
        <v>609</v>
      </c>
    </row>
    <row r="120" spans="1:2" ht="15.75" thickBot="1" x14ac:dyDescent="0.3">
      <c r="A120" s="13"/>
      <c r="B120" t="s">
        <v>609</v>
      </c>
    </row>
    <row r="121" spans="1:2" ht="15.75" thickBot="1" x14ac:dyDescent="0.3">
      <c r="A121" s="13"/>
      <c r="B121" t="s">
        <v>609</v>
      </c>
    </row>
    <row r="122" spans="1:2" ht="15.75" thickBot="1" x14ac:dyDescent="0.3">
      <c r="A122" s="13"/>
      <c r="B122" t="s">
        <v>609</v>
      </c>
    </row>
    <row r="123" spans="1:2" ht="15.75" thickBot="1" x14ac:dyDescent="0.3">
      <c r="A123" s="13"/>
      <c r="B123" t="s">
        <v>677</v>
      </c>
    </row>
    <row r="124" spans="1:2" ht="15.75" thickBot="1" x14ac:dyDescent="0.3">
      <c r="A124" s="13"/>
      <c r="B124" t="s">
        <v>677</v>
      </c>
    </row>
    <row r="125" spans="1:2" ht="15.75" thickBot="1" x14ac:dyDescent="0.3">
      <c r="A125" s="13"/>
      <c r="B125" t="s">
        <v>677</v>
      </c>
    </row>
    <row r="126" spans="1:2" ht="15.75" thickBot="1" x14ac:dyDescent="0.3">
      <c r="A126" s="13"/>
      <c r="B126" t="s">
        <v>677</v>
      </c>
    </row>
    <row r="127" spans="1:2" ht="15.75" thickBot="1" x14ac:dyDescent="0.3">
      <c r="A127" s="13"/>
      <c r="B127" t="s">
        <v>677</v>
      </c>
    </row>
    <row r="128" spans="1:2" ht="15.75" thickBot="1" x14ac:dyDescent="0.3">
      <c r="A128" s="13"/>
      <c r="B128" t="s">
        <v>677</v>
      </c>
    </row>
    <row r="129" spans="1:2" ht="15.75" thickBot="1" x14ac:dyDescent="0.3">
      <c r="A129" s="13"/>
      <c r="B129" t="s">
        <v>677</v>
      </c>
    </row>
    <row r="130" spans="1:2" ht="15.75" thickBot="1" x14ac:dyDescent="0.3">
      <c r="A130" s="13"/>
      <c r="B130" t="s">
        <v>677</v>
      </c>
    </row>
    <row r="131" spans="1:2" ht="15.75" thickBot="1" x14ac:dyDescent="0.3">
      <c r="A131" s="13"/>
      <c r="B131" t="s">
        <v>96</v>
      </c>
    </row>
    <row r="132" spans="1:2" ht="15.75" thickBot="1" x14ac:dyDescent="0.3">
      <c r="A132" s="13"/>
      <c r="B132" t="s">
        <v>96</v>
      </c>
    </row>
    <row r="133" spans="1:2" ht="15.75" thickBot="1" x14ac:dyDescent="0.3">
      <c r="A133" s="13"/>
      <c r="B133" t="s">
        <v>96</v>
      </c>
    </row>
    <row r="134" spans="1:2" ht="15.75" thickBot="1" x14ac:dyDescent="0.3">
      <c r="A134" s="14"/>
      <c r="B134" t="s">
        <v>725</v>
      </c>
    </row>
    <row r="135" spans="1:2" ht="15.75" thickBot="1" x14ac:dyDescent="0.3">
      <c r="A135" s="13"/>
      <c r="B135" t="s">
        <v>725</v>
      </c>
    </row>
    <row r="136" spans="1:2" ht="15.75" thickBot="1" x14ac:dyDescent="0.3">
      <c r="A136" s="13"/>
      <c r="B136" t="s">
        <v>725</v>
      </c>
    </row>
    <row r="137" spans="1:2" ht="15.75" thickBot="1" x14ac:dyDescent="0.3">
      <c r="A137" s="13"/>
      <c r="B137" t="s">
        <v>725</v>
      </c>
    </row>
    <row r="138" spans="1:2" ht="15.75" thickBot="1" x14ac:dyDescent="0.3">
      <c r="A138" s="13"/>
      <c r="B138" t="s">
        <v>725</v>
      </c>
    </row>
    <row r="139" spans="1:2" ht="15.75" thickBot="1" x14ac:dyDescent="0.3">
      <c r="A139" s="13"/>
      <c r="B139" t="s">
        <v>725</v>
      </c>
    </row>
    <row r="140" spans="1:2" ht="15.75" thickBot="1" x14ac:dyDescent="0.3">
      <c r="A140" s="13"/>
      <c r="B140" t="s">
        <v>725</v>
      </c>
    </row>
    <row r="141" spans="1:2" ht="15.75" thickBot="1" x14ac:dyDescent="0.3">
      <c r="A141" s="13"/>
      <c r="B141" t="s">
        <v>725</v>
      </c>
    </row>
    <row r="142" spans="1:2" ht="15.75" thickBot="1" x14ac:dyDescent="0.3">
      <c r="A142" s="13"/>
      <c r="B142" t="s">
        <v>725</v>
      </c>
    </row>
    <row r="143" spans="1:2" ht="15.75" thickBot="1" x14ac:dyDescent="0.3">
      <c r="A143" s="13"/>
      <c r="B143" t="s">
        <v>725</v>
      </c>
    </row>
    <row r="144" spans="1:2" ht="15.75" thickBot="1" x14ac:dyDescent="0.3">
      <c r="A144" s="13"/>
      <c r="B144" t="s">
        <v>725</v>
      </c>
    </row>
    <row r="145" spans="1:2" ht="15.75" thickBot="1" x14ac:dyDescent="0.3">
      <c r="A145" s="13"/>
      <c r="B145" t="s">
        <v>725</v>
      </c>
    </row>
    <row r="146" spans="1:2" ht="15.75" thickBot="1" x14ac:dyDescent="0.3">
      <c r="A146" s="13"/>
      <c r="B146" t="s">
        <v>725</v>
      </c>
    </row>
    <row r="147" spans="1:2" ht="15.75" thickBot="1" x14ac:dyDescent="0.3">
      <c r="A147" s="13"/>
      <c r="B147" t="s">
        <v>725</v>
      </c>
    </row>
    <row r="148" spans="1:2" ht="15.75" thickBot="1" x14ac:dyDescent="0.3">
      <c r="A148" s="13"/>
      <c r="B148" t="s">
        <v>725</v>
      </c>
    </row>
    <row r="149" spans="1:2" ht="15.75" thickBot="1" x14ac:dyDescent="0.3">
      <c r="A149" s="13"/>
      <c r="B149" t="s">
        <v>725</v>
      </c>
    </row>
    <row r="150" spans="1:2" ht="15.75" thickBot="1" x14ac:dyDescent="0.3">
      <c r="A150" s="13"/>
      <c r="B150" t="s">
        <v>725</v>
      </c>
    </row>
    <row r="151" spans="1:2" ht="15.75" thickBot="1" x14ac:dyDescent="0.3">
      <c r="A151" s="13"/>
      <c r="B151" t="s">
        <v>725</v>
      </c>
    </row>
    <row r="152" spans="1:2" ht="15.75" thickBot="1" x14ac:dyDescent="0.3">
      <c r="A152" s="101"/>
      <c r="B152" t="s">
        <v>725</v>
      </c>
    </row>
    <row r="153" spans="1:2" ht="15.75" thickBot="1" x14ac:dyDescent="0.3">
      <c r="A153" s="101"/>
      <c r="B153" t="s">
        <v>725</v>
      </c>
    </row>
    <row r="154" spans="1:2" ht="15.75" thickBot="1" x14ac:dyDescent="0.3">
      <c r="A154" s="13"/>
      <c r="B154" t="s">
        <v>609</v>
      </c>
    </row>
    <row r="155" spans="1:2" ht="15.75" thickBot="1" x14ac:dyDescent="0.3">
      <c r="A155" s="101"/>
      <c r="B155" t="s">
        <v>113</v>
      </c>
    </row>
    <row r="156" spans="1:2" ht="15.75" thickBot="1" x14ac:dyDescent="0.3">
      <c r="A156" s="101"/>
      <c r="B156" t="s">
        <v>113</v>
      </c>
    </row>
    <row r="157" spans="1:2" ht="15.75" thickBot="1" x14ac:dyDescent="0.3">
      <c r="A157" s="13"/>
      <c r="B157" t="s">
        <v>113</v>
      </c>
    </row>
    <row r="158" spans="1:2" ht="15.75" thickBot="1" x14ac:dyDescent="0.3">
      <c r="A158" s="13"/>
      <c r="B158" t="s">
        <v>113</v>
      </c>
    </row>
    <row r="159" spans="1:2" ht="15.75" thickBot="1" x14ac:dyDescent="0.3">
      <c r="A159" s="13"/>
      <c r="B159" t="s">
        <v>113</v>
      </c>
    </row>
    <row r="160" spans="1:2" ht="15.75" thickBot="1" x14ac:dyDescent="0.3">
      <c r="A160" s="13"/>
      <c r="B160" t="s">
        <v>113</v>
      </c>
    </row>
    <row r="161" spans="1:2" ht="15.75" thickBot="1" x14ac:dyDescent="0.3">
      <c r="A161" s="101"/>
      <c r="B161" t="s">
        <v>113</v>
      </c>
    </row>
    <row r="162" spans="1:2" ht="15.75" thickBot="1" x14ac:dyDescent="0.3">
      <c r="A162" s="13"/>
      <c r="B162" t="s">
        <v>113</v>
      </c>
    </row>
    <row r="163" spans="1:2" ht="15.75" thickBot="1" x14ac:dyDescent="0.3">
      <c r="A163" s="13"/>
      <c r="B163" t="s">
        <v>113</v>
      </c>
    </row>
    <row r="164" spans="1:2" ht="15.75" thickBot="1" x14ac:dyDescent="0.3">
      <c r="A164" s="13"/>
      <c r="B164" t="s">
        <v>113</v>
      </c>
    </row>
    <row r="165" spans="1:2" ht="15.75" thickBot="1" x14ac:dyDescent="0.3">
      <c r="A165" s="13"/>
      <c r="B165" t="s">
        <v>550</v>
      </c>
    </row>
    <row r="166" spans="1:2" ht="15.75" thickBot="1" x14ac:dyDescent="0.3">
      <c r="A166" s="13"/>
      <c r="B166" t="s">
        <v>2880</v>
      </c>
    </row>
    <row r="167" spans="1:2" ht="15.75" thickBot="1" x14ac:dyDescent="0.3">
      <c r="A167" s="13"/>
      <c r="B167" t="s">
        <v>441</v>
      </c>
    </row>
    <row r="168" spans="1:2" ht="15.75" thickBot="1" x14ac:dyDescent="0.3">
      <c r="A168" s="101"/>
      <c r="B168" t="s">
        <v>441</v>
      </c>
    </row>
    <row r="169" spans="1:2" ht="15.75" thickBot="1" x14ac:dyDescent="0.3">
      <c r="A169" s="101"/>
      <c r="B169" t="s">
        <v>441</v>
      </c>
    </row>
    <row r="170" spans="1:2" ht="15.75" thickBot="1" x14ac:dyDescent="0.3">
      <c r="A170" s="13"/>
      <c r="B170" t="s">
        <v>441</v>
      </c>
    </row>
    <row r="171" spans="1:2" ht="15.75" thickBot="1" x14ac:dyDescent="0.3">
      <c r="A171" s="13"/>
      <c r="B171" t="s">
        <v>441</v>
      </c>
    </row>
    <row r="172" spans="1:2" ht="15.75" thickBot="1" x14ac:dyDescent="0.3">
      <c r="A172" s="13"/>
      <c r="B172" t="s">
        <v>441</v>
      </c>
    </row>
    <row r="173" spans="1:2" ht="15.75" thickBot="1" x14ac:dyDescent="0.3">
      <c r="A173" s="13"/>
      <c r="B173" t="s">
        <v>441</v>
      </c>
    </row>
    <row r="174" spans="1:2" ht="15.75" thickBot="1" x14ac:dyDescent="0.3">
      <c r="A174" s="13"/>
      <c r="B174" t="s">
        <v>441</v>
      </c>
    </row>
    <row r="175" spans="1:2" ht="15.75" thickBot="1" x14ac:dyDescent="0.3">
      <c r="A175" s="13"/>
      <c r="B175" t="s">
        <v>441</v>
      </c>
    </row>
    <row r="176" spans="1:2" ht="15.75" thickBot="1" x14ac:dyDescent="0.3">
      <c r="A176" s="13"/>
      <c r="B176" t="s">
        <v>441</v>
      </c>
    </row>
    <row r="177" spans="1:2" ht="15.75" thickBot="1" x14ac:dyDescent="0.3">
      <c r="A177" s="101"/>
      <c r="B177" t="s">
        <v>441</v>
      </c>
    </row>
    <row r="178" spans="1:2" ht="15.75" thickBot="1" x14ac:dyDescent="0.3">
      <c r="A178" s="13"/>
      <c r="B178" t="s">
        <v>441</v>
      </c>
    </row>
    <row r="179" spans="1:2" ht="15.75" thickBot="1" x14ac:dyDescent="0.3">
      <c r="A179" s="13"/>
      <c r="B179" t="s">
        <v>441</v>
      </c>
    </row>
    <row r="180" spans="1:2" ht="15.75" thickBot="1" x14ac:dyDescent="0.3">
      <c r="A180" s="13"/>
      <c r="B180" t="s">
        <v>441</v>
      </c>
    </row>
    <row r="181" spans="1:2" ht="15.75" thickBot="1" x14ac:dyDescent="0.3">
      <c r="A181" s="13"/>
      <c r="B181" t="s">
        <v>441</v>
      </c>
    </row>
    <row r="182" spans="1:2" ht="15.75" thickBot="1" x14ac:dyDescent="0.3">
      <c r="A182" s="13"/>
      <c r="B182" t="s">
        <v>441</v>
      </c>
    </row>
    <row r="183" spans="1:2" ht="15.75" thickBot="1" x14ac:dyDescent="0.3">
      <c r="A183" s="13"/>
      <c r="B183" t="s">
        <v>2073</v>
      </c>
    </row>
    <row r="184" spans="1:2" ht="15.75" thickBot="1" x14ac:dyDescent="0.3">
      <c r="A184" s="13"/>
      <c r="B184" t="s">
        <v>699</v>
      </c>
    </row>
    <row r="185" spans="1:2" ht="15.75" thickBot="1" x14ac:dyDescent="0.3">
      <c r="A185" s="13"/>
      <c r="B185" t="s">
        <v>699</v>
      </c>
    </row>
    <row r="186" spans="1:2" ht="15.75" thickBot="1" x14ac:dyDescent="0.3">
      <c r="A186" s="13"/>
      <c r="B186" t="s">
        <v>699</v>
      </c>
    </row>
    <row r="187" spans="1:2" ht="15.75" thickBot="1" x14ac:dyDescent="0.3">
      <c r="A187" s="13"/>
      <c r="B187" t="s">
        <v>699</v>
      </c>
    </row>
    <row r="188" spans="1:2" ht="15.75" thickBot="1" x14ac:dyDescent="0.3">
      <c r="A188" s="13"/>
      <c r="B188" t="s">
        <v>567</v>
      </c>
    </row>
    <row r="189" spans="1:2" ht="15.75" thickBot="1" x14ac:dyDescent="0.3">
      <c r="A189" s="13"/>
      <c r="B189" t="s">
        <v>567</v>
      </c>
    </row>
    <row r="190" spans="1:2" ht="15.75" thickBot="1" x14ac:dyDescent="0.3">
      <c r="A190" s="13"/>
      <c r="B190" t="s">
        <v>567</v>
      </c>
    </row>
    <row r="191" spans="1:2" ht="15.75" thickBot="1" x14ac:dyDescent="0.3">
      <c r="A191" s="13"/>
      <c r="B191" t="s">
        <v>567</v>
      </c>
    </row>
    <row r="192" spans="1:2" ht="15.75" thickBot="1" x14ac:dyDescent="0.3">
      <c r="A192" s="13"/>
      <c r="B192" t="s">
        <v>567</v>
      </c>
    </row>
    <row r="193" spans="1:2" ht="15.75" thickBot="1" x14ac:dyDescent="0.3">
      <c r="A193" s="13"/>
      <c r="B193" t="s">
        <v>567</v>
      </c>
    </row>
    <row r="194" spans="1:2" ht="15.75" thickBot="1" x14ac:dyDescent="0.3">
      <c r="A194" s="13"/>
      <c r="B194" t="s">
        <v>25</v>
      </c>
    </row>
    <row r="195" spans="1:2" ht="15.75" thickBot="1" x14ac:dyDescent="0.3">
      <c r="A195" s="13"/>
      <c r="B195" t="s">
        <v>25</v>
      </c>
    </row>
    <row r="196" spans="1:2" ht="15.75" thickBot="1" x14ac:dyDescent="0.3">
      <c r="A196" s="13"/>
      <c r="B196" t="s">
        <v>25</v>
      </c>
    </row>
    <row r="197" spans="1:2" ht="15.75" thickBot="1" x14ac:dyDescent="0.3">
      <c r="A197" s="13"/>
      <c r="B197" t="s">
        <v>25</v>
      </c>
    </row>
    <row r="198" spans="1:2" ht="15.75" thickBot="1" x14ac:dyDescent="0.3">
      <c r="A198" s="13"/>
      <c r="B198" t="s">
        <v>25</v>
      </c>
    </row>
    <row r="199" spans="1:2" ht="15.75" thickBot="1" x14ac:dyDescent="0.3">
      <c r="A199" s="13"/>
      <c r="B199" t="s">
        <v>25</v>
      </c>
    </row>
    <row r="200" spans="1:2" ht="15.75" thickBot="1" x14ac:dyDescent="0.3">
      <c r="A200" s="13"/>
      <c r="B200" t="s">
        <v>25</v>
      </c>
    </row>
    <row r="201" spans="1:2" ht="15.75" thickBot="1" x14ac:dyDescent="0.3">
      <c r="A201" s="13"/>
      <c r="B201" t="s">
        <v>2219</v>
      </c>
    </row>
    <row r="202" spans="1:2" ht="15.75" thickBot="1" x14ac:dyDescent="0.3">
      <c r="A202" s="13"/>
      <c r="B202" t="s">
        <v>2219</v>
      </c>
    </row>
    <row r="203" spans="1:2" ht="15.75" thickBot="1" x14ac:dyDescent="0.3">
      <c r="A203" s="13"/>
      <c r="B203" t="s">
        <v>2219</v>
      </c>
    </row>
    <row r="204" spans="1:2" ht="15.75" thickBot="1" x14ac:dyDescent="0.3">
      <c r="A204" s="13"/>
      <c r="B204" t="s">
        <v>2219</v>
      </c>
    </row>
    <row r="205" spans="1:2" ht="15.75" thickBot="1" x14ac:dyDescent="0.3">
      <c r="A205" s="13"/>
      <c r="B205" t="s">
        <v>2219</v>
      </c>
    </row>
    <row r="206" spans="1:2" ht="15.75" thickBot="1" x14ac:dyDescent="0.3">
      <c r="A206" s="13"/>
      <c r="B206" t="s">
        <v>2219</v>
      </c>
    </row>
    <row r="207" spans="1:2" ht="15.75" thickBot="1" x14ac:dyDescent="0.3">
      <c r="A207" s="13"/>
      <c r="B207" t="s">
        <v>2219</v>
      </c>
    </row>
    <row r="208" spans="1:2" ht="15.75" thickBot="1" x14ac:dyDescent="0.3">
      <c r="A208" s="13"/>
      <c r="B208" t="s">
        <v>2219</v>
      </c>
    </row>
    <row r="209" spans="1:2" ht="15.75" thickBot="1" x14ac:dyDescent="0.3">
      <c r="A209" s="13"/>
      <c r="B209" t="s">
        <v>2219</v>
      </c>
    </row>
    <row r="210" spans="1:2" ht="15.75" thickBot="1" x14ac:dyDescent="0.3">
      <c r="A210" s="13"/>
      <c r="B210" t="s">
        <v>2219</v>
      </c>
    </row>
    <row r="211" spans="1:2" ht="15.75" thickBot="1" x14ac:dyDescent="0.3">
      <c r="A211" s="13"/>
      <c r="B211" t="s">
        <v>2219</v>
      </c>
    </row>
    <row r="212" spans="1:2" ht="15.75" thickBot="1" x14ac:dyDescent="0.3">
      <c r="A212" s="13"/>
      <c r="B212" t="s">
        <v>2219</v>
      </c>
    </row>
    <row r="213" spans="1:2" ht="15.75" thickBot="1" x14ac:dyDescent="0.3">
      <c r="A213" s="13"/>
      <c r="B213" t="s">
        <v>2219</v>
      </c>
    </row>
    <row r="214" spans="1:2" ht="15.75" thickBot="1" x14ac:dyDescent="0.3">
      <c r="A214" s="13"/>
      <c r="B214" t="s">
        <v>2219</v>
      </c>
    </row>
    <row r="215" spans="1:2" ht="15.75" thickBot="1" x14ac:dyDescent="0.3">
      <c r="A215" s="13"/>
      <c r="B215" t="s">
        <v>2219</v>
      </c>
    </row>
    <row r="216" spans="1:2" ht="15.75" thickBot="1" x14ac:dyDescent="0.3">
      <c r="A216" s="13"/>
      <c r="B216" t="s">
        <v>2219</v>
      </c>
    </row>
    <row r="217" spans="1:2" ht="15.75" thickBot="1" x14ac:dyDescent="0.3">
      <c r="A217" s="13"/>
      <c r="B217" t="s">
        <v>2219</v>
      </c>
    </row>
    <row r="218" spans="1:2" ht="15.75" thickBot="1" x14ac:dyDescent="0.3">
      <c r="A218" s="13"/>
      <c r="B218" t="s">
        <v>2219</v>
      </c>
    </row>
    <row r="219" spans="1:2" ht="15.75" thickBot="1" x14ac:dyDescent="0.3">
      <c r="A219" s="13"/>
      <c r="B219" t="s">
        <v>2219</v>
      </c>
    </row>
    <row r="220" spans="1:2" ht="15.75" thickBot="1" x14ac:dyDescent="0.3">
      <c r="A220" s="13"/>
      <c r="B220" t="s">
        <v>2219</v>
      </c>
    </row>
    <row r="221" spans="1:2" ht="15.75" thickBot="1" x14ac:dyDescent="0.3">
      <c r="A221" s="13"/>
      <c r="B221" t="s">
        <v>2219</v>
      </c>
    </row>
    <row r="222" spans="1:2" ht="15.75" thickBot="1" x14ac:dyDescent="0.3">
      <c r="A222" s="13"/>
      <c r="B222" t="s">
        <v>2219</v>
      </c>
    </row>
    <row r="223" spans="1:2" ht="15.75" thickBot="1" x14ac:dyDescent="0.3">
      <c r="A223" s="13"/>
      <c r="B223" t="s">
        <v>2219</v>
      </c>
    </row>
    <row r="224" spans="1:2" ht="15.75" thickBot="1" x14ac:dyDescent="0.3">
      <c r="A224" s="13"/>
      <c r="B224" t="s">
        <v>2219</v>
      </c>
    </row>
    <row r="225" spans="1:2" ht="15.75" thickBot="1" x14ac:dyDescent="0.3">
      <c r="A225" s="13"/>
      <c r="B225" t="s">
        <v>2219</v>
      </c>
    </row>
    <row r="226" spans="1:2" ht="15.75" thickBot="1" x14ac:dyDescent="0.3">
      <c r="A226" s="13"/>
      <c r="B226" t="s">
        <v>2219</v>
      </c>
    </row>
    <row r="227" spans="1:2" ht="15.75" thickBot="1" x14ac:dyDescent="0.3">
      <c r="A227" s="13"/>
      <c r="B227" t="s">
        <v>2219</v>
      </c>
    </row>
    <row r="228" spans="1:2" ht="15.75" thickBot="1" x14ac:dyDescent="0.3">
      <c r="A228" s="13"/>
      <c r="B228" t="s">
        <v>2219</v>
      </c>
    </row>
    <row r="229" spans="1:2" ht="15.75" thickBot="1" x14ac:dyDescent="0.3">
      <c r="A229" s="13"/>
      <c r="B229" t="s">
        <v>2219</v>
      </c>
    </row>
    <row r="230" spans="1:2" ht="15.75" thickBot="1" x14ac:dyDescent="0.3">
      <c r="A230" s="13"/>
      <c r="B230" t="s">
        <v>2219</v>
      </c>
    </row>
    <row r="231" spans="1:2" ht="15.75" thickBot="1" x14ac:dyDescent="0.3">
      <c r="A231" s="13"/>
      <c r="B231" t="s">
        <v>2219</v>
      </c>
    </row>
    <row r="232" spans="1:2" ht="15.75" thickBot="1" x14ac:dyDescent="0.3">
      <c r="A232" s="101"/>
      <c r="B232" t="s">
        <v>2219</v>
      </c>
    </row>
    <row r="233" spans="1:2" ht="15.75" thickBot="1" x14ac:dyDescent="0.3">
      <c r="A233" s="13"/>
      <c r="B233" t="s">
        <v>2219</v>
      </c>
    </row>
    <row r="234" spans="1:2" ht="15.75" thickBot="1" x14ac:dyDescent="0.3">
      <c r="A234" s="101"/>
      <c r="B234" t="s">
        <v>2219</v>
      </c>
    </row>
    <row r="235" spans="1:2" ht="15.75" thickBot="1" x14ac:dyDescent="0.3">
      <c r="A235" s="101"/>
      <c r="B235" t="s">
        <v>2219</v>
      </c>
    </row>
    <row r="236" spans="1:2" ht="15.75" thickBot="1" x14ac:dyDescent="0.3">
      <c r="A236" s="101"/>
      <c r="B236" t="s">
        <v>2219</v>
      </c>
    </row>
    <row r="237" spans="1:2" ht="15.75" thickBot="1" x14ac:dyDescent="0.3">
      <c r="A237" s="13"/>
      <c r="B237" t="s">
        <v>2219</v>
      </c>
    </row>
    <row r="238" spans="1:2" ht="15.75" thickBot="1" x14ac:dyDescent="0.3">
      <c r="A238" s="13"/>
      <c r="B238" t="s">
        <v>2219</v>
      </c>
    </row>
    <row r="239" spans="1:2" ht="15.75" thickBot="1" x14ac:dyDescent="0.3">
      <c r="A239" s="13"/>
      <c r="B239" t="s">
        <v>2219</v>
      </c>
    </row>
    <row r="240" spans="1:2" ht="15.75" thickBot="1" x14ac:dyDescent="0.3">
      <c r="A240" s="13"/>
      <c r="B240" t="s">
        <v>2219</v>
      </c>
    </row>
    <row r="241" spans="1:2" ht="15.75" thickBot="1" x14ac:dyDescent="0.3">
      <c r="A241" s="13"/>
      <c r="B241" t="s">
        <v>2219</v>
      </c>
    </row>
    <row r="242" spans="1:2" ht="15.75" thickBot="1" x14ac:dyDescent="0.3">
      <c r="A242" s="101"/>
      <c r="B242" t="s">
        <v>2219</v>
      </c>
    </row>
    <row r="243" spans="1:2" ht="15.75" thickBot="1" x14ac:dyDescent="0.3">
      <c r="A243" s="13"/>
      <c r="B243" t="s">
        <v>2219</v>
      </c>
    </row>
    <row r="244" spans="1:2" ht="15.75" thickBot="1" x14ac:dyDescent="0.3">
      <c r="A244" s="13"/>
      <c r="B244" t="s">
        <v>2219</v>
      </c>
    </row>
    <row r="245" spans="1:2" ht="15.75" thickBot="1" x14ac:dyDescent="0.3">
      <c r="A245" s="13"/>
      <c r="B245" t="s">
        <v>2219</v>
      </c>
    </row>
    <row r="246" spans="1:2" ht="15.75" thickBot="1" x14ac:dyDescent="0.3">
      <c r="A246" s="13"/>
      <c r="B246" t="s">
        <v>2219</v>
      </c>
    </row>
    <row r="247" spans="1:2" ht="15.75" thickBot="1" x14ac:dyDescent="0.3">
      <c r="A247" s="13"/>
      <c r="B247" t="s">
        <v>2219</v>
      </c>
    </row>
    <row r="248" spans="1:2" ht="15.75" thickBot="1" x14ac:dyDescent="0.3">
      <c r="A248" s="13"/>
      <c r="B248" t="s">
        <v>2219</v>
      </c>
    </row>
    <row r="249" spans="1:2" ht="15.75" thickBot="1" x14ac:dyDescent="0.3">
      <c r="A249" s="13"/>
      <c r="B249" t="s">
        <v>2219</v>
      </c>
    </row>
    <row r="250" spans="1:2" ht="15.75" thickBot="1" x14ac:dyDescent="0.3">
      <c r="A250" s="101"/>
      <c r="B250" t="s">
        <v>2219</v>
      </c>
    </row>
    <row r="251" spans="1:2" ht="15.75" thickBot="1" x14ac:dyDescent="0.3">
      <c r="A251" s="13"/>
      <c r="B251" t="s">
        <v>2219</v>
      </c>
    </row>
    <row r="252" spans="1:2" ht="15.75" thickBot="1" x14ac:dyDescent="0.3">
      <c r="A252" s="13"/>
      <c r="B252" t="s">
        <v>2219</v>
      </c>
    </row>
    <row r="253" spans="1:2" ht="15.75" thickBot="1" x14ac:dyDescent="0.3">
      <c r="A253" s="13"/>
      <c r="B253" t="s">
        <v>671</v>
      </c>
    </row>
    <row r="254" spans="1:2" ht="15.75" thickBot="1" x14ac:dyDescent="0.3">
      <c r="A254" s="13"/>
      <c r="B254" t="s">
        <v>342</v>
      </c>
    </row>
    <row r="255" spans="1:2" ht="15.75" thickBot="1" x14ac:dyDescent="0.3">
      <c r="A255" s="13"/>
      <c r="B255" t="s">
        <v>342</v>
      </c>
    </row>
    <row r="256" spans="1:2" ht="15.75" thickBot="1" x14ac:dyDescent="0.3">
      <c r="A256" s="13"/>
      <c r="B256" t="s">
        <v>342</v>
      </c>
    </row>
    <row r="257" spans="1:2" ht="15.75" thickBot="1" x14ac:dyDescent="0.3">
      <c r="A257" s="13"/>
      <c r="B257" t="s">
        <v>342</v>
      </c>
    </row>
    <row r="258" spans="1:2" ht="15.75" thickBot="1" x14ac:dyDescent="0.3">
      <c r="A258" s="13"/>
      <c r="B258" t="s">
        <v>342</v>
      </c>
    </row>
    <row r="259" spans="1:2" ht="15.75" thickBot="1" x14ac:dyDescent="0.3">
      <c r="A259" s="13"/>
      <c r="B259" t="s">
        <v>490</v>
      </c>
    </row>
    <row r="260" spans="1:2" ht="15.75" thickBot="1" x14ac:dyDescent="0.3">
      <c r="A260" s="13"/>
      <c r="B260" t="s">
        <v>490</v>
      </c>
    </row>
    <row r="261" spans="1:2" ht="15.75" thickBot="1" x14ac:dyDescent="0.3">
      <c r="A261" s="13"/>
      <c r="B261" t="s">
        <v>490</v>
      </c>
    </row>
    <row r="262" spans="1:2" ht="15.75" thickBot="1" x14ac:dyDescent="0.3">
      <c r="A262" s="13"/>
      <c r="B262" t="s">
        <v>490</v>
      </c>
    </row>
    <row r="263" spans="1:2" ht="15.75" thickBot="1" x14ac:dyDescent="0.3">
      <c r="A263" s="13"/>
      <c r="B263" t="s">
        <v>490</v>
      </c>
    </row>
    <row r="264" spans="1:2" ht="15.75" thickBot="1" x14ac:dyDescent="0.3">
      <c r="A264" s="13"/>
      <c r="B264" t="s">
        <v>490</v>
      </c>
    </row>
    <row r="265" spans="1:2" ht="15.75" thickBot="1" x14ac:dyDescent="0.3">
      <c r="A265" s="13"/>
      <c r="B265" t="s">
        <v>14</v>
      </c>
    </row>
    <row r="266" spans="1:2" ht="15.75" thickBot="1" x14ac:dyDescent="0.3">
      <c r="A266" s="13"/>
      <c r="B266" t="s">
        <v>14</v>
      </c>
    </row>
    <row r="267" spans="1:2" ht="15.75" thickBot="1" x14ac:dyDescent="0.3">
      <c r="A267" s="13"/>
      <c r="B267" t="s">
        <v>14</v>
      </c>
    </row>
    <row r="268" spans="1:2" ht="15.75" thickBot="1" x14ac:dyDescent="0.3">
      <c r="A268" s="13"/>
      <c r="B268" t="s">
        <v>14</v>
      </c>
    </row>
    <row r="269" spans="1:2" ht="15.75" thickBot="1" x14ac:dyDescent="0.3">
      <c r="A269" s="13"/>
      <c r="B269" t="s">
        <v>14</v>
      </c>
    </row>
    <row r="270" spans="1:2" ht="15.75" thickBot="1" x14ac:dyDescent="0.3">
      <c r="A270" s="101"/>
      <c r="B270" t="s">
        <v>14</v>
      </c>
    </row>
    <row r="271" spans="1:2" ht="15.75" thickBot="1" x14ac:dyDescent="0.3">
      <c r="A271" s="13"/>
      <c r="B271" t="s">
        <v>14</v>
      </c>
    </row>
    <row r="272" spans="1:2" ht="15.75" thickBot="1" x14ac:dyDescent="0.3">
      <c r="A272" s="13"/>
      <c r="B272" t="s">
        <v>14</v>
      </c>
    </row>
    <row r="273" spans="1:2" ht="15.75" thickBot="1" x14ac:dyDescent="0.3">
      <c r="A273" s="13"/>
      <c r="B273" t="s">
        <v>14</v>
      </c>
    </row>
    <row r="274" spans="1:2" ht="15.75" thickBot="1" x14ac:dyDescent="0.3">
      <c r="A274" s="13"/>
      <c r="B274" t="s">
        <v>14</v>
      </c>
    </row>
    <row r="275" spans="1:2" ht="15.75" thickBot="1" x14ac:dyDescent="0.3">
      <c r="A275" s="13"/>
      <c r="B275" t="s">
        <v>14</v>
      </c>
    </row>
    <row r="276" spans="1:2" ht="15.75" thickBot="1" x14ac:dyDescent="0.3">
      <c r="A276" s="101"/>
      <c r="B276" t="s">
        <v>14</v>
      </c>
    </row>
    <row r="277" spans="1:2" ht="15.75" thickBot="1" x14ac:dyDescent="0.3">
      <c r="A277" s="101"/>
      <c r="B277" t="s">
        <v>14</v>
      </c>
    </row>
    <row r="278" spans="1:2" ht="15.75" thickBot="1" x14ac:dyDescent="0.3">
      <c r="A278" s="13"/>
      <c r="B278" t="s">
        <v>14</v>
      </c>
    </row>
    <row r="279" spans="1:2" ht="15.75" thickBot="1" x14ac:dyDescent="0.3">
      <c r="A279" s="13"/>
      <c r="B279" t="s">
        <v>14</v>
      </c>
    </row>
    <row r="280" spans="1:2" ht="15.75" thickBot="1" x14ac:dyDescent="0.3">
      <c r="A280" s="13"/>
      <c r="B280" t="s">
        <v>14</v>
      </c>
    </row>
    <row r="281" spans="1:2" ht="15.75" thickBot="1" x14ac:dyDescent="0.3">
      <c r="A281" s="13"/>
      <c r="B281" t="s">
        <v>14</v>
      </c>
    </row>
    <row r="282" spans="1:2" ht="15.75" thickBot="1" x14ac:dyDescent="0.3">
      <c r="A282" s="13"/>
      <c r="B282" t="s">
        <v>14</v>
      </c>
    </row>
    <row r="283" spans="1:2" ht="15.75" thickBot="1" x14ac:dyDescent="0.3">
      <c r="A283" s="13"/>
      <c r="B283" t="s">
        <v>14</v>
      </c>
    </row>
    <row r="284" spans="1:2" ht="15.75" thickBot="1" x14ac:dyDescent="0.3">
      <c r="A284" s="13"/>
      <c r="B284" t="s">
        <v>2008</v>
      </c>
    </row>
    <row r="285" spans="1:2" ht="15.75" thickBot="1" x14ac:dyDescent="0.3">
      <c r="A285" s="13"/>
      <c r="B285" t="s">
        <v>2008</v>
      </c>
    </row>
    <row r="286" spans="1:2" ht="15.75" thickBot="1" x14ac:dyDescent="0.3">
      <c r="A286" s="13"/>
      <c r="B286" t="s">
        <v>2008</v>
      </c>
    </row>
    <row r="287" spans="1:2" ht="15.75" thickBot="1" x14ac:dyDescent="0.3">
      <c r="A287" s="13"/>
      <c r="B287" t="s">
        <v>2008</v>
      </c>
    </row>
    <row r="288" spans="1:2" ht="15.75" thickBot="1" x14ac:dyDescent="0.3">
      <c r="A288" s="13"/>
      <c r="B288" t="s">
        <v>2008</v>
      </c>
    </row>
    <row r="289" spans="1:2" ht="15.75" thickBot="1" x14ac:dyDescent="0.3">
      <c r="A289" s="13"/>
      <c r="B289" t="s">
        <v>435</v>
      </c>
    </row>
    <row r="290" spans="1:2" ht="15.75" thickBot="1" x14ac:dyDescent="0.3">
      <c r="A290" s="13"/>
      <c r="B290" t="s">
        <v>435</v>
      </c>
    </row>
    <row r="291" spans="1:2" ht="15.75" thickBot="1" x14ac:dyDescent="0.3">
      <c r="A291" s="13"/>
      <c r="B291" t="s">
        <v>435</v>
      </c>
    </row>
    <row r="292" spans="1:2" ht="15.75" thickBot="1" x14ac:dyDescent="0.3">
      <c r="A292" s="13"/>
      <c r="B292" t="s">
        <v>435</v>
      </c>
    </row>
    <row r="293" spans="1:2" ht="15.75" thickBot="1" x14ac:dyDescent="0.3">
      <c r="A293" s="13"/>
      <c r="B293" t="s">
        <v>435</v>
      </c>
    </row>
    <row r="294" spans="1:2" ht="15.75" thickBot="1" x14ac:dyDescent="0.3">
      <c r="A294" s="13"/>
      <c r="B294" t="s">
        <v>435</v>
      </c>
    </row>
    <row r="295" spans="1:2" ht="15.75" thickBot="1" x14ac:dyDescent="0.3">
      <c r="A295" s="13"/>
      <c r="B295" t="s">
        <v>435</v>
      </c>
    </row>
    <row r="296" spans="1:2" ht="15.75" thickBot="1" x14ac:dyDescent="0.3">
      <c r="A296" s="13"/>
      <c r="B296" t="s">
        <v>435</v>
      </c>
    </row>
    <row r="297" spans="1:2" ht="15.75" thickBot="1" x14ac:dyDescent="0.3">
      <c r="A297" s="13"/>
      <c r="B297" t="s">
        <v>435</v>
      </c>
    </row>
    <row r="298" spans="1:2" ht="15.75" thickBot="1" x14ac:dyDescent="0.3">
      <c r="A298" s="13"/>
      <c r="B298" t="s">
        <v>435</v>
      </c>
    </row>
    <row r="299" spans="1:2" ht="15.75" thickBot="1" x14ac:dyDescent="0.3">
      <c r="A299" s="13"/>
      <c r="B299" t="s">
        <v>435</v>
      </c>
    </row>
    <row r="300" spans="1:2" ht="15.75" thickBot="1" x14ac:dyDescent="0.3">
      <c r="A300" s="13"/>
      <c r="B300" t="s">
        <v>435</v>
      </c>
    </row>
    <row r="301" spans="1:2" ht="15.75" thickBot="1" x14ac:dyDescent="0.3">
      <c r="A301" s="13"/>
      <c r="B301" t="s">
        <v>435</v>
      </c>
    </row>
    <row r="302" spans="1:2" ht="15.75" thickBot="1" x14ac:dyDescent="0.3">
      <c r="A302" s="13"/>
      <c r="B302" t="s">
        <v>435</v>
      </c>
    </row>
    <row r="303" spans="1:2" ht="15.75" thickBot="1" x14ac:dyDescent="0.3">
      <c r="A303" s="13"/>
      <c r="B303" t="s">
        <v>435</v>
      </c>
    </row>
    <row r="304" spans="1:2" ht="15.75" thickBot="1" x14ac:dyDescent="0.3">
      <c r="A304" s="13"/>
      <c r="B304" t="s">
        <v>435</v>
      </c>
    </row>
    <row r="305" spans="1:2" ht="15.75" thickBot="1" x14ac:dyDescent="0.3">
      <c r="A305" s="13"/>
      <c r="B305" t="s">
        <v>435</v>
      </c>
    </row>
    <row r="306" spans="1:2" ht="15.75" thickBot="1" x14ac:dyDescent="0.3">
      <c r="A306" s="13"/>
      <c r="B306" t="s">
        <v>435</v>
      </c>
    </row>
    <row r="307" spans="1:2" ht="15.75" thickBot="1" x14ac:dyDescent="0.3">
      <c r="A307" s="13"/>
      <c r="B307" t="s">
        <v>435</v>
      </c>
    </row>
    <row r="308" spans="1:2" ht="15.75" thickBot="1" x14ac:dyDescent="0.3">
      <c r="A308" s="13"/>
      <c r="B308" t="s">
        <v>435</v>
      </c>
    </row>
    <row r="309" spans="1:2" ht="15.75" thickBot="1" x14ac:dyDescent="0.3">
      <c r="A309" s="13"/>
      <c r="B309" t="s">
        <v>435</v>
      </c>
    </row>
    <row r="310" spans="1:2" ht="15.75" thickBot="1" x14ac:dyDescent="0.3">
      <c r="A310" s="13"/>
      <c r="B310" t="s">
        <v>435</v>
      </c>
    </row>
    <row r="311" spans="1:2" ht="15.75" thickBot="1" x14ac:dyDescent="0.3">
      <c r="A311" s="101"/>
      <c r="B311" t="s">
        <v>435</v>
      </c>
    </row>
    <row r="312" spans="1:2" ht="15.75" thickBot="1" x14ac:dyDescent="0.3">
      <c r="A312" s="101"/>
      <c r="B312" t="s">
        <v>435</v>
      </c>
    </row>
    <row r="313" spans="1:2" ht="15.75" thickBot="1" x14ac:dyDescent="0.3">
      <c r="A313" s="13"/>
      <c r="B313" t="s">
        <v>435</v>
      </c>
    </row>
    <row r="314" spans="1:2" ht="15.75" thickBot="1" x14ac:dyDescent="0.3">
      <c r="A314" s="101"/>
      <c r="B314" t="s">
        <v>435</v>
      </c>
    </row>
    <row r="315" spans="1:2" ht="15.75" thickBot="1" x14ac:dyDescent="0.3">
      <c r="A315" s="13"/>
      <c r="B315" t="s">
        <v>435</v>
      </c>
    </row>
    <row r="316" spans="1:2" ht="15.75" thickBot="1" x14ac:dyDescent="0.3">
      <c r="A316" s="13"/>
      <c r="B316" t="s">
        <v>435</v>
      </c>
    </row>
    <row r="317" spans="1:2" ht="15.75" thickBot="1" x14ac:dyDescent="0.3">
      <c r="A317" s="13"/>
      <c r="B317" t="s">
        <v>435</v>
      </c>
    </row>
    <row r="318" spans="1:2" ht="15.75" thickBot="1" x14ac:dyDescent="0.3">
      <c r="A318" s="13"/>
      <c r="B318" t="s">
        <v>435</v>
      </c>
    </row>
    <row r="319" spans="1:2" ht="15.75" thickBot="1" x14ac:dyDescent="0.3">
      <c r="A319" s="13"/>
      <c r="B319" t="s">
        <v>435</v>
      </c>
    </row>
    <row r="320" spans="1:2" ht="15.75" thickBot="1" x14ac:dyDescent="0.3">
      <c r="A320" s="13"/>
      <c r="B320" t="s">
        <v>435</v>
      </c>
    </row>
    <row r="321" spans="1:2" ht="15.75" thickBot="1" x14ac:dyDescent="0.3">
      <c r="A321" s="13"/>
      <c r="B321" t="s">
        <v>457</v>
      </c>
    </row>
    <row r="322" spans="1:2" ht="15.75" thickBot="1" x14ac:dyDescent="0.3">
      <c r="A322" s="101"/>
      <c r="B322" t="s">
        <v>2781</v>
      </c>
    </row>
    <row r="323" spans="1:2" ht="15.75" thickBot="1" x14ac:dyDescent="0.3">
      <c r="A323" s="101"/>
      <c r="B323" t="s">
        <v>2626</v>
      </c>
    </row>
    <row r="324" spans="1:2" ht="15.75" thickBot="1" x14ac:dyDescent="0.3">
      <c r="A324" s="13"/>
      <c r="B324" t="s">
        <v>2626</v>
      </c>
    </row>
    <row r="325" spans="1:2" ht="15.75" thickBot="1" x14ac:dyDescent="0.3">
      <c r="A325" s="13"/>
      <c r="B325" t="s">
        <v>2626</v>
      </c>
    </row>
    <row r="326" spans="1:2" ht="15.75" thickBot="1" x14ac:dyDescent="0.3">
      <c r="A326" s="13"/>
      <c r="B326" t="s">
        <v>256</v>
      </c>
    </row>
    <row r="327" spans="1:2" ht="15.75" thickBot="1" x14ac:dyDescent="0.3">
      <c r="A327" s="13"/>
      <c r="B327" t="s">
        <v>854</v>
      </c>
    </row>
    <row r="328" spans="1:2" ht="15.75" thickBot="1" x14ac:dyDescent="0.3">
      <c r="A328" s="13"/>
      <c r="B328" t="s">
        <v>484</v>
      </c>
    </row>
    <row r="329" spans="1:2" ht="15.75" thickBot="1" x14ac:dyDescent="0.3">
      <c r="A329" s="13"/>
      <c r="B329" t="s">
        <v>484</v>
      </c>
    </row>
    <row r="330" spans="1:2" ht="15.75" thickBot="1" x14ac:dyDescent="0.3">
      <c r="A330" s="13"/>
      <c r="B330" t="s">
        <v>484</v>
      </c>
    </row>
    <row r="331" spans="1:2" ht="15.75" thickBot="1" x14ac:dyDescent="0.3">
      <c r="A331" s="13"/>
      <c r="B331" t="s">
        <v>484</v>
      </c>
    </row>
    <row r="332" spans="1:2" ht="15.75" thickBot="1" x14ac:dyDescent="0.3">
      <c r="A332" s="13"/>
      <c r="B332" t="s">
        <v>484</v>
      </c>
    </row>
    <row r="333" spans="1:2" ht="15.75" thickBot="1" x14ac:dyDescent="0.3">
      <c r="A333" s="13"/>
      <c r="B333" t="s">
        <v>484</v>
      </c>
    </row>
    <row r="334" spans="1:2" ht="15.75" thickBot="1" x14ac:dyDescent="0.3">
      <c r="A334" s="13"/>
      <c r="B334" t="s">
        <v>484</v>
      </c>
    </row>
    <row r="335" spans="1:2" ht="15.75" thickBot="1" x14ac:dyDescent="0.3">
      <c r="A335" s="13"/>
      <c r="B335" t="s">
        <v>484</v>
      </c>
    </row>
    <row r="336" spans="1:2" ht="15.75" thickBot="1" x14ac:dyDescent="0.3">
      <c r="A336" s="13"/>
      <c r="B336" t="s">
        <v>484</v>
      </c>
    </row>
    <row r="337" spans="1:2" ht="15.75" thickBot="1" x14ac:dyDescent="0.3">
      <c r="A337" s="13"/>
      <c r="B337" t="s">
        <v>484</v>
      </c>
    </row>
    <row r="338" spans="1:2" ht="15.75" thickBot="1" x14ac:dyDescent="0.3">
      <c r="A338" s="13"/>
      <c r="B338" t="s">
        <v>484</v>
      </c>
    </row>
    <row r="339" spans="1:2" ht="15.75" thickBot="1" x14ac:dyDescent="0.3">
      <c r="A339" s="101"/>
      <c r="B339" t="s">
        <v>484</v>
      </c>
    </row>
    <row r="340" spans="1:2" ht="15.75" thickBot="1" x14ac:dyDescent="0.3">
      <c r="A340" s="13"/>
      <c r="B340" t="s">
        <v>484</v>
      </c>
    </row>
    <row r="341" spans="1:2" ht="15.75" thickBot="1" x14ac:dyDescent="0.3">
      <c r="A341" s="13"/>
      <c r="B341" t="s">
        <v>742</v>
      </c>
    </row>
    <row r="342" spans="1:2" ht="15.75" thickBot="1" x14ac:dyDescent="0.3">
      <c r="A342" s="13"/>
      <c r="B342" t="s">
        <v>2438</v>
      </c>
    </row>
    <row r="343" spans="1:2" ht="15.75" thickBot="1" x14ac:dyDescent="0.3">
      <c r="A343" s="13"/>
      <c r="B343" t="s">
        <v>593</v>
      </c>
    </row>
    <row r="344" spans="1:2" ht="15.75" thickBot="1" x14ac:dyDescent="0.3">
      <c r="A344" s="13"/>
      <c r="B344" t="s">
        <v>511</v>
      </c>
    </row>
    <row r="345" spans="1:2" ht="15.75" thickBot="1" x14ac:dyDescent="0.3">
      <c r="A345" s="13"/>
      <c r="B345" t="s">
        <v>473</v>
      </c>
    </row>
    <row r="346" spans="1:2" ht="15.75" thickBot="1" x14ac:dyDescent="0.3">
      <c r="A346" s="13"/>
      <c r="B346" t="s">
        <v>319</v>
      </c>
    </row>
    <row r="347" spans="1:2" ht="15.75" thickBot="1" x14ac:dyDescent="0.3">
      <c r="A347" s="13"/>
      <c r="B347" t="s">
        <v>319</v>
      </c>
    </row>
    <row r="348" spans="1:2" ht="15.75" thickBot="1" x14ac:dyDescent="0.3">
      <c r="A348" s="13"/>
      <c r="B348" t="s">
        <v>214</v>
      </c>
    </row>
    <row r="349" spans="1:2" ht="15.75" thickBot="1" x14ac:dyDescent="0.3">
      <c r="A349" s="13"/>
      <c r="B349" t="s">
        <v>214</v>
      </c>
    </row>
    <row r="350" spans="1:2" ht="15.75" thickBot="1" x14ac:dyDescent="0.3">
      <c r="A350" s="13"/>
      <c r="B350" t="s">
        <v>214</v>
      </c>
    </row>
    <row r="351" spans="1:2" ht="15.75" thickBot="1" x14ac:dyDescent="0.3">
      <c r="A351" s="13"/>
      <c r="B351" t="s">
        <v>214</v>
      </c>
    </row>
    <row r="352" spans="1:2" ht="15.75" thickBot="1" x14ac:dyDescent="0.3">
      <c r="A352" s="13"/>
      <c r="B352" t="s">
        <v>214</v>
      </c>
    </row>
    <row r="353" spans="1:2" ht="15.75" thickBot="1" x14ac:dyDescent="0.3">
      <c r="A353" s="13"/>
      <c r="B353" t="s">
        <v>214</v>
      </c>
    </row>
    <row r="354" spans="1:2" ht="15.75" thickBot="1" x14ac:dyDescent="0.3">
      <c r="A354" s="13"/>
      <c r="B354" t="s">
        <v>214</v>
      </c>
    </row>
    <row r="355" spans="1:2" ht="15.75" thickBot="1" x14ac:dyDescent="0.3">
      <c r="A355" s="13"/>
      <c r="B355" t="s">
        <v>902</v>
      </c>
    </row>
    <row r="356" spans="1:2" ht="15.75" thickBot="1" x14ac:dyDescent="0.3">
      <c r="A356" s="13"/>
      <c r="B356" t="s">
        <v>902</v>
      </c>
    </row>
    <row r="357" spans="1:2" ht="15.75" thickBot="1" x14ac:dyDescent="0.3">
      <c r="A357" s="13"/>
      <c r="B357" t="s">
        <v>902</v>
      </c>
    </row>
    <row r="358" spans="1:2" ht="15.75" thickBot="1" x14ac:dyDescent="0.3">
      <c r="A358" s="13"/>
      <c r="B358" t="s">
        <v>902</v>
      </c>
    </row>
    <row r="359" spans="1:2" ht="15.75" thickBot="1" x14ac:dyDescent="0.3">
      <c r="A359" s="13"/>
      <c r="B359" t="s">
        <v>208</v>
      </c>
    </row>
    <row r="360" spans="1:2" ht="15.75" thickBot="1" x14ac:dyDescent="0.3">
      <c r="A360" s="13"/>
      <c r="B360" t="s">
        <v>902</v>
      </c>
    </row>
    <row r="361" spans="1:2" ht="15.75" thickBot="1" x14ac:dyDescent="0.3">
      <c r="A361" s="13"/>
      <c r="B361" t="s">
        <v>902</v>
      </c>
    </row>
    <row r="362" spans="1:2" ht="15.75" thickBot="1" x14ac:dyDescent="0.3">
      <c r="A362" s="13"/>
      <c r="B362" t="s">
        <v>902</v>
      </c>
    </row>
    <row r="363" spans="1:2" ht="15.75" thickBot="1" x14ac:dyDescent="0.3">
      <c r="A363" s="13"/>
      <c r="B363" t="s">
        <v>902</v>
      </c>
    </row>
    <row r="364" spans="1:2" ht="15.75" thickBot="1" x14ac:dyDescent="0.3">
      <c r="A364" s="13"/>
      <c r="B364" t="s">
        <v>902</v>
      </c>
    </row>
    <row r="365" spans="1:2" ht="15.75" thickBot="1" x14ac:dyDescent="0.3">
      <c r="A365" s="13"/>
      <c r="B365" t="s">
        <v>902</v>
      </c>
    </row>
    <row r="366" spans="1:2" ht="15.75" thickBot="1" x14ac:dyDescent="0.3">
      <c r="A366" s="13"/>
      <c r="B366" t="s">
        <v>902</v>
      </c>
    </row>
    <row r="367" spans="1:2" ht="15.75" thickBot="1" x14ac:dyDescent="0.3">
      <c r="A367" s="13"/>
      <c r="B367" t="s">
        <v>902</v>
      </c>
    </row>
    <row r="368" spans="1:2" ht="15.75" thickBot="1" x14ac:dyDescent="0.3">
      <c r="A368" s="13"/>
      <c r="B368" t="s">
        <v>902</v>
      </c>
    </row>
    <row r="369" spans="1:2" ht="15.75" thickBot="1" x14ac:dyDescent="0.3">
      <c r="A369" s="13"/>
      <c r="B369" t="s">
        <v>902</v>
      </c>
    </row>
    <row r="370" spans="1:2" ht="15.75" thickBot="1" x14ac:dyDescent="0.3">
      <c r="A370" s="13"/>
      <c r="B370" t="s">
        <v>902</v>
      </c>
    </row>
    <row r="371" spans="1:2" ht="15.75" thickBot="1" x14ac:dyDescent="0.3">
      <c r="A371" s="13"/>
      <c r="B371" t="s">
        <v>902</v>
      </c>
    </row>
    <row r="372" spans="1:2" ht="15.75" thickBot="1" x14ac:dyDescent="0.3">
      <c r="A372" s="13"/>
      <c r="B372" t="s">
        <v>902</v>
      </c>
    </row>
    <row r="373" spans="1:2" ht="15.75" thickBot="1" x14ac:dyDescent="0.3">
      <c r="A373" s="13"/>
      <c r="B373" t="s">
        <v>348</v>
      </c>
    </row>
    <row r="374" spans="1:2" ht="15.75" thickBot="1" x14ac:dyDescent="0.3">
      <c r="A374" s="13"/>
      <c r="B374" t="s">
        <v>1534</v>
      </c>
    </row>
    <row r="375" spans="1:2" ht="15.75" thickBot="1" x14ac:dyDescent="0.3">
      <c r="A375" s="13"/>
      <c r="B375" t="s">
        <v>1665</v>
      </c>
    </row>
    <row r="376" spans="1:2" ht="15.75" thickBot="1" x14ac:dyDescent="0.3">
      <c r="A376" s="13"/>
      <c r="B376" t="s">
        <v>1665</v>
      </c>
    </row>
    <row r="377" spans="1:2" ht="15.75" thickBot="1" x14ac:dyDescent="0.3">
      <c r="A377" s="13"/>
      <c r="B377" t="s">
        <v>1665</v>
      </c>
    </row>
    <row r="378" spans="1:2" ht="15.75" thickBot="1" x14ac:dyDescent="0.3">
      <c r="A378" s="13"/>
      <c r="B378" t="s">
        <v>1665</v>
      </c>
    </row>
    <row r="379" spans="1:2" ht="15.75" thickBot="1" x14ac:dyDescent="0.3">
      <c r="A379" s="13"/>
      <c r="B379" t="s">
        <v>1534</v>
      </c>
    </row>
    <row r="380" spans="1:2" ht="15.75" thickBot="1" x14ac:dyDescent="0.3">
      <c r="A380" s="13"/>
      <c r="B380" t="s">
        <v>1534</v>
      </c>
    </row>
    <row r="381" spans="1:2" ht="15.75" thickBot="1" x14ac:dyDescent="0.3">
      <c r="A381" s="13"/>
      <c r="B381" t="s">
        <v>1534</v>
      </c>
    </row>
    <row r="382" spans="1:2" ht="15.75" thickBot="1" x14ac:dyDescent="0.3">
      <c r="A382" s="13"/>
      <c r="B382" t="s">
        <v>1534</v>
      </c>
    </row>
    <row r="383" spans="1:2" ht="15.75" thickBot="1" x14ac:dyDescent="0.3">
      <c r="A383" s="13"/>
      <c r="B383" t="s">
        <v>1534</v>
      </c>
    </row>
    <row r="384" spans="1:2" ht="15.75" thickBot="1" x14ac:dyDescent="0.3">
      <c r="A384" s="13"/>
      <c r="B384" t="s">
        <v>1534</v>
      </c>
    </row>
    <row r="385" spans="1:2" ht="15.75" thickBot="1" x14ac:dyDescent="0.3">
      <c r="A385" s="13"/>
      <c r="B385" t="s">
        <v>1534</v>
      </c>
    </row>
    <row r="386" spans="1:2" ht="15.75" thickBot="1" x14ac:dyDescent="0.3">
      <c r="A386" s="13"/>
      <c r="B386" t="s">
        <v>1534</v>
      </c>
    </row>
    <row r="387" spans="1:2" ht="15.75" thickBot="1" x14ac:dyDescent="0.3">
      <c r="A387" s="13"/>
      <c r="B387" t="s">
        <v>1190</v>
      </c>
    </row>
    <row r="388" spans="1:2" ht="15.75" thickBot="1" x14ac:dyDescent="0.3">
      <c r="A388" s="13"/>
      <c r="B388" t="s">
        <v>1190</v>
      </c>
    </row>
    <row r="389" spans="1:2" ht="15.75" thickBot="1" x14ac:dyDescent="0.3">
      <c r="A389" s="13"/>
      <c r="B389" t="s">
        <v>1190</v>
      </c>
    </row>
    <row r="390" spans="1:2" ht="15.75" thickBot="1" x14ac:dyDescent="0.3">
      <c r="A390" s="13"/>
      <c r="B390" t="s">
        <v>1190</v>
      </c>
    </row>
    <row r="391" spans="1:2" ht="15.75" thickBot="1" x14ac:dyDescent="0.3">
      <c r="A391" s="13"/>
      <c r="B391" t="s">
        <v>1190</v>
      </c>
    </row>
    <row r="392" spans="1:2" ht="15.75" thickBot="1" x14ac:dyDescent="0.3">
      <c r="A392" s="13"/>
      <c r="B392" t="s">
        <v>1190</v>
      </c>
    </row>
    <row r="393" spans="1:2" ht="15.75" thickBot="1" x14ac:dyDescent="0.3">
      <c r="A393" s="13"/>
      <c r="B393" t="s">
        <v>1238</v>
      </c>
    </row>
    <row r="394" spans="1:2" ht="15.75" thickBot="1" x14ac:dyDescent="0.3">
      <c r="A394" s="13"/>
      <c r="B394" t="s">
        <v>256</v>
      </c>
    </row>
    <row r="395" spans="1:2" ht="15.75" thickBot="1" x14ac:dyDescent="0.3">
      <c r="A395" s="13"/>
      <c r="B395" t="s">
        <v>256</v>
      </c>
    </row>
    <row r="396" spans="1:2" ht="15.75" thickBot="1" x14ac:dyDescent="0.3">
      <c r="A396" s="13"/>
      <c r="B396" t="s">
        <v>256</v>
      </c>
    </row>
    <row r="397" spans="1:2" ht="15.75" thickBot="1" x14ac:dyDescent="0.3">
      <c r="A397" s="13"/>
      <c r="B397" t="s">
        <v>256</v>
      </c>
    </row>
    <row r="398" spans="1:2" ht="15.75" thickBot="1" x14ac:dyDescent="0.3">
      <c r="A398" s="13"/>
      <c r="B398" t="s">
        <v>256</v>
      </c>
    </row>
    <row r="399" spans="1:2" ht="15.75" thickBot="1" x14ac:dyDescent="0.3">
      <c r="A399" s="13"/>
      <c r="B399" t="s">
        <v>256</v>
      </c>
    </row>
    <row r="400" spans="1:2" ht="15.75" thickBot="1" x14ac:dyDescent="0.3">
      <c r="A400" s="13"/>
      <c r="B400" t="s">
        <v>256</v>
      </c>
    </row>
    <row r="401" spans="1:2" ht="15.75" thickBot="1" x14ac:dyDescent="0.3">
      <c r="A401" s="13"/>
      <c r="B401" t="s">
        <v>256</v>
      </c>
    </row>
    <row r="402" spans="1:2" ht="15.75" thickBot="1" x14ac:dyDescent="0.3">
      <c r="A402" s="13"/>
      <c r="B402" t="s">
        <v>256</v>
      </c>
    </row>
    <row r="403" spans="1:2" ht="15.75" thickBot="1" x14ac:dyDescent="0.3">
      <c r="A403" s="13"/>
      <c r="B403" t="s">
        <v>1260</v>
      </c>
    </row>
    <row r="404" spans="1:2" ht="15.75" thickBot="1" x14ac:dyDescent="0.3">
      <c r="A404" s="13"/>
      <c r="B404" t="s">
        <v>1260</v>
      </c>
    </row>
    <row r="405" spans="1:2" ht="15.75" thickBot="1" x14ac:dyDescent="0.3">
      <c r="A405" s="13"/>
      <c r="B405" t="s">
        <v>1260</v>
      </c>
    </row>
    <row r="406" spans="1:2" ht="15.75" thickBot="1" x14ac:dyDescent="0.3">
      <c r="A406" s="13"/>
      <c r="B406" t="s">
        <v>1260</v>
      </c>
    </row>
    <row r="407" spans="1:2" ht="15.75" thickBot="1" x14ac:dyDescent="0.3">
      <c r="A407" s="13"/>
      <c r="B407" t="s">
        <v>1260</v>
      </c>
    </row>
    <row r="408" spans="1:2" ht="15.75" thickBot="1" x14ac:dyDescent="0.3">
      <c r="A408" s="13"/>
      <c r="B408" t="s">
        <v>854</v>
      </c>
    </row>
    <row r="409" spans="1:2" ht="15.75" thickBot="1" x14ac:dyDescent="0.3">
      <c r="A409" s="13"/>
      <c r="B409" t="s">
        <v>854</v>
      </c>
    </row>
    <row r="410" spans="1:2" ht="15.75" thickBot="1" x14ac:dyDescent="0.3">
      <c r="A410" s="13"/>
      <c r="B410" t="s">
        <v>484</v>
      </c>
    </row>
    <row r="411" spans="1:2" ht="15.75" thickBot="1" x14ac:dyDescent="0.3">
      <c r="A411" s="13"/>
      <c r="B411" t="s">
        <v>484</v>
      </c>
    </row>
    <row r="412" spans="1:2" ht="15.75" thickBot="1" x14ac:dyDescent="0.3">
      <c r="A412" s="13"/>
      <c r="B412" t="s">
        <v>484</v>
      </c>
    </row>
    <row r="413" spans="1:2" ht="15.75" thickBot="1" x14ac:dyDescent="0.3">
      <c r="A413" s="13"/>
      <c r="B413" t="s">
        <v>484</v>
      </c>
    </row>
    <row r="414" spans="1:2" ht="15.75" thickBot="1" x14ac:dyDescent="0.3">
      <c r="A414" s="13"/>
      <c r="B414" t="s">
        <v>484</v>
      </c>
    </row>
    <row r="415" spans="1:2" ht="15.75" thickBot="1" x14ac:dyDescent="0.3">
      <c r="A415" s="13"/>
      <c r="B415" t="s">
        <v>484</v>
      </c>
    </row>
    <row r="416" spans="1:2" ht="15.75" thickBot="1" x14ac:dyDescent="0.3">
      <c r="A416" s="13"/>
      <c r="B416" t="s">
        <v>484</v>
      </c>
    </row>
    <row r="417" spans="1:2" ht="15.75" thickBot="1" x14ac:dyDescent="0.3">
      <c r="A417" s="13"/>
      <c r="B417" t="s">
        <v>484</v>
      </c>
    </row>
    <row r="418" spans="1:2" ht="15.75" thickBot="1" x14ac:dyDescent="0.3">
      <c r="A418" s="13"/>
      <c r="B418" t="s">
        <v>484</v>
      </c>
    </row>
    <row r="419" spans="1:2" ht="15.75" thickBot="1" x14ac:dyDescent="0.3">
      <c r="A419" s="13"/>
      <c r="B419" t="s">
        <v>484</v>
      </c>
    </row>
    <row r="420" spans="1:2" ht="15.75" thickBot="1" x14ac:dyDescent="0.3">
      <c r="A420" s="13"/>
      <c r="B420" t="s">
        <v>484</v>
      </c>
    </row>
    <row r="421" spans="1:2" ht="15.75" thickBot="1" x14ac:dyDescent="0.3">
      <c r="A421" s="13"/>
      <c r="B421" t="s">
        <v>484</v>
      </c>
    </row>
    <row r="422" spans="1:2" ht="15.75" thickBot="1" x14ac:dyDescent="0.3">
      <c r="A422" s="13"/>
      <c r="B422" t="s">
        <v>484</v>
      </c>
    </row>
    <row r="423" spans="1:2" ht="15.75" thickBot="1" x14ac:dyDescent="0.3">
      <c r="A423" s="13"/>
      <c r="B423" t="s">
        <v>742</v>
      </c>
    </row>
    <row r="424" spans="1:2" ht="15.75" thickBot="1" x14ac:dyDescent="0.3">
      <c r="A424" s="13"/>
      <c r="B424" t="s">
        <v>742</v>
      </c>
    </row>
    <row r="425" spans="1:2" ht="15.75" thickBot="1" x14ac:dyDescent="0.3">
      <c r="A425" s="13"/>
      <c r="B425" t="s">
        <v>742</v>
      </c>
    </row>
    <row r="426" spans="1:2" ht="15.75" thickBot="1" x14ac:dyDescent="0.3">
      <c r="A426" s="13"/>
      <c r="B426" t="s">
        <v>742</v>
      </c>
    </row>
    <row r="427" spans="1:2" ht="15.75" thickBot="1" x14ac:dyDescent="0.3">
      <c r="A427" s="13"/>
      <c r="B427" t="s">
        <v>742</v>
      </c>
    </row>
    <row r="428" spans="1:2" ht="15.75" thickBot="1" x14ac:dyDescent="0.3">
      <c r="A428" s="13"/>
      <c r="B428" t="s">
        <v>742</v>
      </c>
    </row>
    <row r="429" spans="1:2" ht="15.75" thickBot="1" x14ac:dyDescent="0.3">
      <c r="A429" s="13"/>
      <c r="B429" t="s">
        <v>742</v>
      </c>
    </row>
    <row r="430" spans="1:2" ht="15.75" thickBot="1" x14ac:dyDescent="0.3">
      <c r="A430" s="13"/>
      <c r="B430" t="s">
        <v>742</v>
      </c>
    </row>
    <row r="431" spans="1:2" ht="15.75" thickBot="1" x14ac:dyDescent="0.3">
      <c r="A431" s="13"/>
      <c r="B431" t="s">
        <v>742</v>
      </c>
    </row>
    <row r="432" spans="1:2" ht="15.75" thickBot="1" x14ac:dyDescent="0.3">
      <c r="A432" s="13"/>
      <c r="B432" t="s">
        <v>742</v>
      </c>
    </row>
    <row r="433" spans="1:2" ht="15.75" thickBot="1" x14ac:dyDescent="0.3">
      <c r="A433" s="13"/>
      <c r="B433" t="s">
        <v>742</v>
      </c>
    </row>
    <row r="434" spans="1:2" ht="15.75" thickBot="1" x14ac:dyDescent="0.3">
      <c r="A434" s="13"/>
      <c r="B434" t="s">
        <v>742</v>
      </c>
    </row>
    <row r="435" spans="1:2" ht="15.75" thickBot="1" x14ac:dyDescent="0.3">
      <c r="A435" s="13"/>
      <c r="B435" t="s">
        <v>742</v>
      </c>
    </row>
    <row r="436" spans="1:2" ht="15.75" thickBot="1" x14ac:dyDescent="0.3">
      <c r="A436" s="13"/>
      <c r="B436" t="s">
        <v>742</v>
      </c>
    </row>
    <row r="437" spans="1:2" ht="15.75" thickBot="1" x14ac:dyDescent="0.3">
      <c r="A437" s="13"/>
      <c r="B437" t="s">
        <v>593</v>
      </c>
    </row>
    <row r="438" spans="1:2" ht="15.75" thickBot="1" x14ac:dyDescent="0.3">
      <c r="A438" s="13"/>
      <c r="B438" t="s">
        <v>593</v>
      </c>
    </row>
    <row r="439" spans="1:2" ht="15.75" thickBot="1" x14ac:dyDescent="0.3">
      <c r="A439" s="13"/>
      <c r="B439" t="s">
        <v>593</v>
      </c>
    </row>
    <row r="440" spans="1:2" ht="15.75" thickBot="1" x14ac:dyDescent="0.3">
      <c r="A440" s="13"/>
      <c r="B440" t="s">
        <v>511</v>
      </c>
    </row>
    <row r="441" spans="1:2" ht="15.75" thickBot="1" x14ac:dyDescent="0.3">
      <c r="A441" s="13"/>
      <c r="B441" t="s">
        <v>511</v>
      </c>
    </row>
    <row r="442" spans="1:2" ht="15.75" thickBot="1" x14ac:dyDescent="0.3">
      <c r="A442" s="13"/>
      <c r="B442" t="s">
        <v>511</v>
      </c>
    </row>
    <row r="443" spans="1:2" ht="15.75" thickBot="1" x14ac:dyDescent="0.3">
      <c r="A443" s="13"/>
      <c r="B443" t="s">
        <v>511</v>
      </c>
    </row>
    <row r="444" spans="1:2" ht="15.75" thickBot="1" x14ac:dyDescent="0.3">
      <c r="A444" s="13"/>
      <c r="B444" t="s">
        <v>511</v>
      </c>
    </row>
    <row r="445" spans="1:2" ht="15.75" thickBot="1" x14ac:dyDescent="0.3">
      <c r="A445" s="13"/>
      <c r="B445" t="s">
        <v>511</v>
      </c>
    </row>
    <row r="446" spans="1:2" ht="15.75" thickBot="1" x14ac:dyDescent="0.3">
      <c r="A446" s="13"/>
      <c r="B446" t="s">
        <v>511</v>
      </c>
    </row>
    <row r="447" spans="1:2" ht="15.75" thickBot="1" x14ac:dyDescent="0.3">
      <c r="A447" s="13"/>
      <c r="B447" t="s">
        <v>511</v>
      </c>
    </row>
    <row r="448" spans="1:2" ht="15.75" thickBot="1" x14ac:dyDescent="0.3">
      <c r="A448" s="13"/>
      <c r="B448" t="s">
        <v>511</v>
      </c>
    </row>
    <row r="449" spans="1:2" ht="15.75" thickBot="1" x14ac:dyDescent="0.3">
      <c r="A449" s="13"/>
      <c r="B449" t="s">
        <v>1807</v>
      </c>
    </row>
    <row r="450" spans="1:2" ht="15.75" thickBot="1" x14ac:dyDescent="0.3">
      <c r="A450" s="13"/>
      <c r="B450" t="s">
        <v>1807</v>
      </c>
    </row>
    <row r="451" spans="1:2" ht="15.75" thickBot="1" x14ac:dyDescent="0.3">
      <c r="A451" s="13"/>
      <c r="B451" t="s">
        <v>473</v>
      </c>
    </row>
    <row r="452" spans="1:2" ht="15.75" thickBot="1" x14ac:dyDescent="0.3">
      <c r="A452" s="13"/>
      <c r="B452" t="s">
        <v>473</v>
      </c>
    </row>
    <row r="453" spans="1:2" ht="15.75" thickBot="1" x14ac:dyDescent="0.3">
      <c r="A453" s="13"/>
      <c r="B453" t="s">
        <v>473</v>
      </c>
    </row>
    <row r="454" spans="1:2" ht="15.75" thickBot="1" x14ac:dyDescent="0.3">
      <c r="A454" s="13"/>
      <c r="B454" t="s">
        <v>473</v>
      </c>
    </row>
    <row r="455" spans="1:2" ht="15.75" thickBot="1" x14ac:dyDescent="0.3">
      <c r="A455" s="13"/>
      <c r="B455" t="s">
        <v>473</v>
      </c>
    </row>
    <row r="456" spans="1:2" ht="15.75" thickBot="1" x14ac:dyDescent="0.3">
      <c r="A456" s="13"/>
      <c r="B456" t="s">
        <v>473</v>
      </c>
    </row>
    <row r="457" spans="1:2" ht="15.75" thickBot="1" x14ac:dyDescent="0.3">
      <c r="A457" s="13"/>
      <c r="B457" t="s">
        <v>473</v>
      </c>
    </row>
    <row r="458" spans="1:2" ht="15.75" thickBot="1" x14ac:dyDescent="0.3">
      <c r="A458" s="13"/>
      <c r="B458" t="s">
        <v>473</v>
      </c>
    </row>
    <row r="459" spans="1:2" ht="15.75" thickBot="1" x14ac:dyDescent="0.3">
      <c r="A459" s="13"/>
      <c r="B459" t="s">
        <v>473</v>
      </c>
    </row>
    <row r="460" spans="1:2" ht="15.75" thickBot="1" x14ac:dyDescent="0.3">
      <c r="A460" s="13"/>
      <c r="B460" t="s">
        <v>473</v>
      </c>
    </row>
    <row r="461" spans="1:2" ht="15.75" thickBot="1" x14ac:dyDescent="0.3">
      <c r="A461" s="13"/>
      <c r="B461" t="s">
        <v>473</v>
      </c>
    </row>
    <row r="462" spans="1:2" ht="15.75" thickBot="1" x14ac:dyDescent="0.3">
      <c r="A462" s="13"/>
      <c r="B462" t="s">
        <v>473</v>
      </c>
    </row>
    <row r="463" spans="1:2" ht="15.75" thickBot="1" x14ac:dyDescent="0.3">
      <c r="A463" s="13"/>
      <c r="B463" t="s">
        <v>473</v>
      </c>
    </row>
    <row r="464" spans="1:2" ht="15.75" thickBot="1" x14ac:dyDescent="0.3">
      <c r="A464" s="13"/>
      <c r="B464" t="s">
        <v>473</v>
      </c>
    </row>
    <row r="465" spans="1:2" ht="15.75" thickBot="1" x14ac:dyDescent="0.3">
      <c r="A465" s="14"/>
      <c r="B465" t="s">
        <v>473</v>
      </c>
    </row>
    <row r="466" spans="1:2" ht="15.75" thickBot="1" x14ac:dyDescent="0.3">
      <c r="A466" s="13"/>
      <c r="B466" t="s">
        <v>473</v>
      </c>
    </row>
    <row r="467" spans="1:2" ht="15.75" thickBot="1" x14ac:dyDescent="0.3">
      <c r="A467" s="13"/>
      <c r="B467" t="s">
        <v>473</v>
      </c>
    </row>
    <row r="468" spans="1:2" ht="15.75" thickBot="1" x14ac:dyDescent="0.3">
      <c r="A468" s="13"/>
      <c r="B468" t="s">
        <v>1907</v>
      </c>
    </row>
    <row r="469" spans="1:2" ht="15.75" thickBot="1" x14ac:dyDescent="0.3">
      <c r="A469" s="13"/>
      <c r="B469" t="s">
        <v>1907</v>
      </c>
    </row>
    <row r="470" spans="1:2" ht="15.75" thickBot="1" x14ac:dyDescent="0.3">
      <c r="A470" s="13"/>
      <c r="B470" t="s">
        <v>1907</v>
      </c>
    </row>
    <row r="471" spans="1:2" ht="15.75" thickBot="1" x14ac:dyDescent="0.3">
      <c r="A471" s="13"/>
      <c r="B471" t="s">
        <v>1907</v>
      </c>
    </row>
    <row r="472" spans="1:2" ht="15.75" thickBot="1" x14ac:dyDescent="0.3">
      <c r="A472" s="13"/>
      <c r="B472" t="s">
        <v>1907</v>
      </c>
    </row>
    <row r="473" spans="1:2" ht="15.75" thickBot="1" x14ac:dyDescent="0.3">
      <c r="A473" s="13"/>
      <c r="B473" t="s">
        <v>1907</v>
      </c>
    </row>
    <row r="474" spans="1:2" ht="15.75" thickBot="1" x14ac:dyDescent="0.3">
      <c r="A474" s="13"/>
      <c r="B474" t="s">
        <v>2219</v>
      </c>
    </row>
    <row r="475" spans="1:2" ht="15.75" thickBot="1" x14ac:dyDescent="0.3">
      <c r="A475" s="13"/>
      <c r="B475" t="s">
        <v>2219</v>
      </c>
    </row>
    <row r="476" spans="1:2" ht="15.75" thickBot="1" x14ac:dyDescent="0.3">
      <c r="A476" s="13"/>
      <c r="B476" t="s">
        <v>319</v>
      </c>
    </row>
    <row r="477" spans="1:2" ht="15.75" thickBot="1" x14ac:dyDescent="0.3">
      <c r="A477" s="13"/>
      <c r="B477" t="s">
        <v>319</v>
      </c>
    </row>
    <row r="478" spans="1:2" ht="15.75" thickBot="1" x14ac:dyDescent="0.3">
      <c r="A478" s="13"/>
      <c r="B478" t="s">
        <v>319</v>
      </c>
    </row>
    <row r="479" spans="1:2" ht="15.75" thickBot="1" x14ac:dyDescent="0.3">
      <c r="A479" s="13"/>
      <c r="B479" t="s">
        <v>319</v>
      </c>
    </row>
    <row r="480" spans="1:2" ht="15.75" thickBot="1" x14ac:dyDescent="0.3">
      <c r="A480" s="13"/>
      <c r="B480" t="s">
        <v>319</v>
      </c>
    </row>
    <row r="481" spans="1:2" ht="15.75" thickBot="1" x14ac:dyDescent="0.3">
      <c r="A481" s="13"/>
      <c r="B481" t="s">
        <v>1253</v>
      </c>
    </row>
    <row r="482" spans="1:2" ht="15.75" thickBot="1" x14ac:dyDescent="0.3">
      <c r="A482" s="13"/>
      <c r="B482" t="s">
        <v>1253</v>
      </c>
    </row>
    <row r="483" spans="1:2" ht="15.75" thickBot="1" x14ac:dyDescent="0.3">
      <c r="A483" s="13"/>
      <c r="B483" t="s">
        <v>1201</v>
      </c>
    </row>
    <row r="484" spans="1:2" ht="15.75" thickBot="1" x14ac:dyDescent="0.3">
      <c r="A484" s="13"/>
      <c r="B484" t="s">
        <v>1201</v>
      </c>
    </row>
    <row r="485" spans="1:2" ht="15.75" thickBot="1" x14ac:dyDescent="0.3">
      <c r="A485" s="101"/>
      <c r="B485" t="s">
        <v>160</v>
      </c>
    </row>
    <row r="486" spans="1:2" ht="15.75" thickBot="1" x14ac:dyDescent="0.3">
      <c r="A486" s="101"/>
      <c r="B486" t="s">
        <v>160</v>
      </c>
    </row>
    <row r="487" spans="1:2" ht="15.75" thickBot="1" x14ac:dyDescent="0.3">
      <c r="A487" s="101"/>
      <c r="B487" t="s">
        <v>160</v>
      </c>
    </row>
    <row r="488" spans="1:2" ht="15.75" thickBot="1" x14ac:dyDescent="0.3">
      <c r="A488" s="13"/>
      <c r="B488" t="s">
        <v>160</v>
      </c>
    </row>
    <row r="489" spans="1:2" ht="15.75" thickBot="1" x14ac:dyDescent="0.3">
      <c r="A489" s="13"/>
      <c r="B489" t="s">
        <v>160</v>
      </c>
    </row>
    <row r="490" spans="1:2" ht="15.75" thickBot="1" x14ac:dyDescent="0.3">
      <c r="A490" s="13"/>
      <c r="B490" t="s">
        <v>160</v>
      </c>
    </row>
    <row r="491" spans="1:2" ht="15.75" thickBot="1" x14ac:dyDescent="0.3">
      <c r="A491" s="13"/>
      <c r="B491" t="s">
        <v>160</v>
      </c>
    </row>
    <row r="492" spans="1:2" ht="15.75" thickBot="1" x14ac:dyDescent="0.3">
      <c r="A492" s="13"/>
      <c r="B492" t="s">
        <v>1071</v>
      </c>
    </row>
    <row r="493" spans="1:2" ht="15.75" thickBot="1" x14ac:dyDescent="0.3">
      <c r="A493" s="13"/>
      <c r="B493" t="s">
        <v>1038</v>
      </c>
    </row>
    <row r="494" spans="1:2" ht="15.75" thickBot="1" x14ac:dyDescent="0.3">
      <c r="A494" s="13"/>
      <c r="B494" t="s">
        <v>1038</v>
      </c>
    </row>
    <row r="495" spans="1:2" ht="15.75" thickBot="1" x14ac:dyDescent="0.3">
      <c r="A495" s="101"/>
      <c r="B495" t="s">
        <v>1038</v>
      </c>
    </row>
    <row r="496" spans="1:2" ht="15.75" thickBot="1" x14ac:dyDescent="0.3">
      <c r="A496" s="101"/>
      <c r="B496" t="s">
        <v>1038</v>
      </c>
    </row>
    <row r="497" spans="1:2" ht="15.75" thickBot="1" x14ac:dyDescent="0.3">
      <c r="A497" s="13"/>
      <c r="B497" t="s">
        <v>1038</v>
      </c>
    </row>
    <row r="498" spans="1:2" ht="15.75" thickBot="1" x14ac:dyDescent="0.3">
      <c r="A498" s="13"/>
      <c r="B498" t="s">
        <v>1038</v>
      </c>
    </row>
    <row r="499" spans="1:2" ht="15.75" thickBot="1" x14ac:dyDescent="0.3">
      <c r="A499" s="13"/>
      <c r="B499" t="s">
        <v>1038</v>
      </c>
    </row>
    <row r="500" spans="1:2" ht="15.75" thickBot="1" x14ac:dyDescent="0.3">
      <c r="A500" s="13"/>
      <c r="B500" t="s">
        <v>1038</v>
      </c>
    </row>
    <row r="501" spans="1:2" ht="15.75" thickBot="1" x14ac:dyDescent="0.3">
      <c r="A501" s="13"/>
      <c r="B501" t="s">
        <v>1038</v>
      </c>
    </row>
    <row r="502" spans="1:2" ht="15.75" thickBot="1" x14ac:dyDescent="0.3">
      <c r="A502" s="13"/>
      <c r="B502" t="s">
        <v>1038</v>
      </c>
    </row>
    <row r="503" spans="1:2" ht="15.75" thickBot="1" x14ac:dyDescent="0.3">
      <c r="A503" s="101"/>
      <c r="B503" t="s">
        <v>1038</v>
      </c>
    </row>
    <row r="504" spans="1:2" ht="15.75" thickBot="1" x14ac:dyDescent="0.3">
      <c r="A504" s="13"/>
      <c r="B504" t="s">
        <v>1038</v>
      </c>
    </row>
    <row r="505" spans="1:2" ht="15.75" thickBot="1" x14ac:dyDescent="0.3">
      <c r="A505" s="101"/>
      <c r="B505" t="s">
        <v>214</v>
      </c>
    </row>
    <row r="506" spans="1:2" ht="15.75" thickBot="1" x14ac:dyDescent="0.3">
      <c r="A506" s="101"/>
      <c r="B506" t="s">
        <v>214</v>
      </c>
    </row>
    <row r="507" spans="1:2" ht="15.75" thickBot="1" x14ac:dyDescent="0.3">
      <c r="A507" s="101"/>
      <c r="B507" t="s">
        <v>214</v>
      </c>
    </row>
    <row r="508" spans="1:2" ht="15.75" thickBot="1" x14ac:dyDescent="0.3">
      <c r="A508" s="101"/>
      <c r="B508" t="s">
        <v>214</v>
      </c>
    </row>
    <row r="509" spans="1:2" ht="15.75" thickBot="1" x14ac:dyDescent="0.3">
      <c r="A509" s="101"/>
      <c r="B509" t="s">
        <v>214</v>
      </c>
    </row>
    <row r="510" spans="1:2" ht="15.75" thickBot="1" x14ac:dyDescent="0.3">
      <c r="A510" s="101"/>
      <c r="B510" t="s">
        <v>214</v>
      </c>
    </row>
    <row r="511" spans="1:2" ht="15.75" thickBot="1" x14ac:dyDescent="0.3">
      <c r="A511" s="101"/>
      <c r="B511" t="s">
        <v>214</v>
      </c>
    </row>
    <row r="512" spans="1:2" ht="15.75" thickBot="1" x14ac:dyDescent="0.3">
      <c r="A512" s="13"/>
      <c r="B512" t="s">
        <v>214</v>
      </c>
    </row>
    <row r="513" spans="1:2" ht="15.75" thickBot="1" x14ac:dyDescent="0.3">
      <c r="A513" s="14"/>
      <c r="B513" t="s">
        <v>214</v>
      </c>
    </row>
    <row r="514" spans="1:2" ht="15.75" thickBot="1" x14ac:dyDescent="0.3">
      <c r="A514" s="13"/>
      <c r="B514" t="s">
        <v>214</v>
      </c>
    </row>
    <row r="515" spans="1:2" ht="15.75" thickBot="1" x14ac:dyDescent="0.3">
      <c r="A515" s="13"/>
      <c r="B515" t="s">
        <v>214</v>
      </c>
    </row>
    <row r="516" spans="1:2" x14ac:dyDescent="0.25">
      <c r="B516" t="s">
        <v>1181</v>
      </c>
    </row>
    <row r="517" spans="1:2" x14ac:dyDescent="0.25">
      <c r="B517" t="s">
        <v>332</v>
      </c>
    </row>
    <row r="518" spans="1:2" x14ac:dyDescent="0.25">
      <c r="B518" t="s">
        <v>63</v>
      </c>
    </row>
    <row r="519" spans="1:2" x14ac:dyDescent="0.25">
      <c r="B519" t="s">
        <v>63</v>
      </c>
    </row>
    <row r="520" spans="1:2" x14ac:dyDescent="0.25">
      <c r="B520" t="s">
        <v>63</v>
      </c>
    </row>
    <row r="521" spans="1:2" x14ac:dyDescent="0.25">
      <c r="B521" t="s">
        <v>63</v>
      </c>
    </row>
    <row r="522" spans="1:2" x14ac:dyDescent="0.25">
      <c r="B522" t="s">
        <v>63</v>
      </c>
    </row>
    <row r="523" spans="1:2" x14ac:dyDescent="0.25">
      <c r="B523" t="s">
        <v>63</v>
      </c>
    </row>
    <row r="524" spans="1:2" x14ac:dyDescent="0.25">
      <c r="B524" t="s">
        <v>7</v>
      </c>
    </row>
    <row r="525" spans="1:2" x14ac:dyDescent="0.25">
      <c r="B525" t="s">
        <v>1993</v>
      </c>
    </row>
    <row r="526" spans="1:2" x14ac:dyDescent="0.25">
      <c r="B526" t="s">
        <v>490</v>
      </c>
    </row>
  </sheetData>
  <autoFilter ref="A1:A515" xr:uid="{53F17B24-7A9C-4D6E-A210-7BFD33C16131}">
    <sortState xmlns:xlrd2="http://schemas.microsoft.com/office/spreadsheetml/2017/richdata2" ref="A2:A515">
      <sortCondition ref="A1:A51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6189-A161-404C-A4A9-6556CA34D27C}">
  <dimension ref="A1:B82"/>
  <sheetViews>
    <sheetView topLeftCell="A22" workbookViewId="0">
      <selection activeCell="A60" sqref="A60:B81"/>
    </sheetView>
  </sheetViews>
  <sheetFormatPr defaultRowHeight="15" x14ac:dyDescent="0.25"/>
  <cols>
    <col min="1" max="1" width="3.85546875" bestFit="1" customWidth="1"/>
    <col min="2" max="2" width="57" bestFit="1" customWidth="1"/>
  </cols>
  <sheetData>
    <row r="1" spans="1:2" ht="15.75" thickBot="1" x14ac:dyDescent="0.3">
      <c r="A1" t="s">
        <v>225</v>
      </c>
      <c r="B1" t="s">
        <v>3368</v>
      </c>
    </row>
    <row r="2" spans="1:2" ht="15.75" thickBot="1" x14ac:dyDescent="0.3">
      <c r="A2" s="19">
        <v>1</v>
      </c>
      <c r="B2" s="101" t="s">
        <v>3328</v>
      </c>
    </row>
    <row r="3" spans="1:2" ht="15.75" thickBot="1" x14ac:dyDescent="0.3">
      <c r="A3" s="19">
        <v>2</v>
      </c>
      <c r="B3" s="101" t="s">
        <v>3329</v>
      </c>
    </row>
    <row r="4" spans="1:2" ht="15.75" thickBot="1" x14ac:dyDescent="0.3">
      <c r="A4" s="19">
        <v>3</v>
      </c>
      <c r="B4" s="101" t="s">
        <v>3330</v>
      </c>
    </row>
    <row r="5" spans="1:2" ht="15.75" thickBot="1" x14ac:dyDescent="0.3">
      <c r="A5" s="19">
        <v>4</v>
      </c>
      <c r="B5" s="101" t="s">
        <v>2923</v>
      </c>
    </row>
    <row r="6" spans="1:2" ht="15.75" thickBot="1" x14ac:dyDescent="0.3">
      <c r="A6" s="19">
        <v>5</v>
      </c>
      <c r="B6" s="101" t="s">
        <v>3332</v>
      </c>
    </row>
    <row r="7" spans="1:2" ht="15.75" thickBot="1" x14ac:dyDescent="0.3">
      <c r="A7" s="19">
        <v>6</v>
      </c>
      <c r="B7" s="101" t="s">
        <v>3333</v>
      </c>
    </row>
    <row r="8" spans="1:2" ht="15.75" thickBot="1" x14ac:dyDescent="0.3">
      <c r="A8" s="19">
        <v>7</v>
      </c>
      <c r="B8" s="101" t="s">
        <v>3334</v>
      </c>
    </row>
    <row r="9" spans="1:2" ht="15.75" thickBot="1" x14ac:dyDescent="0.3">
      <c r="A9" s="19">
        <v>8</v>
      </c>
      <c r="B9" s="101" t="s">
        <v>3335</v>
      </c>
    </row>
    <row r="10" spans="1:2" ht="15.75" thickBot="1" x14ac:dyDescent="0.3">
      <c r="A10" s="19">
        <v>9</v>
      </c>
      <c r="B10" s="101" t="s">
        <v>3336</v>
      </c>
    </row>
    <row r="11" spans="1:2" ht="15.75" thickBot="1" x14ac:dyDescent="0.3">
      <c r="A11" s="19">
        <v>10</v>
      </c>
      <c r="B11" s="101" t="s">
        <v>3337</v>
      </c>
    </row>
    <row r="12" spans="1:2" ht="15.75" thickBot="1" x14ac:dyDescent="0.3">
      <c r="A12" s="19">
        <v>11</v>
      </c>
      <c r="B12" s="101" t="s">
        <v>3338</v>
      </c>
    </row>
    <row r="13" spans="1:2" ht="15.75" thickBot="1" x14ac:dyDescent="0.3">
      <c r="A13" s="19">
        <v>12</v>
      </c>
      <c r="B13" s="101" t="s">
        <v>3339</v>
      </c>
    </row>
    <row r="14" spans="1:2" ht="15.75" thickBot="1" x14ac:dyDescent="0.3">
      <c r="A14" s="19">
        <v>13</v>
      </c>
      <c r="B14" s="101" t="s">
        <v>3340</v>
      </c>
    </row>
    <row r="15" spans="1:2" ht="15.75" thickBot="1" x14ac:dyDescent="0.3">
      <c r="A15" s="19">
        <v>14</v>
      </c>
      <c r="B15" s="101" t="s">
        <v>550</v>
      </c>
    </row>
    <row r="16" spans="1:2" ht="15.75" thickBot="1" x14ac:dyDescent="0.3">
      <c r="A16" s="19">
        <v>15</v>
      </c>
      <c r="B16" s="101" t="s">
        <v>441</v>
      </c>
    </row>
    <row r="17" spans="1:2" ht="15.75" thickBot="1" x14ac:dyDescent="0.3">
      <c r="A17" s="19">
        <v>16</v>
      </c>
      <c r="B17" s="101" t="s">
        <v>3341</v>
      </c>
    </row>
    <row r="18" spans="1:2" ht="15.75" thickBot="1" x14ac:dyDescent="0.3">
      <c r="A18" s="19">
        <v>17</v>
      </c>
      <c r="B18" s="101" t="s">
        <v>3342</v>
      </c>
    </row>
    <row r="19" spans="1:2" ht="15.75" thickBot="1" x14ac:dyDescent="0.3">
      <c r="A19" s="19">
        <v>18</v>
      </c>
      <c r="B19" s="101" t="s">
        <v>3343</v>
      </c>
    </row>
    <row r="20" spans="1:2" ht="15.75" thickBot="1" x14ac:dyDescent="0.3">
      <c r="A20" s="19">
        <v>19</v>
      </c>
      <c r="B20" s="101" t="s">
        <v>3344</v>
      </c>
    </row>
    <row r="21" spans="1:2" ht="15.75" thickBot="1" x14ac:dyDescent="0.3">
      <c r="A21" s="19">
        <v>20</v>
      </c>
      <c r="B21" s="101" t="s">
        <v>567</v>
      </c>
    </row>
    <row r="22" spans="1:2" ht="15.75" thickBot="1" x14ac:dyDescent="0.3">
      <c r="A22" s="19">
        <v>21</v>
      </c>
      <c r="B22" s="101" t="s">
        <v>3345</v>
      </c>
    </row>
    <row r="23" spans="1:2" ht="15.75" thickBot="1" x14ac:dyDescent="0.3">
      <c r="A23" s="19">
        <v>22</v>
      </c>
      <c r="B23" s="101" t="s">
        <v>25</v>
      </c>
    </row>
    <row r="24" spans="1:2" ht="15.75" thickBot="1" x14ac:dyDescent="0.3">
      <c r="A24" s="19">
        <v>23</v>
      </c>
      <c r="B24" s="101" t="s">
        <v>2219</v>
      </c>
    </row>
    <row r="25" spans="1:2" ht="15.75" thickBot="1" x14ac:dyDescent="0.3">
      <c r="A25" s="19">
        <v>24</v>
      </c>
      <c r="B25" s="101" t="s">
        <v>671</v>
      </c>
    </row>
    <row r="26" spans="1:2" ht="15.75" thickBot="1" x14ac:dyDescent="0.3">
      <c r="A26" s="19">
        <v>25</v>
      </c>
      <c r="B26" s="101" t="s">
        <v>3346</v>
      </c>
    </row>
    <row r="27" spans="1:2" ht="15.75" thickBot="1" x14ac:dyDescent="0.3">
      <c r="A27" s="19">
        <v>26</v>
      </c>
      <c r="B27" s="101" t="s">
        <v>3347</v>
      </c>
    </row>
    <row r="28" spans="1:2" ht="15.75" thickBot="1" x14ac:dyDescent="0.3">
      <c r="A28" s="19">
        <v>27</v>
      </c>
      <c r="B28" s="101" t="s">
        <v>342</v>
      </c>
    </row>
    <row r="29" spans="1:2" ht="15.75" thickBot="1" x14ac:dyDescent="0.3">
      <c r="A29" s="19">
        <v>28</v>
      </c>
      <c r="B29" s="101" t="s">
        <v>490</v>
      </c>
    </row>
    <row r="30" spans="1:2" ht="15.75" thickBot="1" x14ac:dyDescent="0.3">
      <c r="A30" s="19">
        <v>29</v>
      </c>
      <c r="B30" s="101" t="s">
        <v>14</v>
      </c>
    </row>
    <row r="31" spans="1:2" ht="15.75" thickBot="1" x14ac:dyDescent="0.3">
      <c r="A31" s="19">
        <v>30</v>
      </c>
      <c r="B31" s="101" t="s">
        <v>2008</v>
      </c>
    </row>
    <row r="32" spans="1:2" ht="15.75" thickBot="1" x14ac:dyDescent="0.3">
      <c r="A32" s="19">
        <v>31</v>
      </c>
      <c r="B32" s="101" t="s">
        <v>3348</v>
      </c>
    </row>
    <row r="33" spans="1:2" ht="15.75" thickBot="1" x14ac:dyDescent="0.3">
      <c r="A33" s="19">
        <v>32</v>
      </c>
      <c r="B33" s="101" t="s">
        <v>435</v>
      </c>
    </row>
    <row r="34" spans="1:2" ht="15.75" thickBot="1" x14ac:dyDescent="0.3">
      <c r="A34" s="19">
        <v>33</v>
      </c>
      <c r="B34" s="101" t="s">
        <v>3349</v>
      </c>
    </row>
    <row r="35" spans="1:2" ht="15.75" thickBot="1" x14ac:dyDescent="0.3">
      <c r="A35" s="19">
        <v>34</v>
      </c>
      <c r="B35" s="101" t="s">
        <v>2781</v>
      </c>
    </row>
    <row r="36" spans="1:2" ht="15.75" thickBot="1" x14ac:dyDescent="0.3">
      <c r="A36" s="19">
        <v>35</v>
      </c>
      <c r="B36" s="101" t="s">
        <v>2626</v>
      </c>
    </row>
    <row r="37" spans="1:2" ht="15.75" thickBot="1" x14ac:dyDescent="0.3">
      <c r="A37" s="19">
        <v>36</v>
      </c>
      <c r="B37" s="101" t="s">
        <v>3350</v>
      </c>
    </row>
    <row r="38" spans="1:2" ht="15.75" thickBot="1" x14ac:dyDescent="0.3">
      <c r="A38" s="19">
        <v>37</v>
      </c>
      <c r="B38" s="101" t="s">
        <v>3351</v>
      </c>
    </row>
    <row r="39" spans="1:2" ht="15.75" thickBot="1" x14ac:dyDescent="0.3">
      <c r="A39" s="105">
        <v>38</v>
      </c>
      <c r="B39" s="106" t="s">
        <v>3352</v>
      </c>
    </row>
    <row r="40" spans="1:2" ht="15.75" thickBot="1" x14ac:dyDescent="0.3">
      <c r="A40" s="19">
        <v>39</v>
      </c>
      <c r="B40" s="106" t="s">
        <v>3353</v>
      </c>
    </row>
    <row r="41" spans="1:2" ht="15.75" thickBot="1" x14ac:dyDescent="0.3">
      <c r="A41" s="19">
        <v>40</v>
      </c>
      <c r="B41" s="101" t="s">
        <v>3354</v>
      </c>
    </row>
    <row r="42" spans="1:2" ht="15.75" thickBot="1" x14ac:dyDescent="0.3">
      <c r="A42" s="19">
        <v>41</v>
      </c>
      <c r="B42" s="101" t="s">
        <v>3355</v>
      </c>
    </row>
    <row r="43" spans="1:2" ht="15.75" thickBot="1" x14ac:dyDescent="0.3">
      <c r="A43" s="19">
        <v>42</v>
      </c>
      <c r="B43" s="101" t="s">
        <v>3356</v>
      </c>
    </row>
    <row r="44" spans="1:2" ht="15.75" thickBot="1" x14ac:dyDescent="0.3">
      <c r="A44" s="19">
        <v>43</v>
      </c>
      <c r="B44" s="106" t="s">
        <v>3357</v>
      </c>
    </row>
    <row r="45" spans="1:2" ht="15.75" thickBot="1" x14ac:dyDescent="0.3">
      <c r="A45" s="19">
        <v>44</v>
      </c>
      <c r="B45" s="101" t="s">
        <v>3358</v>
      </c>
    </row>
    <row r="46" spans="1:2" ht="15.75" thickBot="1" x14ac:dyDescent="0.3">
      <c r="A46" s="19">
        <v>45</v>
      </c>
      <c r="B46" s="101" t="s">
        <v>3359</v>
      </c>
    </row>
    <row r="47" spans="1:2" ht="15.75" thickBot="1" x14ac:dyDescent="0.3">
      <c r="A47" s="19">
        <v>46</v>
      </c>
      <c r="B47" s="106" t="s">
        <v>3360</v>
      </c>
    </row>
    <row r="48" spans="1:2" ht="15.75" thickBot="1" x14ac:dyDescent="0.3">
      <c r="A48" s="19">
        <v>47</v>
      </c>
      <c r="B48" s="106" t="s">
        <v>3361</v>
      </c>
    </row>
    <row r="49" spans="1:2" ht="15.75" thickBot="1" x14ac:dyDescent="0.3">
      <c r="A49" s="19">
        <v>48</v>
      </c>
      <c r="B49" s="101" t="s">
        <v>3362</v>
      </c>
    </row>
    <row r="50" spans="1:2" ht="15.75" thickBot="1" x14ac:dyDescent="0.3">
      <c r="A50" s="19">
        <v>49</v>
      </c>
      <c r="B50" s="106" t="s">
        <v>3363</v>
      </c>
    </row>
    <row r="51" spans="1:2" ht="15.75" thickBot="1" x14ac:dyDescent="0.3">
      <c r="A51" s="19">
        <v>50</v>
      </c>
      <c r="B51" s="106" t="s">
        <v>3364</v>
      </c>
    </row>
    <row r="52" spans="1:2" ht="15.75" thickBot="1" x14ac:dyDescent="0.3">
      <c r="A52" s="19">
        <v>51</v>
      </c>
      <c r="B52" s="106" t="s">
        <v>3365</v>
      </c>
    </row>
    <row r="53" spans="1:2" ht="15.75" thickBot="1" x14ac:dyDescent="0.3">
      <c r="A53" s="19">
        <v>52</v>
      </c>
      <c r="B53" s="107" t="s">
        <v>3366</v>
      </c>
    </row>
    <row r="54" spans="1:2" ht="15.75" thickBot="1" x14ac:dyDescent="0.3">
      <c r="A54" s="19">
        <v>53</v>
      </c>
      <c r="B54" s="107" t="s">
        <v>3367</v>
      </c>
    </row>
    <row r="55" spans="1:2" ht="15.75" thickBot="1" x14ac:dyDescent="0.3">
      <c r="A55" s="19">
        <v>54</v>
      </c>
      <c r="B55" s="108" t="s">
        <v>113</v>
      </c>
    </row>
    <row r="56" spans="1:2" ht="15.75" thickBot="1" x14ac:dyDescent="0.3">
      <c r="A56" s="19">
        <v>55</v>
      </c>
      <c r="B56" s="108" t="s">
        <v>96</v>
      </c>
    </row>
    <row r="57" spans="1:2" ht="15.75" thickBot="1" x14ac:dyDescent="0.3">
      <c r="A57" s="19">
        <v>56</v>
      </c>
      <c r="B57" s="108" t="s">
        <v>208</v>
      </c>
    </row>
    <row r="58" spans="1:2" ht="15.75" thickBot="1" x14ac:dyDescent="0.3">
      <c r="A58" s="19">
        <v>57</v>
      </c>
      <c r="B58" s="108" t="s">
        <v>214</v>
      </c>
    </row>
    <row r="59" spans="1:2" ht="15.75" thickBot="1" x14ac:dyDescent="0.3">
      <c r="A59" s="19">
        <v>58</v>
      </c>
      <c r="B59" s="108" t="s">
        <v>902</v>
      </c>
    </row>
    <row r="60" spans="1:2" ht="15.75" thickBot="1" x14ac:dyDescent="0.3">
      <c r="A60" s="104">
        <v>59</v>
      </c>
      <c r="B60" s="13" t="s">
        <v>484</v>
      </c>
    </row>
    <row r="61" spans="1:2" ht="15.75" thickBot="1" x14ac:dyDescent="0.3">
      <c r="A61" s="13">
        <v>60</v>
      </c>
      <c r="B61" s="13" t="s">
        <v>457</v>
      </c>
    </row>
    <row r="62" spans="1:2" ht="15.75" thickBot="1" x14ac:dyDescent="0.3">
      <c r="A62" s="104">
        <v>61</v>
      </c>
      <c r="B62" s="13" t="s">
        <v>1665</v>
      </c>
    </row>
    <row r="63" spans="1:2" ht="15.75" thickBot="1" x14ac:dyDescent="0.3">
      <c r="A63" s="13">
        <v>62</v>
      </c>
      <c r="B63" s="13" t="s">
        <v>1534</v>
      </c>
    </row>
    <row r="64" spans="1:2" ht="15.75" thickBot="1" x14ac:dyDescent="0.3">
      <c r="A64" s="104">
        <v>63</v>
      </c>
      <c r="B64" s="13" t="s">
        <v>1190</v>
      </c>
    </row>
    <row r="65" spans="1:2" ht="15.75" thickBot="1" x14ac:dyDescent="0.3">
      <c r="A65" s="13">
        <v>64</v>
      </c>
      <c r="B65" s="13" t="s">
        <v>256</v>
      </c>
    </row>
    <row r="66" spans="1:2" ht="15.75" thickBot="1" x14ac:dyDescent="0.3">
      <c r="A66" s="104">
        <v>65</v>
      </c>
      <c r="B66" s="13" t="s">
        <v>1260</v>
      </c>
    </row>
    <row r="67" spans="1:2" ht="15.75" thickBot="1" x14ac:dyDescent="0.3">
      <c r="A67" s="13">
        <v>66</v>
      </c>
      <c r="B67" s="13" t="s">
        <v>854</v>
      </c>
    </row>
    <row r="68" spans="1:2" ht="15.75" thickBot="1" x14ac:dyDescent="0.3">
      <c r="A68" s="104">
        <v>67</v>
      </c>
      <c r="B68" s="13" t="s">
        <v>484</v>
      </c>
    </row>
    <row r="69" spans="1:2" ht="15.75" thickBot="1" x14ac:dyDescent="0.3">
      <c r="A69" s="13">
        <v>68</v>
      </c>
      <c r="B69" s="13" t="s">
        <v>742</v>
      </c>
    </row>
    <row r="70" spans="1:2" ht="15.75" thickBot="1" x14ac:dyDescent="0.3">
      <c r="A70" s="104">
        <v>69</v>
      </c>
      <c r="B70" s="13" t="s">
        <v>2438</v>
      </c>
    </row>
    <row r="71" spans="1:2" ht="15.75" thickBot="1" x14ac:dyDescent="0.3">
      <c r="A71" s="13">
        <v>70</v>
      </c>
      <c r="B71" s="13" t="s">
        <v>593</v>
      </c>
    </row>
    <row r="72" spans="1:2" ht="15.75" thickBot="1" x14ac:dyDescent="0.3">
      <c r="A72" s="104">
        <v>71</v>
      </c>
      <c r="B72" s="13" t="s">
        <v>593</v>
      </c>
    </row>
    <row r="73" spans="1:2" ht="15.75" thickBot="1" x14ac:dyDescent="0.3">
      <c r="A73" s="13">
        <v>72</v>
      </c>
      <c r="B73" s="13" t="s">
        <v>511</v>
      </c>
    </row>
    <row r="74" spans="1:2" ht="15.75" thickBot="1" x14ac:dyDescent="0.3">
      <c r="A74" s="104">
        <v>73</v>
      </c>
      <c r="B74" s="13" t="s">
        <v>473</v>
      </c>
    </row>
    <row r="75" spans="1:2" ht="15.75" thickBot="1" x14ac:dyDescent="0.3">
      <c r="A75" s="13">
        <v>74</v>
      </c>
      <c r="B75" s="13" t="s">
        <v>1907</v>
      </c>
    </row>
    <row r="76" spans="1:2" ht="15.75" thickBot="1" x14ac:dyDescent="0.3">
      <c r="A76" s="104">
        <v>75</v>
      </c>
      <c r="B76" s="13" t="s">
        <v>319</v>
      </c>
    </row>
    <row r="77" spans="1:2" ht="15.75" thickBot="1" x14ac:dyDescent="0.3">
      <c r="A77" s="13">
        <v>76</v>
      </c>
      <c r="B77" s="13" t="s">
        <v>1253</v>
      </c>
    </row>
    <row r="78" spans="1:2" ht="15.75" thickBot="1" x14ac:dyDescent="0.3">
      <c r="A78" s="104">
        <v>77</v>
      </c>
      <c r="B78" s="13" t="s">
        <v>1201</v>
      </c>
    </row>
    <row r="79" spans="1:2" ht="15.75" thickBot="1" x14ac:dyDescent="0.3">
      <c r="A79" s="13">
        <v>78</v>
      </c>
      <c r="B79" s="13" t="s">
        <v>1071</v>
      </c>
    </row>
    <row r="80" spans="1:2" ht="15.75" thickBot="1" x14ac:dyDescent="0.3">
      <c r="A80" s="104">
        <v>79</v>
      </c>
      <c r="B80" s="13" t="s">
        <v>1038</v>
      </c>
    </row>
    <row r="81" spans="1:2" ht="15.75" thickBot="1" x14ac:dyDescent="0.3">
      <c r="A81" s="13">
        <v>80</v>
      </c>
      <c r="B81" s="13" t="s">
        <v>1181</v>
      </c>
    </row>
    <row r="82" spans="1:2" ht="15.75" thickBot="1" x14ac:dyDescent="0.3">
      <c r="A82" s="13"/>
      <c r="B82" s="13" t="s">
        <v>348</v>
      </c>
    </row>
  </sheetData>
  <sortState xmlns:xlrd2="http://schemas.microsoft.com/office/spreadsheetml/2017/richdata2" ref="A2:B136">
    <sortCondition ref="A2:A136"/>
  </sortState>
  <pageMargins left="0.7" right="0.7" top="0.75" bottom="0.75" header="0.3" footer="0.3"/>
  <pageSetup paperSize="1000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CEE41-B9F4-44EB-A765-A4450293E45D}">
  <dimension ref="A1:K695"/>
  <sheetViews>
    <sheetView topLeftCell="E667" workbookViewId="0">
      <selection activeCell="B228" sqref="B228:B695"/>
    </sheetView>
  </sheetViews>
  <sheetFormatPr defaultRowHeight="15" x14ac:dyDescent="0.25"/>
  <cols>
    <col min="1" max="1" width="4" bestFit="1" customWidth="1"/>
    <col min="2" max="2" width="15.28515625" bestFit="1" customWidth="1"/>
    <col min="3" max="3" width="48.28515625" bestFit="1" customWidth="1"/>
    <col min="4" max="4" width="19.85546875" bestFit="1" customWidth="1"/>
    <col min="5" max="5" width="45.28515625" bestFit="1" customWidth="1"/>
    <col min="6" max="6" width="10.7109375" bestFit="1" customWidth="1"/>
    <col min="7" max="7" width="35.42578125" bestFit="1" customWidth="1"/>
    <col min="8" max="8" width="30.140625" bestFit="1" customWidth="1"/>
    <col min="9" max="9" width="57.85546875" bestFit="1" customWidth="1"/>
    <col min="10" max="10" width="57" bestFit="1" customWidth="1"/>
    <col min="11" max="11" width="18.28515625" bestFit="1" customWidth="1"/>
  </cols>
  <sheetData>
    <row r="1" spans="1:11" s="90" customFormat="1" ht="15.75" thickBot="1" x14ac:dyDescent="0.3">
      <c r="A1" s="19">
        <v>99</v>
      </c>
      <c r="B1" s="14" t="s">
        <v>3369</v>
      </c>
      <c r="C1" s="14" t="s">
        <v>3370</v>
      </c>
      <c r="D1" s="14" t="s">
        <v>2</v>
      </c>
      <c r="E1" s="14" t="s">
        <v>10</v>
      </c>
      <c r="F1" s="111">
        <v>41770</v>
      </c>
      <c r="G1" s="14" t="s">
        <v>3371</v>
      </c>
      <c r="H1" s="14" t="s">
        <v>3372</v>
      </c>
      <c r="I1" s="14" t="s">
        <v>3373</v>
      </c>
      <c r="J1" s="14" t="s">
        <v>3347</v>
      </c>
      <c r="K1" s="14" t="s">
        <v>3374</v>
      </c>
    </row>
    <row r="2" spans="1:11" s="90" customFormat="1" ht="15.75" thickBot="1" x14ac:dyDescent="0.3">
      <c r="A2" s="19">
        <v>100</v>
      </c>
      <c r="B2" s="14" t="s">
        <v>3375</v>
      </c>
      <c r="C2" s="14" t="s">
        <v>3376</v>
      </c>
      <c r="D2" s="14" t="s">
        <v>2</v>
      </c>
      <c r="E2" s="14" t="s">
        <v>28</v>
      </c>
      <c r="F2" s="111">
        <v>42025</v>
      </c>
      <c r="G2" s="14" t="s">
        <v>3377</v>
      </c>
      <c r="H2" s="14" t="s">
        <v>3378</v>
      </c>
      <c r="I2" s="14" t="s">
        <v>3379</v>
      </c>
      <c r="J2" s="14" t="s">
        <v>3347</v>
      </c>
      <c r="K2" s="14" t="s">
        <v>3374</v>
      </c>
    </row>
    <row r="3" spans="1:11" s="90" customFormat="1" ht="15.75" thickBot="1" x14ac:dyDescent="0.3">
      <c r="A3" s="19">
        <v>101</v>
      </c>
      <c r="B3" s="14" t="s">
        <v>3380</v>
      </c>
      <c r="C3" s="14" t="s">
        <v>3381</v>
      </c>
      <c r="D3" s="14" t="s">
        <v>2</v>
      </c>
      <c r="E3" s="14" t="s">
        <v>3382</v>
      </c>
      <c r="F3" s="111">
        <v>41780</v>
      </c>
      <c r="G3" s="14" t="s">
        <v>3383</v>
      </c>
      <c r="H3" s="14" t="s">
        <v>3384</v>
      </c>
      <c r="I3" s="14" t="s">
        <v>3385</v>
      </c>
      <c r="J3" s="14" t="s">
        <v>3347</v>
      </c>
      <c r="K3" s="14" t="s">
        <v>3374</v>
      </c>
    </row>
    <row r="4" spans="1:11" s="90" customFormat="1" ht="15.75" thickBot="1" x14ac:dyDescent="0.3">
      <c r="A4" s="19">
        <v>102</v>
      </c>
      <c r="B4" s="14" t="s">
        <v>3386</v>
      </c>
      <c r="C4" s="14" t="s">
        <v>3387</v>
      </c>
      <c r="D4" s="14" t="s">
        <v>2</v>
      </c>
      <c r="E4" s="14" t="s">
        <v>204</v>
      </c>
      <c r="F4" s="111">
        <v>40682</v>
      </c>
      <c r="G4" s="14" t="s">
        <v>3388</v>
      </c>
      <c r="H4" s="14" t="s">
        <v>3389</v>
      </c>
      <c r="I4" s="14" t="s">
        <v>3390</v>
      </c>
      <c r="J4" s="14" t="s">
        <v>3347</v>
      </c>
      <c r="K4" s="14" t="s">
        <v>3374</v>
      </c>
    </row>
    <row r="5" spans="1:11" s="90" customFormat="1" ht="15.75" thickBot="1" x14ac:dyDescent="0.3">
      <c r="A5" s="19">
        <v>103</v>
      </c>
      <c r="B5" s="14" t="s">
        <v>3391</v>
      </c>
      <c r="C5" s="14" t="s">
        <v>3392</v>
      </c>
      <c r="D5" s="14" t="s">
        <v>2</v>
      </c>
      <c r="E5" s="14" t="s">
        <v>28</v>
      </c>
      <c r="F5" s="111">
        <v>41734</v>
      </c>
      <c r="G5" s="14" t="s">
        <v>3393</v>
      </c>
      <c r="H5" s="14" t="s">
        <v>3394</v>
      </c>
      <c r="I5" s="14" t="s">
        <v>3395</v>
      </c>
      <c r="J5" s="14" t="s">
        <v>3347</v>
      </c>
      <c r="K5" s="14" t="s">
        <v>3374</v>
      </c>
    </row>
    <row r="6" spans="1:11" s="90" customFormat="1" ht="15.75" thickBot="1" x14ac:dyDescent="0.3">
      <c r="A6" s="19">
        <v>104</v>
      </c>
      <c r="B6" s="14" t="s">
        <v>3396</v>
      </c>
      <c r="C6" s="14" t="s">
        <v>3397</v>
      </c>
      <c r="D6" s="14" t="s">
        <v>2</v>
      </c>
      <c r="E6" s="14" t="s">
        <v>28</v>
      </c>
      <c r="F6" s="111">
        <v>41209</v>
      </c>
      <c r="G6" s="14" t="s">
        <v>3398</v>
      </c>
      <c r="H6" s="14" t="s">
        <v>3399</v>
      </c>
      <c r="I6" s="14" t="s">
        <v>3400</v>
      </c>
      <c r="J6" s="14" t="s">
        <v>3347</v>
      </c>
      <c r="K6" s="14" t="s">
        <v>3374</v>
      </c>
    </row>
    <row r="7" spans="1:11" s="90" customFormat="1" ht="15.75" thickBot="1" x14ac:dyDescent="0.3">
      <c r="A7" s="19">
        <v>1</v>
      </c>
      <c r="B7" s="14" t="s">
        <v>3401</v>
      </c>
      <c r="C7" s="14" t="s">
        <v>3402</v>
      </c>
      <c r="D7" s="14" t="s">
        <v>66</v>
      </c>
      <c r="E7" s="14" t="s">
        <v>10</v>
      </c>
      <c r="F7" s="111">
        <v>42925</v>
      </c>
      <c r="G7" s="14" t="s">
        <v>3403</v>
      </c>
      <c r="H7" s="14" t="s">
        <v>3404</v>
      </c>
      <c r="I7" s="14" t="s">
        <v>3405</v>
      </c>
      <c r="J7" s="14" t="s">
        <v>342</v>
      </c>
      <c r="K7" s="14" t="s">
        <v>3374</v>
      </c>
    </row>
    <row r="8" spans="1:11" s="90" customFormat="1" ht="15.75" thickBot="1" x14ac:dyDescent="0.3">
      <c r="A8" s="19">
        <v>8</v>
      </c>
      <c r="B8" s="14" t="s">
        <v>3406</v>
      </c>
      <c r="C8" s="14" t="s">
        <v>3407</v>
      </c>
      <c r="D8" s="14" t="s">
        <v>66</v>
      </c>
      <c r="E8" s="14" t="s">
        <v>10</v>
      </c>
      <c r="F8" s="111">
        <v>41734</v>
      </c>
      <c r="G8" s="14" t="s">
        <v>3408</v>
      </c>
      <c r="H8" s="14" t="s">
        <v>3409</v>
      </c>
      <c r="I8" s="14" t="s">
        <v>3410</v>
      </c>
      <c r="J8" s="14" t="s">
        <v>342</v>
      </c>
      <c r="K8" s="14" t="s">
        <v>3374</v>
      </c>
    </row>
    <row r="9" spans="1:11" s="90" customFormat="1" ht="15.75" thickBot="1" x14ac:dyDescent="0.3">
      <c r="A9" s="19">
        <v>3</v>
      </c>
      <c r="B9" s="14" t="s">
        <v>3411</v>
      </c>
      <c r="C9" s="14" t="s">
        <v>3412</v>
      </c>
      <c r="D9" s="14" t="s">
        <v>2</v>
      </c>
      <c r="E9" s="14" t="s">
        <v>28</v>
      </c>
      <c r="F9" s="111">
        <v>41776</v>
      </c>
      <c r="G9" s="14" t="s">
        <v>3413</v>
      </c>
      <c r="H9" s="14" t="s">
        <v>3414</v>
      </c>
      <c r="I9" s="14" t="s">
        <v>3415</v>
      </c>
      <c r="J9" s="14" t="s">
        <v>342</v>
      </c>
      <c r="K9" s="14" t="s">
        <v>3374</v>
      </c>
    </row>
    <row r="10" spans="1:11" s="90" customFormat="1" ht="15.75" thickBot="1" x14ac:dyDescent="0.3">
      <c r="A10" s="19">
        <v>4</v>
      </c>
      <c r="B10" s="14" t="s">
        <v>3416</v>
      </c>
      <c r="C10" s="14" t="s">
        <v>3417</v>
      </c>
      <c r="D10" s="14" t="s">
        <v>66</v>
      </c>
      <c r="E10" s="14" t="s">
        <v>28</v>
      </c>
      <c r="F10" s="111">
        <v>42033</v>
      </c>
      <c r="G10" s="14" t="s">
        <v>3418</v>
      </c>
      <c r="H10" s="14" t="s">
        <v>3419</v>
      </c>
      <c r="I10" s="14" t="s">
        <v>3420</v>
      </c>
      <c r="J10" s="14" t="s">
        <v>342</v>
      </c>
      <c r="K10" s="14" t="s">
        <v>3374</v>
      </c>
    </row>
    <row r="11" spans="1:11" s="90" customFormat="1" ht="15.75" thickBot="1" x14ac:dyDescent="0.3">
      <c r="A11" s="19">
        <v>5</v>
      </c>
      <c r="B11" s="14" t="s">
        <v>3421</v>
      </c>
      <c r="C11" s="14" t="s">
        <v>3422</v>
      </c>
      <c r="D11" s="14" t="s">
        <v>2</v>
      </c>
      <c r="E11" s="14" t="s">
        <v>28</v>
      </c>
      <c r="F11" s="111">
        <v>42456</v>
      </c>
      <c r="G11" s="14" t="s">
        <v>3423</v>
      </c>
      <c r="H11" s="14" t="s">
        <v>3424</v>
      </c>
      <c r="I11" s="14" t="s">
        <v>3425</v>
      </c>
      <c r="J11" s="14" t="s">
        <v>342</v>
      </c>
      <c r="K11" s="14" t="s">
        <v>3374</v>
      </c>
    </row>
    <row r="12" spans="1:11" s="90" customFormat="1" ht="15.75" thickBot="1" x14ac:dyDescent="0.3">
      <c r="A12" s="19">
        <v>6</v>
      </c>
      <c r="B12" s="14" t="s">
        <v>3426</v>
      </c>
      <c r="C12" s="14" t="s">
        <v>3427</v>
      </c>
      <c r="D12" s="14" t="s">
        <v>66</v>
      </c>
      <c r="E12" s="14" t="s">
        <v>28</v>
      </c>
      <c r="F12" s="111">
        <v>42020</v>
      </c>
      <c r="G12" s="14" t="s">
        <v>3428</v>
      </c>
      <c r="H12" s="14" t="s">
        <v>3429</v>
      </c>
      <c r="I12" s="14" t="s">
        <v>3430</v>
      </c>
      <c r="J12" s="14" t="s">
        <v>342</v>
      </c>
      <c r="K12" s="14" t="s">
        <v>3374</v>
      </c>
    </row>
    <row r="13" spans="1:11" s="90" customFormat="1" ht="15.75" thickBot="1" x14ac:dyDescent="0.3">
      <c r="A13" s="19">
        <v>7</v>
      </c>
      <c r="B13" s="14" t="s">
        <v>3431</v>
      </c>
      <c r="C13" s="14" t="s">
        <v>3432</v>
      </c>
      <c r="D13" s="14" t="s">
        <v>2</v>
      </c>
      <c r="E13" s="14" t="s">
        <v>28</v>
      </c>
      <c r="F13" s="111">
        <v>41615</v>
      </c>
      <c r="G13" s="14" t="s">
        <v>3433</v>
      </c>
      <c r="H13" s="14" t="s">
        <v>3434</v>
      </c>
      <c r="I13" s="14" t="s">
        <v>3435</v>
      </c>
      <c r="J13" s="14" t="s">
        <v>342</v>
      </c>
      <c r="K13" s="14" t="s">
        <v>3374</v>
      </c>
    </row>
    <row r="14" spans="1:11" s="90" customFormat="1" ht="15.75" thickBot="1" x14ac:dyDescent="0.3">
      <c r="A14" s="19">
        <v>8</v>
      </c>
      <c r="B14" s="14" t="s">
        <v>3436</v>
      </c>
      <c r="C14" s="14" t="s">
        <v>3437</v>
      </c>
      <c r="D14" s="14" t="s">
        <v>66</v>
      </c>
      <c r="E14" s="14" t="s">
        <v>28</v>
      </c>
      <c r="F14" s="111">
        <v>41802</v>
      </c>
      <c r="G14" s="14" t="s">
        <v>3438</v>
      </c>
      <c r="H14" s="14" t="s">
        <v>3439</v>
      </c>
      <c r="I14" s="14" t="s">
        <v>3440</v>
      </c>
      <c r="J14" s="14" t="s">
        <v>342</v>
      </c>
      <c r="K14" s="14" t="s">
        <v>3374</v>
      </c>
    </row>
    <row r="15" spans="1:11" s="90" customFormat="1" ht="15.75" thickBot="1" x14ac:dyDescent="0.3">
      <c r="A15" s="19">
        <v>9</v>
      </c>
      <c r="B15" s="14" t="s">
        <v>3441</v>
      </c>
      <c r="C15" s="14" t="s">
        <v>3442</v>
      </c>
      <c r="D15" s="14" t="s">
        <v>66</v>
      </c>
      <c r="E15" s="14" t="s">
        <v>28</v>
      </c>
      <c r="F15" s="111">
        <v>42609</v>
      </c>
      <c r="G15" s="14" t="s">
        <v>3443</v>
      </c>
      <c r="H15" s="14" t="s">
        <v>3444</v>
      </c>
      <c r="I15" s="14" t="s">
        <v>3445</v>
      </c>
      <c r="J15" s="14" t="s">
        <v>342</v>
      </c>
      <c r="K15" s="14" t="s">
        <v>3374</v>
      </c>
    </row>
    <row r="16" spans="1:11" s="90" customFormat="1" ht="15.75" thickBot="1" x14ac:dyDescent="0.3">
      <c r="A16" s="19">
        <v>10</v>
      </c>
      <c r="B16" s="14" t="s">
        <v>3446</v>
      </c>
      <c r="C16" s="14" t="s">
        <v>3447</v>
      </c>
      <c r="D16" s="14" t="s">
        <v>66</v>
      </c>
      <c r="E16" s="14" t="s">
        <v>28</v>
      </c>
      <c r="F16" s="111">
        <v>40684</v>
      </c>
      <c r="G16" s="14" t="s">
        <v>3448</v>
      </c>
      <c r="H16" s="14" t="s">
        <v>3449</v>
      </c>
      <c r="I16" s="14" t="s">
        <v>3450</v>
      </c>
      <c r="J16" s="14" t="s">
        <v>342</v>
      </c>
      <c r="K16" s="14" t="s">
        <v>3374</v>
      </c>
    </row>
    <row r="17" spans="1:11" s="90" customFormat="1" ht="15.75" thickBot="1" x14ac:dyDescent="0.3">
      <c r="A17" s="19">
        <v>11</v>
      </c>
      <c r="B17" s="14" t="s">
        <v>3451</v>
      </c>
      <c r="C17" s="14" t="s">
        <v>3452</v>
      </c>
      <c r="D17" s="14" t="s">
        <v>2</v>
      </c>
      <c r="E17" s="14" t="s">
        <v>204</v>
      </c>
      <c r="F17" s="111">
        <v>41942</v>
      </c>
      <c r="G17" s="14" t="s">
        <v>3453</v>
      </c>
      <c r="H17" s="14" t="s">
        <v>3454</v>
      </c>
      <c r="I17" s="14" t="s">
        <v>3455</v>
      </c>
      <c r="J17" s="14" t="s">
        <v>342</v>
      </c>
      <c r="K17" s="14" t="s">
        <v>3374</v>
      </c>
    </row>
    <row r="18" spans="1:11" s="90" customFormat="1" ht="15.75" thickBot="1" x14ac:dyDescent="0.3">
      <c r="A18" s="19">
        <v>12</v>
      </c>
      <c r="B18" s="14" t="s">
        <v>3456</v>
      </c>
      <c r="C18" s="14" t="s">
        <v>3457</v>
      </c>
      <c r="D18" s="14" t="s">
        <v>2</v>
      </c>
      <c r="E18" s="14" t="s">
        <v>28</v>
      </c>
      <c r="F18" s="111">
        <v>42250</v>
      </c>
      <c r="G18" s="14" t="s">
        <v>3458</v>
      </c>
      <c r="H18" s="14" t="s">
        <v>3459</v>
      </c>
      <c r="I18" s="14" t="s">
        <v>3460</v>
      </c>
      <c r="J18" s="14" t="s">
        <v>342</v>
      </c>
      <c r="K18" s="14" t="s">
        <v>3374</v>
      </c>
    </row>
    <row r="19" spans="1:11" s="90" customFormat="1" ht="15.75" thickBot="1" x14ac:dyDescent="0.3">
      <c r="A19" s="19">
        <v>13</v>
      </c>
      <c r="B19" s="14" t="s">
        <v>3461</v>
      </c>
      <c r="C19" s="14" t="s">
        <v>3462</v>
      </c>
      <c r="D19" s="14" t="s">
        <v>2</v>
      </c>
      <c r="E19" s="14" t="s">
        <v>28</v>
      </c>
      <c r="F19" s="111">
        <v>41756</v>
      </c>
      <c r="G19" s="14" t="s">
        <v>3463</v>
      </c>
      <c r="H19" s="14" t="s">
        <v>3464</v>
      </c>
      <c r="I19" s="14" t="s">
        <v>3465</v>
      </c>
      <c r="J19" s="14" t="s">
        <v>342</v>
      </c>
      <c r="K19" s="14" t="s">
        <v>3374</v>
      </c>
    </row>
    <row r="20" spans="1:11" s="90" customFormat="1" ht="15.75" thickBot="1" x14ac:dyDescent="0.3">
      <c r="A20" s="19">
        <v>14</v>
      </c>
      <c r="B20" s="14" t="s">
        <v>3466</v>
      </c>
      <c r="C20" s="14" t="s">
        <v>3467</v>
      </c>
      <c r="D20" s="14" t="s">
        <v>2</v>
      </c>
      <c r="E20" s="14" t="s">
        <v>28</v>
      </c>
      <c r="F20" s="111">
        <v>42320</v>
      </c>
      <c r="G20" s="14" t="s">
        <v>3468</v>
      </c>
      <c r="H20" s="14" t="s">
        <v>3469</v>
      </c>
      <c r="I20" s="14" t="s">
        <v>3470</v>
      </c>
      <c r="J20" s="14" t="s">
        <v>342</v>
      </c>
      <c r="K20" s="14" t="s">
        <v>3374</v>
      </c>
    </row>
    <row r="21" spans="1:11" s="90" customFormat="1" ht="15.75" thickBot="1" x14ac:dyDescent="0.3">
      <c r="A21" s="19">
        <v>15</v>
      </c>
      <c r="B21" s="14" t="s">
        <v>3471</v>
      </c>
      <c r="C21" s="14" t="s">
        <v>3472</v>
      </c>
      <c r="D21" s="14" t="s">
        <v>66</v>
      </c>
      <c r="E21" s="14" t="s">
        <v>28</v>
      </c>
      <c r="F21" s="111">
        <v>42215</v>
      </c>
      <c r="G21" s="14" t="s">
        <v>1208</v>
      </c>
      <c r="H21" s="14" t="s">
        <v>3473</v>
      </c>
      <c r="I21" s="14" t="s">
        <v>3474</v>
      </c>
      <c r="J21" s="14" t="s">
        <v>342</v>
      </c>
      <c r="K21" s="14" t="s">
        <v>3374</v>
      </c>
    </row>
    <row r="22" spans="1:11" s="90" customFormat="1" ht="15.75" thickBot="1" x14ac:dyDescent="0.3">
      <c r="A22" s="19">
        <v>16</v>
      </c>
      <c r="B22" s="14" t="s">
        <v>3475</v>
      </c>
      <c r="C22" s="14" t="s">
        <v>3476</v>
      </c>
      <c r="D22" s="14" t="s">
        <v>2</v>
      </c>
      <c r="E22" s="14" t="s">
        <v>28</v>
      </c>
      <c r="F22" s="111">
        <v>41739</v>
      </c>
      <c r="G22" s="14" t="s">
        <v>3477</v>
      </c>
      <c r="H22" s="14" t="s">
        <v>3478</v>
      </c>
      <c r="I22" s="14" t="s">
        <v>3479</v>
      </c>
      <c r="J22" s="14" t="s">
        <v>342</v>
      </c>
      <c r="K22" s="14" t="s">
        <v>3374</v>
      </c>
    </row>
    <row r="23" spans="1:11" s="90" customFormat="1" ht="15.75" thickBot="1" x14ac:dyDescent="0.3">
      <c r="A23" s="19">
        <v>17</v>
      </c>
      <c r="B23" s="14" t="s">
        <v>3480</v>
      </c>
      <c r="C23" s="14" t="s">
        <v>3481</v>
      </c>
      <c r="D23" s="14" t="s">
        <v>2</v>
      </c>
      <c r="E23" s="14" t="s">
        <v>28</v>
      </c>
      <c r="F23" s="111">
        <v>42820</v>
      </c>
      <c r="G23" s="14" t="s">
        <v>3482</v>
      </c>
      <c r="H23" s="14" t="s">
        <v>3483</v>
      </c>
      <c r="I23" s="14" t="s">
        <v>3484</v>
      </c>
      <c r="J23" s="14" t="s">
        <v>342</v>
      </c>
      <c r="K23" s="14" t="s">
        <v>3374</v>
      </c>
    </row>
    <row r="24" spans="1:11" s="90" customFormat="1" ht="15.75" thickBot="1" x14ac:dyDescent="0.3">
      <c r="A24" s="19">
        <v>18</v>
      </c>
      <c r="B24" s="14" t="s">
        <v>3485</v>
      </c>
      <c r="C24" s="14" t="s">
        <v>3486</v>
      </c>
      <c r="D24" s="14" t="s">
        <v>66</v>
      </c>
      <c r="E24" s="14" t="s">
        <v>28</v>
      </c>
      <c r="F24" s="111">
        <v>42685</v>
      </c>
      <c r="G24" s="14" t="s">
        <v>3487</v>
      </c>
      <c r="H24" s="14" t="s">
        <v>3488</v>
      </c>
      <c r="I24" s="14" t="s">
        <v>3489</v>
      </c>
      <c r="J24" s="14" t="s">
        <v>342</v>
      </c>
      <c r="K24" s="14" t="s">
        <v>3374</v>
      </c>
    </row>
    <row r="25" spans="1:11" s="90" customFormat="1" ht="15.75" thickBot="1" x14ac:dyDescent="0.3">
      <c r="A25" s="19">
        <v>19</v>
      </c>
      <c r="B25" s="14" t="s">
        <v>3490</v>
      </c>
      <c r="C25" s="14" t="s">
        <v>3491</v>
      </c>
      <c r="D25" s="14" t="s">
        <v>66</v>
      </c>
      <c r="E25" s="14" t="s">
        <v>28</v>
      </c>
      <c r="F25" s="111">
        <v>41455</v>
      </c>
      <c r="G25" s="14" t="s">
        <v>3492</v>
      </c>
      <c r="H25" s="14" t="s">
        <v>3493</v>
      </c>
      <c r="I25" s="14" t="s">
        <v>3494</v>
      </c>
      <c r="J25" s="14" t="s">
        <v>342</v>
      </c>
      <c r="K25" s="14" t="s">
        <v>3374</v>
      </c>
    </row>
    <row r="26" spans="1:11" s="90" customFormat="1" ht="15.75" thickBot="1" x14ac:dyDescent="0.3">
      <c r="A26" s="19">
        <v>20</v>
      </c>
      <c r="B26" s="14" t="s">
        <v>3495</v>
      </c>
      <c r="C26" s="14" t="s">
        <v>3496</v>
      </c>
      <c r="D26" s="14" t="s">
        <v>2</v>
      </c>
      <c r="E26" s="14" t="s">
        <v>28</v>
      </c>
      <c r="F26" s="111">
        <v>42727</v>
      </c>
      <c r="G26" s="14" t="s">
        <v>3497</v>
      </c>
      <c r="H26" s="14" t="s">
        <v>3498</v>
      </c>
      <c r="I26" s="14" t="s">
        <v>3499</v>
      </c>
      <c r="J26" s="14" t="s">
        <v>342</v>
      </c>
      <c r="K26" s="14" t="s">
        <v>3374</v>
      </c>
    </row>
    <row r="27" spans="1:11" s="90" customFormat="1" ht="15.75" thickBot="1" x14ac:dyDescent="0.3">
      <c r="A27" s="19">
        <v>21</v>
      </c>
      <c r="B27" s="14" t="s">
        <v>3500</v>
      </c>
      <c r="C27" s="14" t="s">
        <v>3501</v>
      </c>
      <c r="D27" s="14" t="s">
        <v>2</v>
      </c>
      <c r="E27" s="14" t="s">
        <v>28</v>
      </c>
      <c r="F27" s="111">
        <v>42452</v>
      </c>
      <c r="G27" s="14" t="s">
        <v>3502</v>
      </c>
      <c r="H27" s="14" t="s">
        <v>3503</v>
      </c>
      <c r="I27" s="14" t="s">
        <v>3504</v>
      </c>
      <c r="J27" s="14" t="s">
        <v>342</v>
      </c>
      <c r="K27" s="14" t="s">
        <v>3374</v>
      </c>
    </row>
    <row r="28" spans="1:11" s="90" customFormat="1" ht="15.75" thickBot="1" x14ac:dyDescent="0.3">
      <c r="A28" s="19">
        <v>22</v>
      </c>
      <c r="B28" s="14" t="s">
        <v>3505</v>
      </c>
      <c r="C28" s="14" t="s">
        <v>3506</v>
      </c>
      <c r="D28" s="14" t="s">
        <v>66</v>
      </c>
      <c r="E28" s="14" t="s">
        <v>28</v>
      </c>
      <c r="F28" s="111">
        <v>40862</v>
      </c>
      <c r="G28" s="14" t="s">
        <v>3507</v>
      </c>
      <c r="H28" s="14" t="s">
        <v>3508</v>
      </c>
      <c r="I28" s="14" t="s">
        <v>3509</v>
      </c>
      <c r="J28" s="14" t="s">
        <v>342</v>
      </c>
      <c r="K28" s="14" t="s">
        <v>3374</v>
      </c>
    </row>
    <row r="29" spans="1:11" s="90" customFormat="1" ht="15.75" thickBot="1" x14ac:dyDescent="0.3">
      <c r="A29" s="19">
        <v>23</v>
      </c>
      <c r="B29" s="14" t="s">
        <v>3510</v>
      </c>
      <c r="C29" s="14" t="s">
        <v>3511</v>
      </c>
      <c r="D29" s="14" t="s">
        <v>2</v>
      </c>
      <c r="E29" s="14" t="s">
        <v>28</v>
      </c>
      <c r="F29" s="111">
        <v>42941</v>
      </c>
      <c r="G29" s="14" t="s">
        <v>3512</v>
      </c>
      <c r="H29" s="14" t="s">
        <v>3513</v>
      </c>
      <c r="I29" s="14" t="s">
        <v>3514</v>
      </c>
      <c r="J29" s="14" t="s">
        <v>342</v>
      </c>
      <c r="K29" s="14" t="s">
        <v>3374</v>
      </c>
    </row>
    <row r="30" spans="1:11" s="90" customFormat="1" ht="15.75" thickBot="1" x14ac:dyDescent="0.3">
      <c r="A30" s="19">
        <v>24</v>
      </c>
      <c r="B30" s="14" t="s">
        <v>3515</v>
      </c>
      <c r="C30" s="14" t="s">
        <v>3516</v>
      </c>
      <c r="D30" s="14" t="s">
        <v>2</v>
      </c>
      <c r="E30" s="14" t="s">
        <v>28</v>
      </c>
      <c r="F30" s="111">
        <v>43259</v>
      </c>
      <c r="G30" s="14" t="s">
        <v>3517</v>
      </c>
      <c r="H30" s="14" t="s">
        <v>3518</v>
      </c>
      <c r="I30" s="14" t="s">
        <v>3519</v>
      </c>
      <c r="J30" s="14" t="s">
        <v>342</v>
      </c>
      <c r="K30" s="14" t="s">
        <v>3374</v>
      </c>
    </row>
    <row r="31" spans="1:11" s="90" customFormat="1" ht="15.75" thickBot="1" x14ac:dyDescent="0.3">
      <c r="A31" s="19">
        <v>25</v>
      </c>
      <c r="B31" s="14" t="s">
        <v>3520</v>
      </c>
      <c r="C31" s="14" t="s">
        <v>3521</v>
      </c>
      <c r="D31" s="14" t="s">
        <v>66</v>
      </c>
      <c r="E31" s="14" t="s">
        <v>28</v>
      </c>
      <c r="F31" s="111">
        <v>40933</v>
      </c>
      <c r="G31" s="14" t="s">
        <v>3522</v>
      </c>
      <c r="H31" s="14" t="s">
        <v>3523</v>
      </c>
      <c r="I31" s="14" t="s">
        <v>3524</v>
      </c>
      <c r="J31" s="14" t="s">
        <v>342</v>
      </c>
      <c r="K31" s="14" t="s">
        <v>3374</v>
      </c>
    </row>
    <row r="32" spans="1:11" s="90" customFormat="1" ht="15.75" thickBot="1" x14ac:dyDescent="0.3">
      <c r="A32" s="19">
        <v>26</v>
      </c>
      <c r="B32" s="14" t="s">
        <v>3525</v>
      </c>
      <c r="C32" s="14" t="s">
        <v>3526</v>
      </c>
      <c r="D32" s="14" t="s">
        <v>2</v>
      </c>
      <c r="E32" s="14" t="s">
        <v>28</v>
      </c>
      <c r="F32" s="111">
        <v>41005</v>
      </c>
      <c r="G32" s="14" t="s">
        <v>3527</v>
      </c>
      <c r="H32" s="14" t="s">
        <v>3528</v>
      </c>
      <c r="I32" s="14" t="s">
        <v>3529</v>
      </c>
      <c r="J32" s="14" t="s">
        <v>342</v>
      </c>
      <c r="K32" s="14" t="s">
        <v>3374</v>
      </c>
    </row>
    <row r="33" spans="1:11" s="90" customFormat="1" ht="15.75" thickBot="1" x14ac:dyDescent="0.3">
      <c r="A33" s="19">
        <v>27</v>
      </c>
      <c r="B33" s="14" t="s">
        <v>3530</v>
      </c>
      <c r="C33" s="14" t="s">
        <v>3531</v>
      </c>
      <c r="D33" s="14" t="s">
        <v>66</v>
      </c>
      <c r="E33" s="14" t="s">
        <v>28</v>
      </c>
      <c r="F33" s="111">
        <v>42339</v>
      </c>
      <c r="G33" s="14" t="s">
        <v>3532</v>
      </c>
      <c r="H33" s="14" t="s">
        <v>3533</v>
      </c>
      <c r="I33" s="14" t="s">
        <v>3534</v>
      </c>
      <c r="J33" s="14" t="s">
        <v>342</v>
      </c>
      <c r="K33" s="14" t="s">
        <v>3374</v>
      </c>
    </row>
    <row r="34" spans="1:11" s="90" customFormat="1" ht="15.75" thickBot="1" x14ac:dyDescent="0.3">
      <c r="A34" s="19">
        <v>28</v>
      </c>
      <c r="B34" s="14" t="s">
        <v>3535</v>
      </c>
      <c r="C34" s="14" t="s">
        <v>3536</v>
      </c>
      <c r="D34" s="14" t="s">
        <v>2</v>
      </c>
      <c r="E34" s="14" t="s">
        <v>28</v>
      </c>
      <c r="F34" s="111">
        <v>42077</v>
      </c>
      <c r="G34" s="14" t="s">
        <v>3537</v>
      </c>
      <c r="H34" s="14" t="s">
        <v>3538</v>
      </c>
      <c r="I34" s="14" t="s">
        <v>3539</v>
      </c>
      <c r="J34" s="14" t="s">
        <v>342</v>
      </c>
      <c r="K34" s="14" t="s">
        <v>3374</v>
      </c>
    </row>
    <row r="35" spans="1:11" s="90" customFormat="1" ht="15.75" thickBot="1" x14ac:dyDescent="0.3">
      <c r="A35" s="19">
        <v>29</v>
      </c>
      <c r="B35" s="14" t="s">
        <v>3540</v>
      </c>
      <c r="C35" s="14" t="s">
        <v>3541</v>
      </c>
      <c r="D35" s="14" t="s">
        <v>2</v>
      </c>
      <c r="E35" s="14" t="s">
        <v>28</v>
      </c>
      <c r="F35" s="111">
        <v>42754</v>
      </c>
      <c r="G35" s="14" t="s">
        <v>3542</v>
      </c>
      <c r="H35" s="14" t="s">
        <v>3543</v>
      </c>
      <c r="I35" s="14" t="s">
        <v>3544</v>
      </c>
      <c r="J35" s="14" t="s">
        <v>342</v>
      </c>
      <c r="K35" s="14" t="s">
        <v>3374</v>
      </c>
    </row>
    <row r="36" spans="1:11" s="90" customFormat="1" ht="15.75" thickBot="1" x14ac:dyDescent="0.3">
      <c r="A36" s="19">
        <v>30</v>
      </c>
      <c r="B36" s="14" t="s">
        <v>3545</v>
      </c>
      <c r="C36" s="14" t="s">
        <v>3546</v>
      </c>
      <c r="D36" s="14" t="s">
        <v>66</v>
      </c>
      <c r="E36" s="14" t="s">
        <v>28</v>
      </c>
      <c r="F36" s="111">
        <v>41627</v>
      </c>
      <c r="G36" s="14" t="s">
        <v>3413</v>
      </c>
      <c r="H36" s="14" t="s">
        <v>3547</v>
      </c>
      <c r="I36" s="14" t="s">
        <v>3548</v>
      </c>
      <c r="J36" s="14" t="s">
        <v>342</v>
      </c>
      <c r="K36" s="14" t="s">
        <v>3374</v>
      </c>
    </row>
    <row r="37" spans="1:11" s="90" customFormat="1" ht="15.75" thickBot="1" x14ac:dyDescent="0.3">
      <c r="A37" s="19">
        <v>31</v>
      </c>
      <c r="B37" s="14" t="s">
        <v>3549</v>
      </c>
      <c r="C37" s="14" t="s">
        <v>3550</v>
      </c>
      <c r="D37" s="14" t="s">
        <v>66</v>
      </c>
      <c r="E37" s="14" t="s">
        <v>28</v>
      </c>
      <c r="F37" s="111">
        <v>41627</v>
      </c>
      <c r="G37" s="14" t="s">
        <v>3413</v>
      </c>
      <c r="H37" s="14" t="s">
        <v>3547</v>
      </c>
      <c r="I37" s="14" t="s">
        <v>3551</v>
      </c>
      <c r="J37" s="14" t="s">
        <v>342</v>
      </c>
      <c r="K37" s="14" t="s">
        <v>3374</v>
      </c>
    </row>
    <row r="38" spans="1:11" s="90" customFormat="1" ht="15.75" thickBot="1" x14ac:dyDescent="0.3">
      <c r="A38" s="19">
        <v>38</v>
      </c>
      <c r="B38" s="14" t="s">
        <v>3552</v>
      </c>
      <c r="C38" s="14" t="s">
        <v>3553</v>
      </c>
      <c r="D38" s="14" t="s">
        <v>66</v>
      </c>
      <c r="E38" s="14" t="s">
        <v>28</v>
      </c>
      <c r="F38" s="111">
        <v>41481</v>
      </c>
      <c r="G38" s="14" t="s">
        <v>3554</v>
      </c>
      <c r="H38" s="14" t="s">
        <v>3555</v>
      </c>
      <c r="I38" s="14" t="s">
        <v>3556</v>
      </c>
      <c r="J38" s="14" t="s">
        <v>342</v>
      </c>
      <c r="K38" s="14" t="s">
        <v>3374</v>
      </c>
    </row>
    <row r="39" spans="1:11" s="90" customFormat="1" ht="15.75" thickBot="1" x14ac:dyDescent="0.3">
      <c r="A39" s="19">
        <v>33</v>
      </c>
      <c r="B39" s="14" t="s">
        <v>3557</v>
      </c>
      <c r="C39" s="14" t="s">
        <v>3558</v>
      </c>
      <c r="D39" s="14" t="s">
        <v>2</v>
      </c>
      <c r="E39" s="14" t="s">
        <v>28</v>
      </c>
      <c r="F39" s="111">
        <v>42904</v>
      </c>
      <c r="G39" s="14" t="s">
        <v>3559</v>
      </c>
      <c r="H39" s="14" t="s">
        <v>3560</v>
      </c>
      <c r="I39" s="14" t="s">
        <v>3561</v>
      </c>
      <c r="J39" s="14" t="s">
        <v>342</v>
      </c>
      <c r="K39" s="14" t="s">
        <v>3374</v>
      </c>
    </row>
    <row r="40" spans="1:11" s="90" customFormat="1" ht="15.75" thickBot="1" x14ac:dyDescent="0.3">
      <c r="A40" s="19">
        <v>34</v>
      </c>
      <c r="B40" s="14" t="s">
        <v>3562</v>
      </c>
      <c r="C40" s="14" t="s">
        <v>3563</v>
      </c>
      <c r="D40" s="14" t="s">
        <v>66</v>
      </c>
      <c r="E40" s="14" t="s">
        <v>28</v>
      </c>
      <c r="F40" s="111">
        <v>42724</v>
      </c>
      <c r="G40" s="14" t="s">
        <v>3564</v>
      </c>
      <c r="H40" s="14" t="s">
        <v>3565</v>
      </c>
      <c r="I40" s="14" t="s">
        <v>3566</v>
      </c>
      <c r="J40" s="14" t="s">
        <v>342</v>
      </c>
      <c r="K40" s="14" t="s">
        <v>3374</v>
      </c>
    </row>
    <row r="41" spans="1:11" s="90" customFormat="1" ht="15.75" thickBot="1" x14ac:dyDescent="0.3">
      <c r="A41" s="19">
        <v>35</v>
      </c>
      <c r="B41" s="14" t="s">
        <v>3567</v>
      </c>
      <c r="C41" s="14" t="s">
        <v>3568</v>
      </c>
      <c r="D41" s="14" t="s">
        <v>66</v>
      </c>
      <c r="E41" s="14" t="s">
        <v>28</v>
      </c>
      <c r="F41" s="111">
        <v>41879</v>
      </c>
      <c r="G41" s="14" t="s">
        <v>3569</v>
      </c>
      <c r="H41" s="14" t="s">
        <v>3570</v>
      </c>
      <c r="I41" s="14" t="s">
        <v>3571</v>
      </c>
      <c r="J41" s="14" t="s">
        <v>342</v>
      </c>
      <c r="K41" s="14" t="s">
        <v>3374</v>
      </c>
    </row>
    <row r="42" spans="1:11" s="90" customFormat="1" ht="15.75" thickBot="1" x14ac:dyDescent="0.3">
      <c r="A42" s="19">
        <v>36</v>
      </c>
      <c r="B42" s="14" t="s">
        <v>3572</v>
      </c>
      <c r="C42" s="14" t="s">
        <v>3573</v>
      </c>
      <c r="D42" s="14" t="s">
        <v>2</v>
      </c>
      <c r="E42" s="14" t="s">
        <v>28</v>
      </c>
      <c r="F42" s="111">
        <v>41376</v>
      </c>
      <c r="G42" s="14" t="s">
        <v>3574</v>
      </c>
      <c r="H42" s="14" t="s">
        <v>3575</v>
      </c>
      <c r="I42" s="14" t="s">
        <v>3576</v>
      </c>
      <c r="J42" s="14" t="s">
        <v>342</v>
      </c>
      <c r="K42" s="14" t="s">
        <v>3374</v>
      </c>
    </row>
    <row r="43" spans="1:11" s="90" customFormat="1" ht="15.75" thickBot="1" x14ac:dyDescent="0.3">
      <c r="A43" s="19">
        <v>37</v>
      </c>
      <c r="B43" s="14" t="s">
        <v>3577</v>
      </c>
      <c r="C43" s="14" t="s">
        <v>3578</v>
      </c>
      <c r="D43" s="14" t="s">
        <v>2</v>
      </c>
      <c r="E43" s="14" t="s">
        <v>28</v>
      </c>
      <c r="F43" s="111">
        <v>41913</v>
      </c>
      <c r="G43" s="14" t="s">
        <v>3579</v>
      </c>
      <c r="H43" s="14" t="s">
        <v>3580</v>
      </c>
      <c r="I43" s="14" t="s">
        <v>3581</v>
      </c>
      <c r="J43" s="14" t="s">
        <v>342</v>
      </c>
      <c r="K43" s="14" t="s">
        <v>3374</v>
      </c>
    </row>
    <row r="44" spans="1:11" s="90" customFormat="1" ht="15.75" thickBot="1" x14ac:dyDescent="0.3">
      <c r="A44" s="19">
        <v>38</v>
      </c>
      <c r="B44" s="14" t="s">
        <v>3582</v>
      </c>
      <c r="C44" s="14" t="s">
        <v>3583</v>
      </c>
      <c r="D44" s="14" t="s">
        <v>2</v>
      </c>
      <c r="E44" s="14" t="s">
        <v>28</v>
      </c>
      <c r="F44" s="111">
        <v>41353</v>
      </c>
      <c r="G44" s="14" t="s">
        <v>3584</v>
      </c>
      <c r="H44" s="14" t="s">
        <v>3585</v>
      </c>
      <c r="I44" s="14" t="s">
        <v>3586</v>
      </c>
      <c r="J44" s="14" t="s">
        <v>342</v>
      </c>
      <c r="K44" s="14" t="s">
        <v>3374</v>
      </c>
    </row>
    <row r="45" spans="1:11" s="90" customFormat="1" ht="15.75" thickBot="1" x14ac:dyDescent="0.3">
      <c r="A45" s="19">
        <v>39</v>
      </c>
      <c r="B45" s="14" t="s">
        <v>3587</v>
      </c>
      <c r="C45" s="14" t="s">
        <v>3588</v>
      </c>
      <c r="D45" s="14" t="s">
        <v>66</v>
      </c>
      <c r="E45" s="14" t="s">
        <v>28</v>
      </c>
      <c r="F45" s="111">
        <v>41417</v>
      </c>
      <c r="G45" s="14" t="s">
        <v>3589</v>
      </c>
      <c r="H45" s="14" t="s">
        <v>3590</v>
      </c>
      <c r="I45" s="14" t="s">
        <v>3591</v>
      </c>
      <c r="J45" s="14" t="s">
        <v>342</v>
      </c>
      <c r="K45" s="14" t="s">
        <v>3374</v>
      </c>
    </row>
    <row r="46" spans="1:11" s="90" customFormat="1" ht="15.75" thickBot="1" x14ac:dyDescent="0.3">
      <c r="A46" s="19">
        <v>40</v>
      </c>
      <c r="B46" s="14" t="s">
        <v>3592</v>
      </c>
      <c r="C46" s="14" t="s">
        <v>3593</v>
      </c>
      <c r="D46" s="14" t="s">
        <v>66</v>
      </c>
      <c r="E46" s="14" t="s">
        <v>28</v>
      </c>
      <c r="F46" s="111">
        <v>42479</v>
      </c>
      <c r="G46" s="14" t="s">
        <v>3594</v>
      </c>
      <c r="H46" s="14" t="s">
        <v>3595</v>
      </c>
      <c r="I46" s="14" t="s">
        <v>3596</v>
      </c>
      <c r="J46" s="14" t="s">
        <v>342</v>
      </c>
      <c r="K46" s="14" t="s">
        <v>3374</v>
      </c>
    </row>
    <row r="47" spans="1:11" s="90" customFormat="1" ht="15.75" thickBot="1" x14ac:dyDescent="0.3">
      <c r="A47" s="19">
        <v>41</v>
      </c>
      <c r="B47" s="14" t="s">
        <v>3597</v>
      </c>
      <c r="C47" s="14" t="s">
        <v>3598</v>
      </c>
      <c r="D47" s="14" t="s">
        <v>2</v>
      </c>
      <c r="E47" s="14" t="s">
        <v>28</v>
      </c>
      <c r="F47" s="111">
        <v>41628</v>
      </c>
      <c r="G47" s="14" t="s">
        <v>3599</v>
      </c>
      <c r="H47" s="14" t="s">
        <v>3600</v>
      </c>
      <c r="I47" s="14" t="s">
        <v>3601</v>
      </c>
      <c r="J47" s="14" t="s">
        <v>342</v>
      </c>
      <c r="K47" s="14" t="s">
        <v>3374</v>
      </c>
    </row>
    <row r="48" spans="1:11" s="90" customFormat="1" ht="15.75" thickBot="1" x14ac:dyDescent="0.3">
      <c r="A48" s="19">
        <v>42</v>
      </c>
      <c r="B48" s="14" t="s">
        <v>3602</v>
      </c>
      <c r="C48" s="14" t="s">
        <v>3603</v>
      </c>
      <c r="D48" s="14" t="s">
        <v>2</v>
      </c>
      <c r="E48" s="14" t="s">
        <v>365</v>
      </c>
      <c r="F48" s="111">
        <v>42651</v>
      </c>
      <c r="G48" s="14" t="s">
        <v>3604</v>
      </c>
      <c r="H48" s="14" t="s">
        <v>3605</v>
      </c>
      <c r="I48" s="14" t="s">
        <v>3606</v>
      </c>
      <c r="J48" s="14" t="s">
        <v>342</v>
      </c>
      <c r="K48" s="14" t="s">
        <v>3374</v>
      </c>
    </row>
    <row r="49" spans="1:11" s="90" customFormat="1" ht="15.75" thickBot="1" x14ac:dyDescent="0.3">
      <c r="A49" s="19">
        <v>43</v>
      </c>
      <c r="B49" s="14" t="s">
        <v>3607</v>
      </c>
      <c r="C49" s="14" t="s">
        <v>3608</v>
      </c>
      <c r="D49" s="14" t="s">
        <v>2</v>
      </c>
      <c r="E49" s="14" t="s">
        <v>28</v>
      </c>
      <c r="F49" s="111">
        <v>42632</v>
      </c>
      <c r="G49" s="14" t="s">
        <v>3609</v>
      </c>
      <c r="H49" s="14" t="s">
        <v>3610</v>
      </c>
      <c r="I49" s="14" t="s">
        <v>3611</v>
      </c>
      <c r="J49" s="14" t="s">
        <v>342</v>
      </c>
      <c r="K49" s="14" t="s">
        <v>3374</v>
      </c>
    </row>
    <row r="50" spans="1:11" s="90" customFormat="1" ht="15.75" thickBot="1" x14ac:dyDescent="0.3">
      <c r="A50" s="19">
        <v>44</v>
      </c>
      <c r="B50" s="14" t="s">
        <v>3612</v>
      </c>
      <c r="C50" s="14" t="s">
        <v>3613</v>
      </c>
      <c r="D50" s="14" t="s">
        <v>2</v>
      </c>
      <c r="E50" s="14" t="s">
        <v>365</v>
      </c>
      <c r="F50" s="111">
        <v>42031</v>
      </c>
      <c r="G50" s="14" t="s">
        <v>3614</v>
      </c>
      <c r="H50" s="14" t="s">
        <v>3615</v>
      </c>
      <c r="I50" s="14" t="s">
        <v>3616</v>
      </c>
      <c r="J50" s="14" t="s">
        <v>342</v>
      </c>
      <c r="K50" s="14" t="s">
        <v>3374</v>
      </c>
    </row>
    <row r="51" spans="1:11" s="90" customFormat="1" ht="15.75" thickBot="1" x14ac:dyDescent="0.3">
      <c r="A51" s="19">
        <v>45</v>
      </c>
      <c r="B51" s="14" t="s">
        <v>3617</v>
      </c>
      <c r="C51" s="14" t="s">
        <v>3618</v>
      </c>
      <c r="D51" s="14" t="s">
        <v>66</v>
      </c>
      <c r="E51" s="14" t="s">
        <v>1255</v>
      </c>
      <c r="F51" s="111">
        <v>41260</v>
      </c>
      <c r="G51" s="14" t="s">
        <v>3619</v>
      </c>
      <c r="H51" s="14" t="s">
        <v>3620</v>
      </c>
      <c r="I51" s="14" t="s">
        <v>3621</v>
      </c>
      <c r="J51" s="14" t="s">
        <v>342</v>
      </c>
      <c r="K51" s="14" t="s">
        <v>3374</v>
      </c>
    </row>
    <row r="52" spans="1:11" s="90" customFormat="1" ht="15.75" thickBot="1" x14ac:dyDescent="0.3">
      <c r="A52" s="19">
        <v>46</v>
      </c>
      <c r="B52" s="14" t="s">
        <v>3622</v>
      </c>
      <c r="C52" s="14" t="s">
        <v>3623</v>
      </c>
      <c r="D52" s="14" t="s">
        <v>66</v>
      </c>
      <c r="E52" s="14" t="s">
        <v>10</v>
      </c>
      <c r="F52" s="111">
        <v>40890</v>
      </c>
      <c r="G52" s="14" t="s">
        <v>3624</v>
      </c>
      <c r="H52" s="14" t="s">
        <v>3625</v>
      </c>
      <c r="I52" s="14" t="s">
        <v>3626</v>
      </c>
      <c r="J52" s="14" t="s">
        <v>342</v>
      </c>
      <c r="K52" s="14" t="s">
        <v>3374</v>
      </c>
    </row>
    <row r="53" spans="1:11" s="90" customFormat="1" ht="15.75" thickBot="1" x14ac:dyDescent="0.3">
      <c r="A53" s="19">
        <v>47</v>
      </c>
      <c r="B53" s="14" t="s">
        <v>3627</v>
      </c>
      <c r="C53" s="14" t="s">
        <v>3628</v>
      </c>
      <c r="D53" s="14" t="s">
        <v>66</v>
      </c>
      <c r="E53" s="14" t="s">
        <v>28</v>
      </c>
      <c r="F53" s="111">
        <v>42511</v>
      </c>
      <c r="G53" s="14" t="s">
        <v>3629</v>
      </c>
      <c r="H53" s="14" t="s">
        <v>3630</v>
      </c>
      <c r="I53" s="14" t="s">
        <v>3631</v>
      </c>
      <c r="J53" s="14" t="s">
        <v>342</v>
      </c>
      <c r="K53" s="14" t="s">
        <v>3374</v>
      </c>
    </row>
    <row r="54" spans="1:11" s="90" customFormat="1" ht="15.75" thickBot="1" x14ac:dyDescent="0.3">
      <c r="A54" s="19">
        <v>48</v>
      </c>
      <c r="B54" s="14" t="s">
        <v>3632</v>
      </c>
      <c r="C54" s="14" t="s">
        <v>3633</v>
      </c>
      <c r="D54" s="14" t="s">
        <v>66</v>
      </c>
      <c r="E54" s="14" t="s">
        <v>365</v>
      </c>
      <c r="F54" s="111">
        <v>41601</v>
      </c>
      <c r="G54" s="14" t="s">
        <v>3634</v>
      </c>
      <c r="H54" s="14" t="s">
        <v>3635</v>
      </c>
      <c r="I54" s="14" t="s">
        <v>3636</v>
      </c>
      <c r="J54" s="14" t="s">
        <v>342</v>
      </c>
      <c r="K54" s="14" t="s">
        <v>3374</v>
      </c>
    </row>
    <row r="55" spans="1:11" s="90" customFormat="1" ht="15.75" thickBot="1" x14ac:dyDescent="0.3">
      <c r="A55" s="19">
        <v>49</v>
      </c>
      <c r="B55" s="14" t="s">
        <v>3637</v>
      </c>
      <c r="C55" s="14" t="s">
        <v>3638</v>
      </c>
      <c r="D55" s="14" t="s">
        <v>66</v>
      </c>
      <c r="E55" s="14" t="s">
        <v>10</v>
      </c>
      <c r="F55" s="111">
        <v>42127</v>
      </c>
      <c r="G55" s="14" t="s">
        <v>3639</v>
      </c>
      <c r="H55" s="14" t="s">
        <v>3640</v>
      </c>
      <c r="I55" s="14" t="s">
        <v>3641</v>
      </c>
      <c r="J55" s="14" t="s">
        <v>342</v>
      </c>
      <c r="K55" s="14" t="s">
        <v>3374</v>
      </c>
    </row>
    <row r="56" spans="1:11" s="90" customFormat="1" ht="15.75" thickBot="1" x14ac:dyDescent="0.3">
      <c r="A56" s="19">
        <v>50</v>
      </c>
      <c r="B56" s="14" t="s">
        <v>3642</v>
      </c>
      <c r="C56" s="14" t="s">
        <v>3643</v>
      </c>
      <c r="D56" s="14" t="s">
        <v>2</v>
      </c>
      <c r="E56" s="14" t="s">
        <v>3644</v>
      </c>
      <c r="F56" s="111">
        <v>42317</v>
      </c>
      <c r="G56" s="14" t="s">
        <v>3645</v>
      </c>
      <c r="H56" s="14" t="s">
        <v>3646</v>
      </c>
      <c r="I56" s="14" t="s">
        <v>3647</v>
      </c>
      <c r="J56" s="14" t="s">
        <v>342</v>
      </c>
      <c r="K56" s="14" t="s">
        <v>3374</v>
      </c>
    </row>
    <row r="57" spans="1:11" s="90" customFormat="1" ht="15.75" thickBot="1" x14ac:dyDescent="0.3">
      <c r="A57" s="19">
        <v>51</v>
      </c>
      <c r="B57" s="14" t="s">
        <v>3648</v>
      </c>
      <c r="C57" s="14" t="s">
        <v>3649</v>
      </c>
      <c r="D57" s="14" t="s">
        <v>66</v>
      </c>
      <c r="E57" s="14" t="s">
        <v>28</v>
      </c>
      <c r="F57" s="111">
        <v>42582</v>
      </c>
      <c r="G57" s="14" t="s">
        <v>3650</v>
      </c>
      <c r="H57" s="14" t="s">
        <v>382</v>
      </c>
      <c r="I57" s="14" t="s">
        <v>3651</v>
      </c>
      <c r="J57" s="14" t="s">
        <v>342</v>
      </c>
      <c r="K57" s="14" t="s">
        <v>3374</v>
      </c>
    </row>
    <row r="58" spans="1:11" s="90" customFormat="1" ht="15.75" thickBot="1" x14ac:dyDescent="0.3">
      <c r="A58" s="19">
        <v>52</v>
      </c>
      <c r="B58" s="14" t="s">
        <v>3652</v>
      </c>
      <c r="C58" s="14" t="s">
        <v>3653</v>
      </c>
      <c r="D58" s="14" t="s">
        <v>2</v>
      </c>
      <c r="E58" s="14" t="s">
        <v>28</v>
      </c>
      <c r="F58" s="111">
        <v>41430</v>
      </c>
      <c r="G58" s="14" t="s">
        <v>3654</v>
      </c>
      <c r="H58" s="14" t="s">
        <v>3655</v>
      </c>
      <c r="I58" s="14" t="s">
        <v>3656</v>
      </c>
      <c r="J58" s="14" t="s">
        <v>342</v>
      </c>
      <c r="K58" s="14" t="s">
        <v>3374</v>
      </c>
    </row>
    <row r="59" spans="1:11" s="90" customFormat="1" ht="15.75" thickBot="1" x14ac:dyDescent="0.3">
      <c r="A59" s="19">
        <v>53</v>
      </c>
      <c r="B59" s="14" t="s">
        <v>3657</v>
      </c>
      <c r="C59" s="14" t="s">
        <v>3658</v>
      </c>
      <c r="D59" s="14" t="s">
        <v>2</v>
      </c>
      <c r="E59" s="14" t="s">
        <v>28</v>
      </c>
      <c r="F59" s="111">
        <v>41560</v>
      </c>
      <c r="G59" s="14" t="s">
        <v>3659</v>
      </c>
      <c r="H59" s="14" t="s">
        <v>3660</v>
      </c>
      <c r="I59" s="14" t="s">
        <v>3661</v>
      </c>
      <c r="J59" s="14" t="s">
        <v>342</v>
      </c>
      <c r="K59" s="14" t="s">
        <v>3374</v>
      </c>
    </row>
    <row r="60" spans="1:11" s="90" customFormat="1" ht="15.75" thickBot="1" x14ac:dyDescent="0.3">
      <c r="A60" s="19">
        <v>54</v>
      </c>
      <c r="B60" s="14" t="s">
        <v>3662</v>
      </c>
      <c r="C60" s="14" t="s">
        <v>3663</v>
      </c>
      <c r="D60" s="14" t="s">
        <v>2</v>
      </c>
      <c r="E60" s="14" t="s">
        <v>28</v>
      </c>
      <c r="F60" s="111">
        <v>42287</v>
      </c>
      <c r="G60" s="14" t="s">
        <v>3664</v>
      </c>
      <c r="H60" s="14" t="s">
        <v>3665</v>
      </c>
      <c r="I60" s="14" t="s">
        <v>3666</v>
      </c>
      <c r="J60" s="14" t="s">
        <v>342</v>
      </c>
      <c r="K60" s="14" t="s">
        <v>3374</v>
      </c>
    </row>
    <row r="61" spans="1:11" s="90" customFormat="1" ht="15.75" thickBot="1" x14ac:dyDescent="0.3">
      <c r="A61" s="19">
        <v>55</v>
      </c>
      <c r="B61" s="14" t="s">
        <v>3667</v>
      </c>
      <c r="C61" s="14" t="s">
        <v>3668</v>
      </c>
      <c r="D61" s="14" t="s">
        <v>2</v>
      </c>
      <c r="E61" s="14" t="s">
        <v>28</v>
      </c>
      <c r="F61" s="111">
        <v>41922</v>
      </c>
      <c r="G61" s="14" t="s">
        <v>3669</v>
      </c>
      <c r="H61" s="14" t="s">
        <v>3670</v>
      </c>
      <c r="I61" s="14" t="s">
        <v>3671</v>
      </c>
      <c r="J61" s="14" t="s">
        <v>342</v>
      </c>
      <c r="K61" s="14" t="s">
        <v>3374</v>
      </c>
    </row>
    <row r="62" spans="1:11" s="90" customFormat="1" ht="15.75" thickBot="1" x14ac:dyDescent="0.3">
      <c r="A62" s="19">
        <v>56</v>
      </c>
      <c r="B62" s="14" t="s">
        <v>3672</v>
      </c>
      <c r="C62" s="14" t="s">
        <v>3673</v>
      </c>
      <c r="D62" s="14" t="s">
        <v>2</v>
      </c>
      <c r="E62" s="14" t="s">
        <v>10</v>
      </c>
      <c r="F62" s="111">
        <v>41958</v>
      </c>
      <c r="G62" s="14" t="s">
        <v>3674</v>
      </c>
      <c r="H62" s="14" t="s">
        <v>3675</v>
      </c>
      <c r="I62" s="14" t="s">
        <v>3676</v>
      </c>
      <c r="J62" s="14" t="s">
        <v>699</v>
      </c>
      <c r="K62" s="14" t="s">
        <v>3374</v>
      </c>
    </row>
    <row r="63" spans="1:11" s="90" customFormat="1" ht="15.75" thickBot="1" x14ac:dyDescent="0.3">
      <c r="A63" s="19">
        <v>57</v>
      </c>
      <c r="B63" s="14" t="s">
        <v>3677</v>
      </c>
      <c r="C63" s="14" t="s">
        <v>3678</v>
      </c>
      <c r="D63" s="14" t="s">
        <v>2</v>
      </c>
      <c r="E63" s="14" t="s">
        <v>10</v>
      </c>
      <c r="F63" s="111">
        <v>41867</v>
      </c>
      <c r="G63" s="14" t="s">
        <v>3679</v>
      </c>
      <c r="H63" s="14" t="s">
        <v>3680</v>
      </c>
      <c r="I63" s="14" t="s">
        <v>3681</v>
      </c>
      <c r="J63" s="14" t="s">
        <v>699</v>
      </c>
      <c r="K63" s="14" t="s">
        <v>3374</v>
      </c>
    </row>
    <row r="64" spans="1:11" s="90" customFormat="1" ht="15.75" thickBot="1" x14ac:dyDescent="0.3">
      <c r="A64" s="19">
        <v>58</v>
      </c>
      <c r="B64" s="14" t="s">
        <v>3682</v>
      </c>
      <c r="C64" s="14" t="s">
        <v>3683</v>
      </c>
      <c r="D64" s="14" t="s">
        <v>66</v>
      </c>
      <c r="E64" s="14" t="s">
        <v>10</v>
      </c>
      <c r="F64" s="111">
        <v>41488</v>
      </c>
      <c r="G64" s="14" t="s">
        <v>3684</v>
      </c>
      <c r="H64" s="14" t="s">
        <v>3685</v>
      </c>
      <c r="I64" s="14" t="s">
        <v>3686</v>
      </c>
      <c r="J64" s="14" t="s">
        <v>699</v>
      </c>
      <c r="K64" s="14" t="s">
        <v>3374</v>
      </c>
    </row>
    <row r="65" spans="1:11" s="90" customFormat="1" ht="15.75" thickBot="1" x14ac:dyDescent="0.3">
      <c r="A65" s="19">
        <v>59</v>
      </c>
      <c r="B65" s="14" t="s">
        <v>3687</v>
      </c>
      <c r="C65" s="14" t="s">
        <v>3688</v>
      </c>
      <c r="D65" s="14" t="s">
        <v>66</v>
      </c>
      <c r="E65" s="14" t="s">
        <v>10</v>
      </c>
      <c r="F65" s="111">
        <v>41911</v>
      </c>
      <c r="G65" s="14" t="s">
        <v>3689</v>
      </c>
      <c r="H65" s="14" t="s">
        <v>3690</v>
      </c>
      <c r="I65" s="14" t="s">
        <v>3691</v>
      </c>
      <c r="J65" s="14" t="s">
        <v>699</v>
      </c>
      <c r="K65" s="14" t="s">
        <v>3374</v>
      </c>
    </row>
    <row r="66" spans="1:11" s="90" customFormat="1" ht="15.75" thickBot="1" x14ac:dyDescent="0.3">
      <c r="A66" s="19">
        <v>60</v>
      </c>
      <c r="B66" s="14" t="s">
        <v>3692</v>
      </c>
      <c r="C66" s="14" t="s">
        <v>3693</v>
      </c>
      <c r="D66" s="14" t="s">
        <v>2</v>
      </c>
      <c r="E66" s="14" t="s">
        <v>10</v>
      </c>
      <c r="F66" s="111">
        <v>41407</v>
      </c>
      <c r="G66" s="14" t="s">
        <v>3694</v>
      </c>
      <c r="H66" s="14" t="s">
        <v>3695</v>
      </c>
      <c r="I66" s="14" t="s">
        <v>3696</v>
      </c>
      <c r="J66" s="14" t="s">
        <v>699</v>
      </c>
      <c r="K66" s="14" t="s">
        <v>3374</v>
      </c>
    </row>
    <row r="67" spans="1:11" s="90" customFormat="1" ht="15.75" thickBot="1" x14ac:dyDescent="0.3">
      <c r="A67" s="19">
        <v>61</v>
      </c>
      <c r="B67" s="14" t="s">
        <v>3697</v>
      </c>
      <c r="C67" s="14" t="s">
        <v>3698</v>
      </c>
      <c r="D67" s="14" t="s">
        <v>2</v>
      </c>
      <c r="E67" s="14" t="s">
        <v>10</v>
      </c>
      <c r="F67" s="111">
        <v>42297</v>
      </c>
      <c r="G67" s="14" t="s">
        <v>3699</v>
      </c>
      <c r="H67" s="14" t="s">
        <v>3700</v>
      </c>
      <c r="I67" s="14" t="s">
        <v>3701</v>
      </c>
      <c r="J67" s="14" t="s">
        <v>699</v>
      </c>
      <c r="K67" s="14" t="s">
        <v>3374</v>
      </c>
    </row>
    <row r="68" spans="1:11" s="90" customFormat="1" ht="15.75" thickBot="1" x14ac:dyDescent="0.3">
      <c r="A68" s="19">
        <v>62</v>
      </c>
      <c r="B68" s="14" t="s">
        <v>3702</v>
      </c>
      <c r="C68" s="14" t="s">
        <v>3703</v>
      </c>
      <c r="D68" s="14" t="s">
        <v>2</v>
      </c>
      <c r="E68" s="14" t="s">
        <v>10</v>
      </c>
      <c r="F68" s="111">
        <v>42144</v>
      </c>
      <c r="G68" s="14" t="s">
        <v>3704</v>
      </c>
      <c r="H68" s="14" t="s">
        <v>3705</v>
      </c>
      <c r="I68" s="14" t="s">
        <v>3706</v>
      </c>
      <c r="J68" s="14" t="s">
        <v>699</v>
      </c>
      <c r="K68" s="14" t="s">
        <v>3374</v>
      </c>
    </row>
    <row r="69" spans="1:11" s="90" customFormat="1" ht="15.75" thickBot="1" x14ac:dyDescent="0.3">
      <c r="A69" s="19">
        <v>63</v>
      </c>
      <c r="B69" s="14" t="s">
        <v>3707</v>
      </c>
      <c r="C69" s="14" t="s">
        <v>3708</v>
      </c>
      <c r="D69" s="14" t="s">
        <v>66</v>
      </c>
      <c r="E69" s="14" t="s">
        <v>10</v>
      </c>
      <c r="F69" s="111">
        <v>42884</v>
      </c>
      <c r="G69" s="14" t="s">
        <v>3709</v>
      </c>
      <c r="H69" s="14" t="s">
        <v>3710</v>
      </c>
      <c r="I69" s="14" t="s">
        <v>3711</v>
      </c>
      <c r="J69" s="14" t="s">
        <v>699</v>
      </c>
      <c r="K69" s="14" t="s">
        <v>3374</v>
      </c>
    </row>
    <row r="70" spans="1:11" s="90" customFormat="1" ht="15.75" thickBot="1" x14ac:dyDescent="0.3">
      <c r="A70" s="19">
        <v>64</v>
      </c>
      <c r="B70" s="14" t="s">
        <v>3712</v>
      </c>
      <c r="C70" s="14" t="s">
        <v>3713</v>
      </c>
      <c r="D70" s="14" t="s">
        <v>66</v>
      </c>
      <c r="E70" s="14" t="s">
        <v>10</v>
      </c>
      <c r="F70" s="111">
        <v>42643</v>
      </c>
      <c r="G70" s="14" t="s">
        <v>3714</v>
      </c>
      <c r="H70" s="14" t="s">
        <v>3715</v>
      </c>
      <c r="I70" s="14" t="s">
        <v>3716</v>
      </c>
      <c r="J70" s="14" t="s">
        <v>699</v>
      </c>
      <c r="K70" s="14" t="s">
        <v>3374</v>
      </c>
    </row>
    <row r="71" spans="1:11" s="90" customFormat="1" ht="15.75" thickBot="1" x14ac:dyDescent="0.3">
      <c r="A71" s="19">
        <v>65</v>
      </c>
      <c r="B71" s="14" t="s">
        <v>3717</v>
      </c>
      <c r="C71" s="14" t="s">
        <v>3718</v>
      </c>
      <c r="D71" s="14" t="s">
        <v>66</v>
      </c>
      <c r="E71" s="14" t="s">
        <v>3</v>
      </c>
      <c r="F71" s="111">
        <v>41898</v>
      </c>
      <c r="G71" s="14" t="s">
        <v>3719</v>
      </c>
      <c r="H71" s="14" t="s">
        <v>3720</v>
      </c>
      <c r="I71" s="14" t="s">
        <v>3721</v>
      </c>
      <c r="J71" s="14" t="s">
        <v>699</v>
      </c>
      <c r="K71" s="14" t="s">
        <v>3374</v>
      </c>
    </row>
    <row r="72" spans="1:11" s="90" customFormat="1" ht="15.75" thickBot="1" x14ac:dyDescent="0.3">
      <c r="A72" s="19">
        <v>66</v>
      </c>
      <c r="B72" s="14" t="s">
        <v>3722</v>
      </c>
      <c r="C72" s="14" t="s">
        <v>3723</v>
      </c>
      <c r="D72" s="14" t="s">
        <v>2</v>
      </c>
      <c r="E72" s="14" t="s">
        <v>10</v>
      </c>
      <c r="F72" s="111">
        <v>41685</v>
      </c>
      <c r="G72" s="14" t="s">
        <v>3724</v>
      </c>
      <c r="H72" s="14" t="s">
        <v>3725</v>
      </c>
      <c r="I72" s="14" t="s">
        <v>3726</v>
      </c>
      <c r="J72" s="14" t="s">
        <v>699</v>
      </c>
      <c r="K72" s="14" t="s">
        <v>3374</v>
      </c>
    </row>
    <row r="73" spans="1:11" s="90" customFormat="1" ht="15.75" thickBot="1" x14ac:dyDescent="0.3">
      <c r="A73" s="19">
        <v>67</v>
      </c>
      <c r="B73" s="14" t="s">
        <v>3727</v>
      </c>
      <c r="C73" s="14" t="s">
        <v>3392</v>
      </c>
      <c r="D73" s="14" t="s">
        <v>2</v>
      </c>
      <c r="E73" s="14" t="s">
        <v>10</v>
      </c>
      <c r="F73" s="111">
        <v>41700</v>
      </c>
      <c r="G73" s="14" t="s">
        <v>3728</v>
      </c>
      <c r="H73" s="14" t="s">
        <v>3729</v>
      </c>
      <c r="I73" s="14" t="s">
        <v>3730</v>
      </c>
      <c r="J73" s="14" t="s">
        <v>699</v>
      </c>
      <c r="K73" s="14" t="s">
        <v>3374</v>
      </c>
    </row>
    <row r="74" spans="1:11" s="90" customFormat="1" ht="15.75" thickBot="1" x14ac:dyDescent="0.3">
      <c r="A74" s="19">
        <v>68</v>
      </c>
      <c r="B74" s="14" t="s">
        <v>3731</v>
      </c>
      <c r="C74" s="14" t="s">
        <v>3732</v>
      </c>
      <c r="D74" s="14" t="s">
        <v>2</v>
      </c>
      <c r="E74" s="14" t="s">
        <v>10</v>
      </c>
      <c r="F74" s="111">
        <v>42245</v>
      </c>
      <c r="G74" s="14" t="s">
        <v>3733</v>
      </c>
      <c r="H74" s="14" t="s">
        <v>3734</v>
      </c>
      <c r="I74" s="14" t="s">
        <v>3735</v>
      </c>
      <c r="J74" s="14" t="s">
        <v>699</v>
      </c>
      <c r="K74" s="14" t="s">
        <v>3374</v>
      </c>
    </row>
    <row r="75" spans="1:11" s="90" customFormat="1" ht="15.75" thickBot="1" x14ac:dyDescent="0.3">
      <c r="A75" s="19">
        <v>69</v>
      </c>
      <c r="B75" s="14" t="s">
        <v>3736</v>
      </c>
      <c r="C75" s="14" t="s">
        <v>3737</v>
      </c>
      <c r="D75" s="14" t="s">
        <v>66</v>
      </c>
      <c r="E75" s="14" t="s">
        <v>10</v>
      </c>
      <c r="F75" s="111">
        <v>42214</v>
      </c>
      <c r="G75" s="14" t="s">
        <v>3738</v>
      </c>
      <c r="H75" s="14" t="s">
        <v>3739</v>
      </c>
      <c r="I75" s="14" t="s">
        <v>3740</v>
      </c>
      <c r="J75" s="14" t="s">
        <v>3346</v>
      </c>
      <c r="K75" s="14" t="s">
        <v>3374</v>
      </c>
    </row>
    <row r="76" spans="1:11" s="90" customFormat="1" ht="15.75" thickBot="1" x14ac:dyDescent="0.3">
      <c r="A76" s="19">
        <v>70</v>
      </c>
      <c r="B76" s="14" t="s">
        <v>3741</v>
      </c>
      <c r="C76" s="14" t="s">
        <v>3742</v>
      </c>
      <c r="D76" s="14" t="s">
        <v>66</v>
      </c>
      <c r="E76" s="14" t="s">
        <v>10</v>
      </c>
      <c r="F76" s="111">
        <v>41450</v>
      </c>
      <c r="G76" s="14" t="s">
        <v>2274</v>
      </c>
      <c r="H76" s="14" t="s">
        <v>3743</v>
      </c>
      <c r="I76" s="14" t="s">
        <v>3744</v>
      </c>
      <c r="J76" s="14" t="s">
        <v>3346</v>
      </c>
      <c r="K76" s="14" t="s">
        <v>3374</v>
      </c>
    </row>
    <row r="77" spans="1:11" s="90" customFormat="1" ht="15.75" thickBot="1" x14ac:dyDescent="0.3">
      <c r="A77" s="19">
        <v>71</v>
      </c>
      <c r="B77" s="14" t="s">
        <v>3745</v>
      </c>
      <c r="C77" s="14" t="s">
        <v>3746</v>
      </c>
      <c r="D77" s="14" t="s">
        <v>2</v>
      </c>
      <c r="E77" s="14" t="s">
        <v>10</v>
      </c>
      <c r="F77" s="111">
        <v>42556</v>
      </c>
      <c r="G77" s="14" t="s">
        <v>3747</v>
      </c>
      <c r="H77" s="14" t="s">
        <v>3748</v>
      </c>
      <c r="I77" s="14" t="s">
        <v>3749</v>
      </c>
      <c r="J77" s="14" t="s">
        <v>3348</v>
      </c>
      <c r="K77" s="14" t="s">
        <v>3374</v>
      </c>
    </row>
    <row r="78" spans="1:11" s="90" customFormat="1" ht="15.75" thickBot="1" x14ac:dyDescent="0.3">
      <c r="A78" s="19">
        <v>72</v>
      </c>
      <c r="B78" s="14" t="s">
        <v>3750</v>
      </c>
      <c r="C78" s="14" t="s">
        <v>3751</v>
      </c>
      <c r="D78" s="14" t="s">
        <v>2</v>
      </c>
      <c r="E78" s="14" t="s">
        <v>59</v>
      </c>
      <c r="F78" s="111">
        <v>42116</v>
      </c>
      <c r="G78" s="14" t="s">
        <v>3752</v>
      </c>
      <c r="H78" s="14" t="s">
        <v>3753</v>
      </c>
      <c r="I78" s="14" t="s">
        <v>3754</v>
      </c>
      <c r="J78" s="14" t="s">
        <v>3348</v>
      </c>
      <c r="K78" s="14" t="s">
        <v>3374</v>
      </c>
    </row>
    <row r="79" spans="1:11" s="90" customFormat="1" ht="15.75" thickBot="1" x14ac:dyDescent="0.3">
      <c r="A79" s="19">
        <v>73</v>
      </c>
      <c r="B79" s="14" t="s">
        <v>3755</v>
      </c>
      <c r="C79" s="14" t="s">
        <v>3756</v>
      </c>
      <c r="D79" s="14" t="s">
        <v>2</v>
      </c>
      <c r="E79" s="14" t="s">
        <v>10</v>
      </c>
      <c r="F79" s="111">
        <v>41830</v>
      </c>
      <c r="G79" s="14" t="s">
        <v>3757</v>
      </c>
      <c r="H79" s="14" t="s">
        <v>3758</v>
      </c>
      <c r="I79" s="14" t="s">
        <v>3759</v>
      </c>
      <c r="J79" s="14" t="s">
        <v>3348</v>
      </c>
      <c r="K79" s="14" t="s">
        <v>3374</v>
      </c>
    </row>
    <row r="80" spans="1:11" s="90" customFormat="1" ht="15.75" thickBot="1" x14ac:dyDescent="0.3">
      <c r="A80" s="19">
        <v>74</v>
      </c>
      <c r="B80" s="14" t="s">
        <v>3760</v>
      </c>
      <c r="C80" s="14" t="s">
        <v>3761</v>
      </c>
      <c r="D80" s="14" t="s">
        <v>2</v>
      </c>
      <c r="E80" s="14" t="s">
        <v>10</v>
      </c>
      <c r="F80" s="111">
        <v>41291</v>
      </c>
      <c r="G80" s="14" t="s">
        <v>3762</v>
      </c>
      <c r="H80" s="14" t="s">
        <v>3763</v>
      </c>
      <c r="I80" s="14" t="s">
        <v>3764</v>
      </c>
      <c r="J80" s="14" t="s">
        <v>3348</v>
      </c>
      <c r="K80" s="14" t="s">
        <v>3374</v>
      </c>
    </row>
    <row r="81" spans="1:11" s="90" customFormat="1" ht="15.75" thickBot="1" x14ac:dyDescent="0.3">
      <c r="A81" s="19">
        <v>75</v>
      </c>
      <c r="B81" s="14" t="s">
        <v>3765</v>
      </c>
      <c r="C81" s="14" t="s">
        <v>3766</v>
      </c>
      <c r="D81" s="14" t="s">
        <v>2</v>
      </c>
      <c r="E81" s="14" t="s">
        <v>10</v>
      </c>
      <c r="F81" s="111">
        <v>41648</v>
      </c>
      <c r="G81" s="14" t="s">
        <v>3767</v>
      </c>
      <c r="H81" s="14" t="s">
        <v>3768</v>
      </c>
      <c r="I81" s="14" t="s">
        <v>3769</v>
      </c>
      <c r="J81" s="14" t="s">
        <v>3348</v>
      </c>
      <c r="K81" s="14" t="s">
        <v>3374</v>
      </c>
    </row>
    <row r="82" spans="1:11" s="90" customFormat="1" ht="15.75" thickBot="1" x14ac:dyDescent="0.3">
      <c r="A82" s="19">
        <v>76</v>
      </c>
      <c r="B82" s="14" t="s">
        <v>3770</v>
      </c>
      <c r="C82" s="14" t="s">
        <v>3771</v>
      </c>
      <c r="D82" s="14" t="s">
        <v>2</v>
      </c>
      <c r="E82" s="14" t="s">
        <v>328</v>
      </c>
      <c r="F82" s="111">
        <v>41425</v>
      </c>
      <c r="G82" s="14" t="s">
        <v>3772</v>
      </c>
      <c r="H82" s="14" t="s">
        <v>3773</v>
      </c>
      <c r="I82" s="14" t="s">
        <v>3774</v>
      </c>
      <c r="J82" s="14" t="s">
        <v>3348</v>
      </c>
      <c r="K82" s="14" t="s">
        <v>3374</v>
      </c>
    </row>
    <row r="83" spans="1:11" s="90" customFormat="1" ht="15.75" thickBot="1" x14ac:dyDescent="0.3">
      <c r="A83" s="19">
        <v>77</v>
      </c>
      <c r="B83" s="14" t="s">
        <v>3775</v>
      </c>
      <c r="C83" s="14" t="s">
        <v>3776</v>
      </c>
      <c r="D83" s="14" t="s">
        <v>66</v>
      </c>
      <c r="E83" s="14" t="s">
        <v>10</v>
      </c>
      <c r="F83" s="111">
        <v>42304</v>
      </c>
      <c r="G83" s="14" t="s">
        <v>3777</v>
      </c>
      <c r="H83" s="14" t="s">
        <v>3778</v>
      </c>
      <c r="I83" s="14" t="s">
        <v>3779</v>
      </c>
      <c r="J83" s="14" t="s">
        <v>3349</v>
      </c>
      <c r="K83" s="14" t="s">
        <v>3374</v>
      </c>
    </row>
    <row r="84" spans="1:11" s="90" customFormat="1" ht="15.75" thickBot="1" x14ac:dyDescent="0.3">
      <c r="A84" s="19">
        <v>78</v>
      </c>
      <c r="B84" s="14" t="s">
        <v>3780</v>
      </c>
      <c r="C84" s="14" t="s">
        <v>3781</v>
      </c>
      <c r="D84" s="14" t="s">
        <v>66</v>
      </c>
      <c r="E84" s="14" t="s">
        <v>10</v>
      </c>
      <c r="F84" s="111">
        <v>41440</v>
      </c>
      <c r="G84" s="14" t="s">
        <v>3782</v>
      </c>
      <c r="H84" s="14" t="s">
        <v>713</v>
      </c>
      <c r="I84" s="14" t="s">
        <v>3783</v>
      </c>
      <c r="J84" s="14" t="s">
        <v>3349</v>
      </c>
      <c r="K84" s="14" t="s">
        <v>3784</v>
      </c>
    </row>
    <row r="85" spans="1:11" s="90" customFormat="1" ht="15.75" thickBot="1" x14ac:dyDescent="0.3">
      <c r="A85" s="19">
        <v>79</v>
      </c>
      <c r="B85" s="14" t="s">
        <v>3785</v>
      </c>
      <c r="C85" s="14" t="s">
        <v>3786</v>
      </c>
      <c r="D85" s="14" t="s">
        <v>66</v>
      </c>
      <c r="E85" s="14" t="s">
        <v>10</v>
      </c>
      <c r="F85" s="111">
        <v>41477</v>
      </c>
      <c r="G85" s="14" t="s">
        <v>3787</v>
      </c>
      <c r="H85" s="14" t="s">
        <v>3788</v>
      </c>
      <c r="I85" s="14" t="s">
        <v>3789</v>
      </c>
      <c r="J85" s="14" t="s">
        <v>3349</v>
      </c>
      <c r="K85" s="14" t="s">
        <v>3374</v>
      </c>
    </row>
    <row r="86" spans="1:11" s="90" customFormat="1" ht="15.75" thickBot="1" x14ac:dyDescent="0.3">
      <c r="A86" s="19">
        <v>80</v>
      </c>
      <c r="B86" s="14" t="s">
        <v>3790</v>
      </c>
      <c r="C86" s="14" t="s">
        <v>3791</v>
      </c>
      <c r="D86" s="14" t="s">
        <v>2</v>
      </c>
      <c r="E86" s="14" t="s">
        <v>10</v>
      </c>
      <c r="F86" s="111">
        <v>40970</v>
      </c>
      <c r="G86" s="14" t="s">
        <v>3792</v>
      </c>
      <c r="H86" s="14" t="s">
        <v>3793</v>
      </c>
      <c r="I86" s="14" t="s">
        <v>3794</v>
      </c>
      <c r="J86" s="14" t="s">
        <v>3349</v>
      </c>
      <c r="K86" s="14" t="s">
        <v>3374</v>
      </c>
    </row>
    <row r="87" spans="1:11" s="90" customFormat="1" ht="15.75" thickBot="1" x14ac:dyDescent="0.3">
      <c r="A87" s="19">
        <v>81</v>
      </c>
      <c r="B87" s="14" t="s">
        <v>3795</v>
      </c>
      <c r="C87" s="14" t="s">
        <v>3796</v>
      </c>
      <c r="D87" s="14" t="s">
        <v>66</v>
      </c>
      <c r="E87" s="14" t="s">
        <v>10</v>
      </c>
      <c r="F87" s="111">
        <v>41240</v>
      </c>
      <c r="G87" s="14" t="s">
        <v>3797</v>
      </c>
      <c r="H87" s="14" t="s">
        <v>3798</v>
      </c>
      <c r="I87" s="14" t="s">
        <v>3799</v>
      </c>
      <c r="J87" s="14" t="s">
        <v>3349</v>
      </c>
      <c r="K87" s="14" t="s">
        <v>3374</v>
      </c>
    </row>
    <row r="88" spans="1:11" s="90" customFormat="1" ht="15.75" thickBot="1" x14ac:dyDescent="0.3">
      <c r="A88" s="19">
        <v>82</v>
      </c>
      <c r="B88" s="14" t="s">
        <v>3800</v>
      </c>
      <c r="C88" s="14" t="s">
        <v>3801</v>
      </c>
      <c r="D88" s="14" t="s">
        <v>66</v>
      </c>
      <c r="E88" s="14" t="s">
        <v>10</v>
      </c>
      <c r="F88" s="111">
        <v>41297</v>
      </c>
      <c r="G88" s="14" t="s">
        <v>3802</v>
      </c>
      <c r="H88" s="14" t="s">
        <v>3803</v>
      </c>
      <c r="I88" s="14" t="s">
        <v>3804</v>
      </c>
      <c r="J88" s="14" t="s">
        <v>3349</v>
      </c>
      <c r="K88" s="14" t="s">
        <v>3374</v>
      </c>
    </row>
    <row r="89" spans="1:11" s="90" customFormat="1" ht="15.75" thickBot="1" x14ac:dyDescent="0.3">
      <c r="A89" s="19">
        <v>83</v>
      </c>
      <c r="B89" s="14" t="s">
        <v>3805</v>
      </c>
      <c r="C89" s="14" t="s">
        <v>3806</v>
      </c>
      <c r="D89" s="14" t="s">
        <v>2</v>
      </c>
      <c r="E89" s="14" t="s">
        <v>10</v>
      </c>
      <c r="F89" s="111">
        <v>41591</v>
      </c>
      <c r="G89" s="14" t="s">
        <v>3807</v>
      </c>
      <c r="H89" s="14" t="s">
        <v>3734</v>
      </c>
      <c r="I89" s="14" t="s">
        <v>3808</v>
      </c>
      <c r="J89" s="14" t="s">
        <v>3367</v>
      </c>
      <c r="K89" s="14" t="s">
        <v>3374</v>
      </c>
    </row>
    <row r="90" spans="1:11" s="90" customFormat="1" ht="15.75" thickBot="1" x14ac:dyDescent="0.3">
      <c r="A90" s="19">
        <v>84</v>
      </c>
      <c r="B90" s="14" t="s">
        <v>3809</v>
      </c>
      <c r="C90" s="14" t="s">
        <v>3810</v>
      </c>
      <c r="D90" s="14" t="s">
        <v>2</v>
      </c>
      <c r="E90" s="14" t="s">
        <v>10</v>
      </c>
      <c r="F90" s="111">
        <v>41802</v>
      </c>
      <c r="G90" s="14" t="s">
        <v>3811</v>
      </c>
      <c r="H90" s="14" t="s">
        <v>3812</v>
      </c>
      <c r="I90" s="14" t="s">
        <v>3813</v>
      </c>
      <c r="J90" s="14" t="s">
        <v>3367</v>
      </c>
      <c r="K90" s="14" t="s">
        <v>3374</v>
      </c>
    </row>
    <row r="91" spans="1:11" s="90" customFormat="1" ht="15.75" thickBot="1" x14ac:dyDescent="0.3">
      <c r="A91" s="19">
        <v>85</v>
      </c>
      <c r="B91" s="14" t="s">
        <v>3814</v>
      </c>
      <c r="C91" s="14" t="s">
        <v>3815</v>
      </c>
      <c r="D91" s="14" t="s">
        <v>66</v>
      </c>
      <c r="E91" s="14" t="s">
        <v>10</v>
      </c>
      <c r="F91" s="111">
        <v>41353</v>
      </c>
      <c r="G91" s="14" t="s">
        <v>3816</v>
      </c>
      <c r="H91" s="14" t="s">
        <v>3817</v>
      </c>
      <c r="I91" s="14" t="s">
        <v>3818</v>
      </c>
      <c r="J91" s="14" t="s">
        <v>3367</v>
      </c>
      <c r="K91" s="14" t="s">
        <v>3374</v>
      </c>
    </row>
    <row r="92" spans="1:11" s="90" customFormat="1" ht="15.75" thickBot="1" x14ac:dyDescent="0.3">
      <c r="A92" s="19">
        <v>86</v>
      </c>
      <c r="B92" s="14" t="s">
        <v>3819</v>
      </c>
      <c r="C92" s="14" t="s">
        <v>3820</v>
      </c>
      <c r="D92" s="14" t="s">
        <v>66</v>
      </c>
      <c r="E92" s="14" t="s">
        <v>10</v>
      </c>
      <c r="F92" s="111">
        <v>41760</v>
      </c>
      <c r="G92" s="14" t="s">
        <v>3821</v>
      </c>
      <c r="H92" s="14" t="s">
        <v>3822</v>
      </c>
      <c r="I92" s="14" t="s">
        <v>3823</v>
      </c>
      <c r="J92" s="14" t="s">
        <v>3367</v>
      </c>
      <c r="K92" s="14" t="s">
        <v>3374</v>
      </c>
    </row>
    <row r="93" spans="1:11" s="90" customFormat="1" ht="15.75" thickBot="1" x14ac:dyDescent="0.3">
      <c r="A93" s="19">
        <v>87</v>
      </c>
      <c r="B93" s="14" t="s">
        <v>3824</v>
      </c>
      <c r="C93" s="14" t="s">
        <v>3825</v>
      </c>
      <c r="D93" s="14" t="s">
        <v>2</v>
      </c>
      <c r="E93" s="14" t="s">
        <v>10</v>
      </c>
      <c r="F93" s="111">
        <v>42657</v>
      </c>
      <c r="G93" s="14" t="s">
        <v>3826</v>
      </c>
      <c r="H93" s="14" t="s">
        <v>3827</v>
      </c>
      <c r="I93" s="14" t="s">
        <v>3828</v>
      </c>
      <c r="J93" s="14" t="s">
        <v>3367</v>
      </c>
      <c r="K93" s="14" t="s">
        <v>3374</v>
      </c>
    </row>
    <row r="94" spans="1:11" s="90" customFormat="1" ht="15.75" thickBot="1" x14ac:dyDescent="0.3">
      <c r="A94" s="19">
        <v>88</v>
      </c>
      <c r="B94" s="14" t="s">
        <v>3829</v>
      </c>
      <c r="C94" s="14" t="s">
        <v>3830</v>
      </c>
      <c r="D94" s="14" t="s">
        <v>66</v>
      </c>
      <c r="E94" s="14" t="s">
        <v>10</v>
      </c>
      <c r="F94" s="111">
        <v>40917</v>
      </c>
      <c r="G94" s="14" t="s">
        <v>3831</v>
      </c>
      <c r="H94" s="14" t="s">
        <v>3832</v>
      </c>
      <c r="I94" s="14" t="s">
        <v>3833</v>
      </c>
      <c r="J94" s="14" t="s">
        <v>3367</v>
      </c>
      <c r="K94" s="14" t="s">
        <v>3374</v>
      </c>
    </row>
    <row r="95" spans="1:11" s="90" customFormat="1" ht="15.75" thickBot="1" x14ac:dyDescent="0.3">
      <c r="A95" s="19">
        <v>89</v>
      </c>
      <c r="B95" s="14" t="s">
        <v>3834</v>
      </c>
      <c r="C95" s="14" t="s">
        <v>3835</v>
      </c>
      <c r="D95" s="14" t="s">
        <v>2</v>
      </c>
      <c r="E95" s="14" t="s">
        <v>87</v>
      </c>
      <c r="F95" s="111">
        <v>41806</v>
      </c>
      <c r="G95" s="14" t="s">
        <v>3836</v>
      </c>
      <c r="H95" s="14" t="s">
        <v>3837</v>
      </c>
      <c r="I95" s="14" t="s">
        <v>3838</v>
      </c>
      <c r="J95" s="14" t="s">
        <v>3367</v>
      </c>
      <c r="K95" s="14" t="s">
        <v>3374</v>
      </c>
    </row>
    <row r="96" spans="1:11" s="90" customFormat="1" ht="15.75" thickBot="1" x14ac:dyDescent="0.3">
      <c r="A96" s="19">
        <v>90</v>
      </c>
      <c r="B96" s="14" t="s">
        <v>3839</v>
      </c>
      <c r="C96" s="14" t="s">
        <v>3840</v>
      </c>
      <c r="D96" s="14" t="s">
        <v>2</v>
      </c>
      <c r="E96" s="14" t="s">
        <v>10</v>
      </c>
      <c r="F96" s="111">
        <v>41019</v>
      </c>
      <c r="G96" s="14" t="s">
        <v>307</v>
      </c>
      <c r="H96" s="14" t="s">
        <v>3841</v>
      </c>
      <c r="I96" s="14" t="s">
        <v>3842</v>
      </c>
      <c r="J96" s="14" t="s">
        <v>3367</v>
      </c>
      <c r="K96" s="14" t="s">
        <v>3374</v>
      </c>
    </row>
    <row r="97" spans="1:11" s="90" customFormat="1" ht="15.75" thickBot="1" x14ac:dyDescent="0.3">
      <c r="A97" s="19">
        <v>91</v>
      </c>
      <c r="B97" s="14" t="s">
        <v>3843</v>
      </c>
      <c r="C97" s="14" t="s">
        <v>3844</v>
      </c>
      <c r="D97" s="14" t="s">
        <v>2</v>
      </c>
      <c r="E97" s="14" t="s">
        <v>10</v>
      </c>
      <c r="F97" s="111">
        <v>41999</v>
      </c>
      <c r="G97" s="14" t="s">
        <v>3845</v>
      </c>
      <c r="H97" s="14" t="s">
        <v>3846</v>
      </c>
      <c r="I97" s="14" t="s">
        <v>3847</v>
      </c>
      <c r="J97" s="14" t="s">
        <v>3367</v>
      </c>
      <c r="K97" s="14" t="s">
        <v>3374</v>
      </c>
    </row>
    <row r="98" spans="1:11" s="90" customFormat="1" ht="15.75" thickBot="1" x14ac:dyDescent="0.3">
      <c r="A98" s="19">
        <v>92</v>
      </c>
      <c r="B98" s="14" t="s">
        <v>3848</v>
      </c>
      <c r="C98" s="14" t="s">
        <v>3849</v>
      </c>
      <c r="D98" s="14" t="s">
        <v>66</v>
      </c>
      <c r="E98" s="14" t="s">
        <v>3850</v>
      </c>
      <c r="F98" s="111">
        <v>41744</v>
      </c>
      <c r="G98" s="14" t="s">
        <v>3851</v>
      </c>
      <c r="H98" s="14" t="s">
        <v>3852</v>
      </c>
      <c r="I98" s="14" t="s">
        <v>3853</v>
      </c>
      <c r="J98" s="14" t="s">
        <v>3367</v>
      </c>
      <c r="K98" s="14" t="s">
        <v>3374</v>
      </c>
    </row>
    <row r="99" spans="1:11" s="90" customFormat="1" ht="15.75" thickBot="1" x14ac:dyDescent="0.3">
      <c r="A99" s="19">
        <v>93</v>
      </c>
      <c r="B99" s="14" t="s">
        <v>3854</v>
      </c>
      <c r="C99" s="14" t="s">
        <v>3855</v>
      </c>
      <c r="D99" s="14" t="s">
        <v>2</v>
      </c>
      <c r="E99" s="14" t="s">
        <v>10</v>
      </c>
      <c r="F99" s="111">
        <v>41251</v>
      </c>
      <c r="G99" s="14" t="s">
        <v>3856</v>
      </c>
      <c r="H99" s="14" t="s">
        <v>3857</v>
      </c>
      <c r="I99" s="14" t="s">
        <v>3858</v>
      </c>
      <c r="J99" s="14" t="s">
        <v>3367</v>
      </c>
      <c r="K99" s="14" t="s">
        <v>3374</v>
      </c>
    </row>
    <row r="100" spans="1:11" s="90" customFormat="1" ht="15.75" thickBot="1" x14ac:dyDescent="0.3">
      <c r="A100" s="19">
        <v>94</v>
      </c>
      <c r="B100" s="14" t="s">
        <v>3859</v>
      </c>
      <c r="C100" s="14" t="s">
        <v>3860</v>
      </c>
      <c r="D100" s="14" t="s">
        <v>2</v>
      </c>
      <c r="E100" s="14" t="s">
        <v>10</v>
      </c>
      <c r="F100" s="111">
        <v>41079</v>
      </c>
      <c r="G100" s="14" t="s">
        <v>3861</v>
      </c>
      <c r="H100" s="14" t="s">
        <v>3862</v>
      </c>
      <c r="I100" s="14" t="s">
        <v>3863</v>
      </c>
      <c r="J100" s="14" t="s">
        <v>3367</v>
      </c>
      <c r="K100" s="14" t="s">
        <v>3374</v>
      </c>
    </row>
    <row r="101" spans="1:11" s="90" customFormat="1" ht="15.75" thickBot="1" x14ac:dyDescent="0.3">
      <c r="A101" s="19">
        <v>95</v>
      </c>
      <c r="B101" s="14" t="s">
        <v>3864</v>
      </c>
      <c r="C101" s="14" t="s">
        <v>3865</v>
      </c>
      <c r="D101" s="14" t="s">
        <v>2</v>
      </c>
      <c r="E101" s="14" t="s">
        <v>10</v>
      </c>
      <c r="F101" s="111">
        <v>40941</v>
      </c>
      <c r="G101" s="14" t="s">
        <v>3866</v>
      </c>
      <c r="H101" s="14" t="s">
        <v>3867</v>
      </c>
      <c r="I101" s="14" t="s">
        <v>3868</v>
      </c>
      <c r="J101" s="14" t="s">
        <v>3367</v>
      </c>
      <c r="K101" s="14" t="s">
        <v>3374</v>
      </c>
    </row>
    <row r="102" spans="1:11" s="90" customFormat="1" ht="15.75" thickBot="1" x14ac:dyDescent="0.3">
      <c r="A102" s="19">
        <v>96</v>
      </c>
      <c r="B102" s="14" t="s">
        <v>3869</v>
      </c>
      <c r="C102" s="14" t="s">
        <v>3870</v>
      </c>
      <c r="D102" s="14" t="s">
        <v>2</v>
      </c>
      <c r="E102" s="14" t="s">
        <v>10</v>
      </c>
      <c r="F102" s="111">
        <v>42425</v>
      </c>
      <c r="G102" s="14" t="s">
        <v>3871</v>
      </c>
      <c r="H102" s="14" t="s">
        <v>3872</v>
      </c>
      <c r="I102" s="14" t="s">
        <v>3873</v>
      </c>
      <c r="J102" s="14" t="s">
        <v>3367</v>
      </c>
      <c r="K102" s="14" t="s">
        <v>3374</v>
      </c>
    </row>
    <row r="103" spans="1:11" s="90" customFormat="1" ht="15.75" thickBot="1" x14ac:dyDescent="0.3">
      <c r="A103" s="19">
        <v>97</v>
      </c>
      <c r="B103" s="14" t="s">
        <v>3874</v>
      </c>
      <c r="C103" s="14" t="s">
        <v>3875</v>
      </c>
      <c r="D103" s="14" t="s">
        <v>66</v>
      </c>
      <c r="E103" s="14" t="s">
        <v>10</v>
      </c>
      <c r="F103" s="111">
        <v>41204</v>
      </c>
      <c r="G103" s="14" t="s">
        <v>1028</v>
      </c>
      <c r="H103" s="14" t="s">
        <v>3876</v>
      </c>
      <c r="I103" s="14" t="s">
        <v>3877</v>
      </c>
      <c r="J103" s="14" t="s">
        <v>3367</v>
      </c>
      <c r="K103" s="14" t="s">
        <v>3374</v>
      </c>
    </row>
    <row r="104" spans="1:11" s="90" customFormat="1" ht="15.75" thickBot="1" x14ac:dyDescent="0.3">
      <c r="A104" s="19">
        <v>98</v>
      </c>
      <c r="B104" s="14" t="s">
        <v>3878</v>
      </c>
      <c r="C104" s="14" t="s">
        <v>3879</v>
      </c>
      <c r="D104" s="14" t="s">
        <v>2</v>
      </c>
      <c r="E104" s="14" t="s">
        <v>10</v>
      </c>
      <c r="F104" s="111">
        <v>41360</v>
      </c>
      <c r="G104" s="14" t="s">
        <v>3880</v>
      </c>
      <c r="H104" s="14" t="s">
        <v>3881</v>
      </c>
      <c r="I104" s="14" t="s">
        <v>3882</v>
      </c>
      <c r="J104" s="14" t="s">
        <v>3367</v>
      </c>
      <c r="K104" s="14" t="s">
        <v>3374</v>
      </c>
    </row>
    <row r="105" spans="1:11" s="90" customFormat="1" ht="15.75" thickBot="1" x14ac:dyDescent="0.3">
      <c r="A105" s="19">
        <v>105</v>
      </c>
      <c r="B105" s="14" t="s">
        <v>274</v>
      </c>
      <c r="C105" s="14" t="s">
        <v>3883</v>
      </c>
      <c r="D105" s="14" t="s">
        <v>2</v>
      </c>
      <c r="E105" s="14" t="s">
        <v>10</v>
      </c>
      <c r="F105" s="111">
        <v>41877</v>
      </c>
      <c r="G105" s="14" t="s">
        <v>3884</v>
      </c>
      <c r="H105" s="14" t="s">
        <v>3885</v>
      </c>
      <c r="I105" s="14" t="s">
        <v>3886</v>
      </c>
      <c r="J105" s="14" t="s">
        <v>3887</v>
      </c>
      <c r="K105" s="14" t="s">
        <v>3374</v>
      </c>
    </row>
    <row r="106" spans="1:11" s="90" customFormat="1" ht="15.75" thickBot="1" x14ac:dyDescent="0.3">
      <c r="A106" s="19">
        <v>106</v>
      </c>
      <c r="B106" s="14" t="s">
        <v>102</v>
      </c>
      <c r="C106" s="14" t="s">
        <v>3888</v>
      </c>
      <c r="D106" s="14" t="s">
        <v>2</v>
      </c>
      <c r="E106" s="14" t="s">
        <v>10</v>
      </c>
      <c r="F106" s="111">
        <v>41444</v>
      </c>
      <c r="G106" s="14" t="s">
        <v>729</v>
      </c>
      <c r="H106" s="14" t="s">
        <v>3889</v>
      </c>
      <c r="I106" s="14" t="s">
        <v>3890</v>
      </c>
      <c r="J106" s="14" t="s">
        <v>3887</v>
      </c>
      <c r="K106" s="14" t="s">
        <v>3374</v>
      </c>
    </row>
    <row r="107" spans="1:11" s="90" customFormat="1" ht="15.75" thickBot="1" x14ac:dyDescent="0.3">
      <c r="A107" s="19">
        <v>107</v>
      </c>
      <c r="B107" s="14" t="s">
        <v>956</v>
      </c>
      <c r="C107" s="14" t="s">
        <v>3891</v>
      </c>
      <c r="D107" s="14" t="s">
        <v>2</v>
      </c>
      <c r="E107" s="14" t="s">
        <v>10</v>
      </c>
      <c r="F107" s="111">
        <v>41838</v>
      </c>
      <c r="G107" s="14" t="s">
        <v>3892</v>
      </c>
      <c r="H107" s="14" t="s">
        <v>797</v>
      </c>
      <c r="I107" s="14" t="s">
        <v>3893</v>
      </c>
      <c r="J107" s="14" t="s">
        <v>3887</v>
      </c>
      <c r="K107" s="14" t="s">
        <v>3374</v>
      </c>
    </row>
    <row r="108" spans="1:11" s="90" customFormat="1" ht="15.75" thickBot="1" x14ac:dyDescent="0.3">
      <c r="A108" s="19">
        <v>108</v>
      </c>
      <c r="B108" s="14" t="s">
        <v>284</v>
      </c>
      <c r="C108" s="14" t="s">
        <v>3894</v>
      </c>
      <c r="D108" s="14" t="s">
        <v>2</v>
      </c>
      <c r="E108" s="14" t="s">
        <v>10</v>
      </c>
      <c r="F108" s="111">
        <v>41086</v>
      </c>
      <c r="G108" s="14" t="s">
        <v>3895</v>
      </c>
      <c r="H108" s="14" t="s">
        <v>3896</v>
      </c>
      <c r="I108" s="14" t="s">
        <v>3897</v>
      </c>
      <c r="J108" s="14" t="s">
        <v>3887</v>
      </c>
      <c r="K108" s="112" t="s">
        <v>3898</v>
      </c>
    </row>
    <row r="109" spans="1:11" s="90" customFormat="1" ht="15.75" thickBot="1" x14ac:dyDescent="0.3">
      <c r="A109" s="19">
        <v>109</v>
      </c>
      <c r="B109" s="14" t="s">
        <v>197</v>
      </c>
      <c r="C109" s="14" t="s">
        <v>3899</v>
      </c>
      <c r="D109" s="14" t="s">
        <v>2</v>
      </c>
      <c r="E109" s="14" t="s">
        <v>10</v>
      </c>
      <c r="F109" s="111">
        <v>41963</v>
      </c>
      <c r="G109" s="14" t="s">
        <v>3900</v>
      </c>
      <c r="H109" s="14" t="s">
        <v>3901</v>
      </c>
      <c r="I109" s="14" t="s">
        <v>3902</v>
      </c>
      <c r="J109" s="14" t="s">
        <v>3887</v>
      </c>
      <c r="K109" s="14" t="s">
        <v>3374</v>
      </c>
    </row>
    <row r="110" spans="1:11" s="90" customFormat="1" ht="15.75" thickBot="1" x14ac:dyDescent="0.3">
      <c r="A110" s="19">
        <v>110</v>
      </c>
      <c r="B110" s="14" t="s">
        <v>290</v>
      </c>
      <c r="C110" s="14" t="s">
        <v>3903</v>
      </c>
      <c r="D110" s="14" t="s">
        <v>66</v>
      </c>
      <c r="E110" s="14" t="s">
        <v>10</v>
      </c>
      <c r="F110" s="111">
        <v>41833</v>
      </c>
      <c r="G110" s="14" t="s">
        <v>3904</v>
      </c>
      <c r="H110" s="14" t="s">
        <v>3905</v>
      </c>
      <c r="I110" s="14" t="s">
        <v>3906</v>
      </c>
      <c r="J110" s="14" t="s">
        <v>3887</v>
      </c>
      <c r="K110" s="112" t="s">
        <v>3898</v>
      </c>
    </row>
    <row r="111" spans="1:11" s="90" customFormat="1" ht="15.75" thickBot="1" x14ac:dyDescent="0.3">
      <c r="A111" s="19">
        <v>111</v>
      </c>
      <c r="B111" s="14" t="s">
        <v>269</v>
      </c>
      <c r="C111" s="14" t="s">
        <v>3907</v>
      </c>
      <c r="D111" s="14" t="s">
        <v>66</v>
      </c>
      <c r="E111" s="14" t="s">
        <v>10</v>
      </c>
      <c r="F111" s="111">
        <v>41766</v>
      </c>
      <c r="G111" s="14" t="s">
        <v>3908</v>
      </c>
      <c r="H111" s="14" t="s">
        <v>3909</v>
      </c>
      <c r="I111" s="14" t="s">
        <v>3910</v>
      </c>
      <c r="J111" s="14" t="s">
        <v>3887</v>
      </c>
      <c r="K111" s="14" t="s">
        <v>3374</v>
      </c>
    </row>
    <row r="112" spans="1:11" s="90" customFormat="1" ht="15.75" thickBot="1" x14ac:dyDescent="0.3">
      <c r="A112" s="19">
        <v>112</v>
      </c>
      <c r="B112" s="14" t="s">
        <v>97</v>
      </c>
      <c r="C112" s="14" t="s">
        <v>3911</v>
      </c>
      <c r="D112" s="14" t="s">
        <v>2</v>
      </c>
      <c r="E112" s="14" t="s">
        <v>10</v>
      </c>
      <c r="F112" s="111">
        <v>41696</v>
      </c>
      <c r="G112" s="14" t="s">
        <v>3912</v>
      </c>
      <c r="H112" s="14" t="s">
        <v>3913</v>
      </c>
      <c r="I112" s="14" t="s">
        <v>3914</v>
      </c>
      <c r="J112" s="14" t="s">
        <v>3887</v>
      </c>
      <c r="K112" s="14" t="s">
        <v>3915</v>
      </c>
    </row>
    <row r="113" spans="1:11" s="90" customFormat="1" ht="15.75" thickBot="1" x14ac:dyDescent="0.3">
      <c r="A113" s="19">
        <v>113</v>
      </c>
      <c r="B113" s="14" t="s">
        <v>191</v>
      </c>
      <c r="C113" s="14" t="s">
        <v>3916</v>
      </c>
      <c r="D113" s="14" t="s">
        <v>2</v>
      </c>
      <c r="E113" s="14" t="s">
        <v>10</v>
      </c>
      <c r="F113" s="111">
        <v>41924</v>
      </c>
      <c r="G113" s="14" t="s">
        <v>3917</v>
      </c>
      <c r="H113" s="14" t="s">
        <v>3918</v>
      </c>
      <c r="I113" s="14" t="s">
        <v>3919</v>
      </c>
      <c r="J113" s="14" t="s">
        <v>3887</v>
      </c>
      <c r="K113" s="14" t="s">
        <v>3374</v>
      </c>
    </row>
    <row r="114" spans="1:11" s="90" customFormat="1" ht="15.75" thickBot="1" x14ac:dyDescent="0.3">
      <c r="A114" s="19">
        <v>114</v>
      </c>
      <c r="B114" s="14" t="s">
        <v>263</v>
      </c>
      <c r="C114" s="14" t="s">
        <v>3920</v>
      </c>
      <c r="D114" s="14" t="s">
        <v>2</v>
      </c>
      <c r="E114" s="14" t="s">
        <v>10</v>
      </c>
      <c r="F114" s="111">
        <v>41427</v>
      </c>
      <c r="G114" s="14" t="s">
        <v>3921</v>
      </c>
      <c r="H114" s="14" t="s">
        <v>3922</v>
      </c>
      <c r="I114" s="14" t="s">
        <v>3923</v>
      </c>
      <c r="J114" s="14" t="s">
        <v>3887</v>
      </c>
      <c r="K114" s="14" t="s">
        <v>3374</v>
      </c>
    </row>
    <row r="115" spans="1:11" s="90" customFormat="1" ht="15.75" thickBot="1" x14ac:dyDescent="0.3">
      <c r="A115" s="19">
        <v>115</v>
      </c>
      <c r="B115" s="14" t="s">
        <v>2823</v>
      </c>
      <c r="C115" s="14" t="s">
        <v>3924</v>
      </c>
      <c r="D115" s="14" t="s">
        <v>2</v>
      </c>
      <c r="E115" s="14" t="s">
        <v>10</v>
      </c>
      <c r="F115" s="111">
        <v>40349</v>
      </c>
      <c r="G115" s="14" t="s">
        <v>3925</v>
      </c>
      <c r="H115" s="14" t="s">
        <v>3926</v>
      </c>
      <c r="I115" s="14" t="s">
        <v>3927</v>
      </c>
      <c r="J115" s="14" t="s">
        <v>3361</v>
      </c>
      <c r="K115" s="14" t="s">
        <v>3374</v>
      </c>
    </row>
    <row r="116" spans="1:11" s="90" customFormat="1" ht="15.75" thickBot="1" x14ac:dyDescent="0.3">
      <c r="A116" s="19">
        <v>116</v>
      </c>
      <c r="B116" s="14" t="s">
        <v>2972</v>
      </c>
      <c r="C116" s="14" t="s">
        <v>3928</v>
      </c>
      <c r="D116" s="14" t="s">
        <v>66</v>
      </c>
      <c r="E116" s="14" t="s">
        <v>10</v>
      </c>
      <c r="F116" s="111">
        <v>40431</v>
      </c>
      <c r="G116" s="14" t="s">
        <v>3929</v>
      </c>
      <c r="H116" s="14" t="s">
        <v>3930</v>
      </c>
      <c r="I116" s="14" t="s">
        <v>3931</v>
      </c>
      <c r="J116" s="14" t="s">
        <v>3361</v>
      </c>
      <c r="K116" s="112" t="s">
        <v>3898</v>
      </c>
    </row>
    <row r="117" spans="1:11" s="90" customFormat="1" ht="15.75" thickBot="1" x14ac:dyDescent="0.3">
      <c r="A117" s="19">
        <v>117</v>
      </c>
      <c r="B117" s="14" t="s">
        <v>2935</v>
      </c>
      <c r="C117" s="14" t="s">
        <v>3932</v>
      </c>
      <c r="D117" s="14" t="s">
        <v>66</v>
      </c>
      <c r="E117" s="14" t="s">
        <v>87</v>
      </c>
      <c r="F117" s="111">
        <v>40485</v>
      </c>
      <c r="G117" s="14" t="s">
        <v>3933</v>
      </c>
      <c r="H117" s="14" t="s">
        <v>3934</v>
      </c>
      <c r="I117" s="14" t="s">
        <v>3935</v>
      </c>
      <c r="J117" s="14" t="s">
        <v>3361</v>
      </c>
      <c r="K117" s="14" t="s">
        <v>3374</v>
      </c>
    </row>
    <row r="118" spans="1:11" s="90" customFormat="1" ht="15.75" thickBot="1" x14ac:dyDescent="0.3">
      <c r="A118" s="19">
        <v>118</v>
      </c>
      <c r="B118" s="14" t="s">
        <v>2929</v>
      </c>
      <c r="C118" s="14" t="s">
        <v>3936</v>
      </c>
      <c r="D118" s="14" t="s">
        <v>2</v>
      </c>
      <c r="E118" s="14" t="s">
        <v>10</v>
      </c>
      <c r="F118" s="111">
        <v>40546</v>
      </c>
      <c r="G118" s="14" t="s">
        <v>3937</v>
      </c>
      <c r="H118" s="14" t="s">
        <v>3938</v>
      </c>
      <c r="I118" s="14" t="s">
        <v>3939</v>
      </c>
      <c r="J118" s="14" t="s">
        <v>3361</v>
      </c>
      <c r="K118" s="14" t="s">
        <v>3374</v>
      </c>
    </row>
    <row r="119" spans="1:11" s="90" customFormat="1" ht="15.75" thickBot="1" x14ac:dyDescent="0.3">
      <c r="A119" s="19">
        <v>119</v>
      </c>
      <c r="B119" s="14" t="s">
        <v>2985</v>
      </c>
      <c r="C119" s="14" t="s">
        <v>3940</v>
      </c>
      <c r="D119" s="14" t="s">
        <v>66</v>
      </c>
      <c r="E119" s="14" t="s">
        <v>10</v>
      </c>
      <c r="F119" s="111">
        <v>40596</v>
      </c>
      <c r="G119" s="14" t="s">
        <v>3941</v>
      </c>
      <c r="H119" s="14" t="s">
        <v>3942</v>
      </c>
      <c r="I119" s="14" t="s">
        <v>3943</v>
      </c>
      <c r="J119" s="14" t="s">
        <v>3361</v>
      </c>
      <c r="K119" s="14" t="s">
        <v>3374</v>
      </c>
    </row>
    <row r="120" spans="1:11" s="90" customFormat="1" ht="15.75" thickBot="1" x14ac:dyDescent="0.3">
      <c r="A120" s="19">
        <v>120</v>
      </c>
      <c r="B120" s="14" t="s">
        <v>2942</v>
      </c>
      <c r="C120" s="14" t="s">
        <v>3944</v>
      </c>
      <c r="D120" s="14" t="s">
        <v>66</v>
      </c>
      <c r="E120" s="14" t="s">
        <v>3945</v>
      </c>
      <c r="F120" s="111">
        <v>40613</v>
      </c>
      <c r="G120" s="14" t="s">
        <v>3946</v>
      </c>
      <c r="H120" s="14" t="s">
        <v>3947</v>
      </c>
      <c r="I120" s="14" t="s">
        <v>3948</v>
      </c>
      <c r="J120" s="14" t="s">
        <v>3361</v>
      </c>
      <c r="K120" s="14" t="s">
        <v>3374</v>
      </c>
    </row>
    <row r="121" spans="1:11" s="90" customFormat="1" ht="15.75" thickBot="1" x14ac:dyDescent="0.3">
      <c r="A121" s="19">
        <v>121</v>
      </c>
      <c r="B121" s="14" t="s">
        <v>2994</v>
      </c>
      <c r="C121" s="14" t="s">
        <v>3949</v>
      </c>
      <c r="D121" s="14" t="s">
        <v>2</v>
      </c>
      <c r="E121" s="14" t="s">
        <v>10</v>
      </c>
      <c r="F121" s="111">
        <v>40631</v>
      </c>
      <c r="G121" s="14" t="s">
        <v>3950</v>
      </c>
      <c r="H121" s="14" t="s">
        <v>3951</v>
      </c>
      <c r="I121" s="14" t="s">
        <v>3952</v>
      </c>
      <c r="J121" s="14" t="s">
        <v>3361</v>
      </c>
      <c r="K121" s="112" t="s">
        <v>3898</v>
      </c>
    </row>
    <row r="122" spans="1:11" s="90" customFormat="1" ht="15.75" thickBot="1" x14ac:dyDescent="0.3">
      <c r="A122" s="19">
        <v>122</v>
      </c>
      <c r="B122" s="14" t="s">
        <v>2954</v>
      </c>
      <c r="C122" s="14" t="s">
        <v>3953</v>
      </c>
      <c r="D122" s="14" t="s">
        <v>66</v>
      </c>
      <c r="E122" s="14" t="s">
        <v>10</v>
      </c>
      <c r="F122" s="111">
        <v>40721</v>
      </c>
      <c r="G122" s="14" t="s">
        <v>3954</v>
      </c>
      <c r="H122" s="14" t="s">
        <v>3955</v>
      </c>
      <c r="I122" s="14" t="s">
        <v>3956</v>
      </c>
      <c r="J122" s="14" t="s">
        <v>3361</v>
      </c>
      <c r="K122" s="112" t="s">
        <v>3898</v>
      </c>
    </row>
    <row r="123" spans="1:11" s="90" customFormat="1" ht="15.75" thickBot="1" x14ac:dyDescent="0.3">
      <c r="A123" s="19">
        <v>123</v>
      </c>
      <c r="B123" s="14" t="s">
        <v>3957</v>
      </c>
      <c r="C123" s="14" t="s">
        <v>3958</v>
      </c>
      <c r="D123" s="14" t="s">
        <v>66</v>
      </c>
      <c r="E123" s="14" t="s">
        <v>10</v>
      </c>
      <c r="F123" s="111">
        <v>40723</v>
      </c>
      <c r="G123" s="14" t="s">
        <v>3959</v>
      </c>
      <c r="H123" s="14" t="s">
        <v>3960</v>
      </c>
      <c r="I123" s="14" t="s">
        <v>3961</v>
      </c>
      <c r="J123" s="14" t="s">
        <v>3361</v>
      </c>
      <c r="K123" s="112" t="s">
        <v>3898</v>
      </c>
    </row>
    <row r="124" spans="1:11" s="90" customFormat="1" ht="15.75" thickBot="1" x14ac:dyDescent="0.3">
      <c r="A124" s="19">
        <v>124</v>
      </c>
      <c r="B124" s="14" t="s">
        <v>3025</v>
      </c>
      <c r="C124" s="14" t="s">
        <v>3962</v>
      </c>
      <c r="D124" s="14" t="s">
        <v>66</v>
      </c>
      <c r="E124" s="14" t="s">
        <v>10</v>
      </c>
      <c r="F124" s="111">
        <v>40728</v>
      </c>
      <c r="G124" s="14" t="s">
        <v>3963</v>
      </c>
      <c r="H124" s="14" t="s">
        <v>3964</v>
      </c>
      <c r="I124" s="14" t="s">
        <v>3965</v>
      </c>
      <c r="J124" s="14" t="s">
        <v>3361</v>
      </c>
      <c r="K124" s="14" t="s">
        <v>3374</v>
      </c>
    </row>
    <row r="125" spans="1:11" s="90" customFormat="1" ht="15.75" thickBot="1" x14ac:dyDescent="0.3">
      <c r="A125" s="19">
        <v>125</v>
      </c>
      <c r="B125" s="14" t="s">
        <v>2948</v>
      </c>
      <c r="C125" s="14" t="s">
        <v>3966</v>
      </c>
      <c r="D125" s="14" t="s">
        <v>66</v>
      </c>
      <c r="E125" s="14" t="s">
        <v>10</v>
      </c>
      <c r="F125" s="111">
        <v>40732</v>
      </c>
      <c r="G125" s="14" t="s">
        <v>3967</v>
      </c>
      <c r="H125" s="14" t="s">
        <v>3968</v>
      </c>
      <c r="I125" s="14" t="s">
        <v>3969</v>
      </c>
      <c r="J125" s="14" t="s">
        <v>3361</v>
      </c>
      <c r="K125" s="14" t="s">
        <v>3374</v>
      </c>
    </row>
    <row r="126" spans="1:11" s="90" customFormat="1" ht="15.75" thickBot="1" x14ac:dyDescent="0.3">
      <c r="A126" s="19">
        <v>126</v>
      </c>
      <c r="B126" s="14" t="s">
        <v>2871</v>
      </c>
      <c r="C126" s="14" t="s">
        <v>3970</v>
      </c>
      <c r="D126" s="14" t="s">
        <v>2</v>
      </c>
      <c r="E126" s="14" t="s">
        <v>10</v>
      </c>
      <c r="F126" s="111">
        <v>40757</v>
      </c>
      <c r="G126" s="14" t="s">
        <v>3971</v>
      </c>
      <c r="H126" s="14" t="s">
        <v>3972</v>
      </c>
      <c r="I126" s="14" t="s">
        <v>3973</v>
      </c>
      <c r="J126" s="14" t="s">
        <v>3361</v>
      </c>
      <c r="K126" s="14" t="s">
        <v>3374</v>
      </c>
    </row>
    <row r="127" spans="1:11" s="90" customFormat="1" ht="15.75" thickBot="1" x14ac:dyDescent="0.3">
      <c r="A127" s="19">
        <v>127</v>
      </c>
      <c r="B127" s="14" t="s">
        <v>3028</v>
      </c>
      <c r="C127" s="14" t="s">
        <v>3974</v>
      </c>
      <c r="D127" s="14" t="s">
        <v>66</v>
      </c>
      <c r="E127" s="14" t="s">
        <v>10</v>
      </c>
      <c r="F127" s="111">
        <v>40769</v>
      </c>
      <c r="G127" s="14" t="s">
        <v>3975</v>
      </c>
      <c r="H127" s="14" t="s">
        <v>3976</v>
      </c>
      <c r="I127" s="14" t="s">
        <v>3977</v>
      </c>
      <c r="J127" s="14" t="s">
        <v>3361</v>
      </c>
      <c r="K127" s="112" t="s">
        <v>3898</v>
      </c>
    </row>
    <row r="128" spans="1:11" s="90" customFormat="1" ht="15.75" thickBot="1" x14ac:dyDescent="0.3">
      <c r="A128" s="19">
        <v>128</v>
      </c>
      <c r="B128" s="14" t="s">
        <v>3017</v>
      </c>
      <c r="C128" s="14" t="s">
        <v>3978</v>
      </c>
      <c r="D128" s="14" t="s">
        <v>66</v>
      </c>
      <c r="E128" s="14" t="s">
        <v>10</v>
      </c>
      <c r="F128" s="111">
        <v>40774</v>
      </c>
      <c r="G128" s="14" t="s">
        <v>3979</v>
      </c>
      <c r="H128" s="14" t="s">
        <v>3980</v>
      </c>
      <c r="I128" s="14" t="s">
        <v>3981</v>
      </c>
      <c r="J128" s="14" t="s">
        <v>3361</v>
      </c>
      <c r="K128" s="14" t="s">
        <v>3374</v>
      </c>
    </row>
    <row r="129" spans="1:11" s="90" customFormat="1" ht="15.75" thickBot="1" x14ac:dyDescent="0.3">
      <c r="A129" s="19">
        <v>129</v>
      </c>
      <c r="B129" s="14" t="s">
        <v>2966</v>
      </c>
      <c r="C129" s="14" t="s">
        <v>3982</v>
      </c>
      <c r="D129" s="14" t="s">
        <v>2</v>
      </c>
      <c r="E129" s="14" t="s">
        <v>10</v>
      </c>
      <c r="F129" s="111">
        <v>40798</v>
      </c>
      <c r="G129" s="14" t="s">
        <v>3983</v>
      </c>
      <c r="H129" s="14" t="s">
        <v>3984</v>
      </c>
      <c r="I129" s="14" t="s">
        <v>3985</v>
      </c>
      <c r="J129" s="14" t="s">
        <v>3361</v>
      </c>
      <c r="K129" s="14" t="s">
        <v>3374</v>
      </c>
    </row>
    <row r="130" spans="1:11" s="90" customFormat="1" ht="15.75" thickBot="1" x14ac:dyDescent="0.3">
      <c r="A130" s="19">
        <v>130</v>
      </c>
      <c r="B130" s="14" t="s">
        <v>2960</v>
      </c>
      <c r="C130" s="14" t="s">
        <v>3986</v>
      </c>
      <c r="D130" s="14" t="s">
        <v>66</v>
      </c>
      <c r="E130" s="14" t="s">
        <v>10</v>
      </c>
      <c r="F130" s="111">
        <v>40827</v>
      </c>
      <c r="G130" s="14" t="s">
        <v>3987</v>
      </c>
      <c r="H130" s="14" t="s">
        <v>3988</v>
      </c>
      <c r="I130" s="14" t="s">
        <v>3989</v>
      </c>
      <c r="J130" s="14" t="s">
        <v>3361</v>
      </c>
      <c r="K130" s="14" t="s">
        <v>3374</v>
      </c>
    </row>
    <row r="131" spans="1:11" s="90" customFormat="1" ht="15.75" thickBot="1" x14ac:dyDescent="0.3">
      <c r="A131" s="19">
        <v>131</v>
      </c>
      <c r="B131" s="14" t="s">
        <v>3030</v>
      </c>
      <c r="C131" s="14" t="s">
        <v>3990</v>
      </c>
      <c r="D131" s="14" t="s">
        <v>66</v>
      </c>
      <c r="E131" s="14" t="s">
        <v>2107</v>
      </c>
      <c r="F131" s="111">
        <v>40841</v>
      </c>
      <c r="G131" s="14" t="s">
        <v>3991</v>
      </c>
      <c r="H131" s="14" t="s">
        <v>3992</v>
      </c>
      <c r="I131" s="14" t="s">
        <v>3993</v>
      </c>
      <c r="J131" s="14" t="s">
        <v>3361</v>
      </c>
      <c r="K131" s="14" t="s">
        <v>3374</v>
      </c>
    </row>
    <row r="132" spans="1:11" s="90" customFormat="1" ht="15.75" thickBot="1" x14ac:dyDescent="0.3">
      <c r="A132" s="19">
        <v>132</v>
      </c>
      <c r="B132" s="14" t="s">
        <v>3029</v>
      </c>
      <c r="C132" s="14" t="s">
        <v>3994</v>
      </c>
      <c r="D132" s="14" t="s">
        <v>2</v>
      </c>
      <c r="E132" s="14" t="s">
        <v>10</v>
      </c>
      <c r="F132" s="111">
        <v>40877</v>
      </c>
      <c r="G132" s="14" t="s">
        <v>3995</v>
      </c>
      <c r="H132" s="14" t="s">
        <v>3996</v>
      </c>
      <c r="I132" s="14" t="s">
        <v>3997</v>
      </c>
      <c r="J132" s="14" t="s">
        <v>3361</v>
      </c>
      <c r="K132" s="14" t="s">
        <v>3374</v>
      </c>
    </row>
    <row r="133" spans="1:11" s="90" customFormat="1" ht="15.75" thickBot="1" x14ac:dyDescent="0.3">
      <c r="A133" s="19">
        <v>133</v>
      </c>
      <c r="B133" s="14" t="s">
        <v>3998</v>
      </c>
      <c r="C133" s="14" t="s">
        <v>3999</v>
      </c>
      <c r="D133" s="14" t="s">
        <v>66</v>
      </c>
      <c r="E133" s="14" t="s">
        <v>10</v>
      </c>
      <c r="F133" s="111">
        <v>40878</v>
      </c>
      <c r="G133" s="14" t="s">
        <v>4000</v>
      </c>
      <c r="H133" s="14" t="s">
        <v>4001</v>
      </c>
      <c r="I133" s="14" t="s">
        <v>4002</v>
      </c>
      <c r="J133" s="14" t="s">
        <v>3361</v>
      </c>
      <c r="K133" s="14" t="s">
        <v>3374</v>
      </c>
    </row>
    <row r="134" spans="1:11" s="90" customFormat="1" ht="15.75" thickBot="1" x14ac:dyDescent="0.3">
      <c r="A134" s="19">
        <v>134</v>
      </c>
      <c r="B134" s="14" t="s">
        <v>2820</v>
      </c>
      <c r="C134" s="14" t="s">
        <v>4003</v>
      </c>
      <c r="D134" s="14" t="s">
        <v>2</v>
      </c>
      <c r="E134" s="14" t="s">
        <v>10</v>
      </c>
      <c r="F134" s="111">
        <v>40886</v>
      </c>
      <c r="G134" s="14" t="s">
        <v>4004</v>
      </c>
      <c r="H134" s="14" t="s">
        <v>4005</v>
      </c>
      <c r="I134" s="14" t="s">
        <v>4006</v>
      </c>
      <c r="J134" s="14" t="s">
        <v>3361</v>
      </c>
      <c r="K134" s="14" t="s">
        <v>3374</v>
      </c>
    </row>
    <row r="135" spans="1:11" s="90" customFormat="1" ht="15.75" thickBot="1" x14ac:dyDescent="0.3">
      <c r="A135" s="19">
        <v>135</v>
      </c>
      <c r="B135" s="14" t="s">
        <v>4007</v>
      </c>
      <c r="C135" s="14" t="s">
        <v>4008</v>
      </c>
      <c r="D135" s="14" t="s">
        <v>66</v>
      </c>
      <c r="E135" s="14" t="s">
        <v>10</v>
      </c>
      <c r="F135" s="111">
        <v>40898</v>
      </c>
      <c r="G135" s="14" t="s">
        <v>4009</v>
      </c>
      <c r="H135" s="14" t="s">
        <v>4010</v>
      </c>
      <c r="I135" s="14" t="s">
        <v>4011</v>
      </c>
      <c r="J135" s="14" t="s">
        <v>3361</v>
      </c>
      <c r="K135" s="112" t="s">
        <v>3898</v>
      </c>
    </row>
    <row r="136" spans="1:11" s="90" customFormat="1" ht="15.75" thickBot="1" x14ac:dyDescent="0.3">
      <c r="A136" s="19">
        <v>136</v>
      </c>
      <c r="B136" s="14" t="s">
        <v>3019</v>
      </c>
      <c r="C136" s="14" t="s">
        <v>4012</v>
      </c>
      <c r="D136" s="14" t="s">
        <v>66</v>
      </c>
      <c r="E136" s="14" t="s">
        <v>10</v>
      </c>
      <c r="F136" s="111">
        <v>40924</v>
      </c>
      <c r="G136" s="14" t="s">
        <v>4013</v>
      </c>
      <c r="H136" s="14" t="s">
        <v>4014</v>
      </c>
      <c r="I136" s="14" t="s">
        <v>4015</v>
      </c>
      <c r="J136" s="14" t="s">
        <v>3361</v>
      </c>
      <c r="K136" s="14" t="s">
        <v>3374</v>
      </c>
    </row>
    <row r="137" spans="1:11" s="90" customFormat="1" ht="15.75" thickBot="1" x14ac:dyDescent="0.3">
      <c r="A137" s="19">
        <v>137</v>
      </c>
      <c r="B137" s="14" t="s">
        <v>3023</v>
      </c>
      <c r="C137" s="14" t="s">
        <v>4016</v>
      </c>
      <c r="D137" s="14" t="s">
        <v>66</v>
      </c>
      <c r="E137" s="14" t="s">
        <v>3945</v>
      </c>
      <c r="F137" s="111">
        <v>40936</v>
      </c>
      <c r="G137" s="14" t="s">
        <v>4017</v>
      </c>
      <c r="H137" s="14" t="s">
        <v>4018</v>
      </c>
      <c r="I137" s="14" t="s">
        <v>4019</v>
      </c>
      <c r="J137" s="14" t="s">
        <v>3361</v>
      </c>
      <c r="K137" s="14" t="s">
        <v>3374</v>
      </c>
    </row>
    <row r="138" spans="1:11" s="90" customFormat="1" ht="15.75" thickBot="1" x14ac:dyDescent="0.3">
      <c r="A138" s="19">
        <v>138</v>
      </c>
      <c r="B138" s="14" t="s">
        <v>4020</v>
      </c>
      <c r="C138" s="14" t="s">
        <v>4021</v>
      </c>
      <c r="D138" s="14" t="s">
        <v>66</v>
      </c>
      <c r="E138" s="14" t="s">
        <v>10</v>
      </c>
      <c r="F138" s="111">
        <v>40943</v>
      </c>
      <c r="G138" s="14" t="s">
        <v>4022</v>
      </c>
      <c r="H138" s="14" t="s">
        <v>4023</v>
      </c>
      <c r="I138" s="14" t="s">
        <v>4024</v>
      </c>
      <c r="J138" s="14" t="s">
        <v>3361</v>
      </c>
      <c r="K138" s="14" t="s">
        <v>3374</v>
      </c>
    </row>
    <row r="139" spans="1:11" s="90" customFormat="1" ht="15.75" thickBot="1" x14ac:dyDescent="0.3">
      <c r="A139" s="19">
        <v>139</v>
      </c>
      <c r="B139" s="14" t="s">
        <v>4025</v>
      </c>
      <c r="C139" s="14" t="s">
        <v>4026</v>
      </c>
      <c r="D139" s="14" t="s">
        <v>66</v>
      </c>
      <c r="E139" s="14" t="s">
        <v>4027</v>
      </c>
      <c r="F139" s="111">
        <v>40967</v>
      </c>
      <c r="G139" s="14" t="s">
        <v>4028</v>
      </c>
      <c r="H139" s="14" t="s">
        <v>4029</v>
      </c>
      <c r="I139" s="14" t="s">
        <v>4030</v>
      </c>
      <c r="J139" s="14" t="s">
        <v>3361</v>
      </c>
      <c r="K139" s="14" t="s">
        <v>3374</v>
      </c>
    </row>
    <row r="140" spans="1:11" s="90" customFormat="1" ht="15.75" thickBot="1" x14ac:dyDescent="0.3">
      <c r="A140" s="19">
        <v>140</v>
      </c>
      <c r="B140" s="14" t="s">
        <v>3033</v>
      </c>
      <c r="C140" s="14" t="s">
        <v>4031</v>
      </c>
      <c r="D140" s="14" t="s">
        <v>2</v>
      </c>
      <c r="E140" s="14" t="s">
        <v>4032</v>
      </c>
      <c r="F140" s="111">
        <v>40972</v>
      </c>
      <c r="G140" s="14" t="s">
        <v>4033</v>
      </c>
      <c r="H140" s="14" t="s">
        <v>4034</v>
      </c>
      <c r="I140" s="14" t="s">
        <v>4035</v>
      </c>
      <c r="J140" s="14" t="s">
        <v>3361</v>
      </c>
      <c r="K140" s="14" t="s">
        <v>3374</v>
      </c>
    </row>
    <row r="141" spans="1:11" s="90" customFormat="1" ht="15.75" thickBot="1" x14ac:dyDescent="0.3">
      <c r="A141" s="19">
        <v>141</v>
      </c>
      <c r="B141" s="14" t="s">
        <v>3032</v>
      </c>
      <c r="C141" s="14" t="s">
        <v>4036</v>
      </c>
      <c r="D141" s="14" t="s">
        <v>66</v>
      </c>
      <c r="E141" s="14" t="s">
        <v>10</v>
      </c>
      <c r="F141" s="111">
        <v>40979</v>
      </c>
      <c r="G141" s="14" t="s">
        <v>4037</v>
      </c>
      <c r="H141" s="14" t="s">
        <v>4038</v>
      </c>
      <c r="I141" s="14" t="s">
        <v>4039</v>
      </c>
      <c r="J141" s="14" t="s">
        <v>3361</v>
      </c>
      <c r="K141" s="14" t="s">
        <v>3374</v>
      </c>
    </row>
    <row r="142" spans="1:11" s="90" customFormat="1" ht="15.75" thickBot="1" x14ac:dyDescent="0.3">
      <c r="A142" s="19">
        <v>142</v>
      </c>
      <c r="B142" s="14" t="s">
        <v>4040</v>
      </c>
      <c r="C142" s="14" t="s">
        <v>4041</v>
      </c>
      <c r="D142" s="14" t="s">
        <v>2</v>
      </c>
      <c r="E142" s="14" t="s">
        <v>10</v>
      </c>
      <c r="F142" s="111">
        <v>40998</v>
      </c>
      <c r="G142" s="14" t="s">
        <v>4042</v>
      </c>
      <c r="H142" s="14" t="s">
        <v>4043</v>
      </c>
      <c r="I142" s="14" t="s">
        <v>4044</v>
      </c>
      <c r="J142" s="14" t="s">
        <v>3361</v>
      </c>
      <c r="K142" s="14" t="s">
        <v>3374</v>
      </c>
    </row>
    <row r="143" spans="1:11" s="90" customFormat="1" ht="15.75" thickBot="1" x14ac:dyDescent="0.3">
      <c r="A143" s="19">
        <v>143</v>
      </c>
      <c r="B143" s="14" t="s">
        <v>3018</v>
      </c>
      <c r="C143" s="14" t="s">
        <v>4045</v>
      </c>
      <c r="D143" s="14" t="s">
        <v>66</v>
      </c>
      <c r="E143" s="14" t="s">
        <v>10</v>
      </c>
      <c r="F143" s="111">
        <v>41013</v>
      </c>
      <c r="G143" s="14" t="s">
        <v>4046</v>
      </c>
      <c r="H143" s="14" t="s">
        <v>4047</v>
      </c>
      <c r="I143" s="14" t="s">
        <v>4048</v>
      </c>
      <c r="J143" s="14" t="s">
        <v>3361</v>
      </c>
      <c r="K143" s="14" t="s">
        <v>3374</v>
      </c>
    </row>
    <row r="144" spans="1:11" s="90" customFormat="1" ht="15.75" thickBot="1" x14ac:dyDescent="0.3">
      <c r="A144" s="19">
        <v>144</v>
      </c>
      <c r="B144" s="14" t="s">
        <v>3022</v>
      </c>
      <c r="C144" s="14" t="s">
        <v>4049</v>
      </c>
      <c r="D144" s="14" t="s">
        <v>2</v>
      </c>
      <c r="E144" s="14" t="s">
        <v>10</v>
      </c>
      <c r="F144" s="111">
        <v>41041</v>
      </c>
      <c r="G144" s="14" t="s">
        <v>4050</v>
      </c>
      <c r="H144" s="14" t="s">
        <v>4051</v>
      </c>
      <c r="I144" s="14" t="s">
        <v>4052</v>
      </c>
      <c r="J144" s="14" t="s">
        <v>3361</v>
      </c>
      <c r="K144" s="14" t="s">
        <v>3374</v>
      </c>
    </row>
    <row r="145" spans="1:11" s="90" customFormat="1" ht="15.75" thickBot="1" x14ac:dyDescent="0.3">
      <c r="A145" s="19">
        <v>145</v>
      </c>
      <c r="B145" s="14" t="s">
        <v>4053</v>
      </c>
      <c r="C145" s="14" t="s">
        <v>4054</v>
      </c>
      <c r="D145" s="14" t="s">
        <v>66</v>
      </c>
      <c r="E145" s="14" t="s">
        <v>4055</v>
      </c>
      <c r="F145" s="111">
        <v>41045</v>
      </c>
      <c r="G145" s="14" t="s">
        <v>4056</v>
      </c>
      <c r="H145" s="14" t="s">
        <v>4057</v>
      </c>
      <c r="I145" s="14" t="s">
        <v>4058</v>
      </c>
      <c r="J145" s="14" t="s">
        <v>3361</v>
      </c>
      <c r="K145" s="14" t="s">
        <v>3374</v>
      </c>
    </row>
    <row r="146" spans="1:11" s="90" customFormat="1" ht="15.75" thickBot="1" x14ac:dyDescent="0.3">
      <c r="A146" s="19">
        <v>146</v>
      </c>
      <c r="B146" s="14" t="s">
        <v>3031</v>
      </c>
      <c r="C146" s="14" t="s">
        <v>4059</v>
      </c>
      <c r="D146" s="14" t="s">
        <v>2</v>
      </c>
      <c r="E146" s="14" t="s">
        <v>4060</v>
      </c>
      <c r="F146" s="111">
        <v>41069</v>
      </c>
      <c r="G146" s="14" t="s">
        <v>4061</v>
      </c>
      <c r="H146" s="14" t="s">
        <v>4062</v>
      </c>
      <c r="I146" s="14" t="s">
        <v>4063</v>
      </c>
      <c r="J146" s="14" t="s">
        <v>3361</v>
      </c>
      <c r="K146" s="14" t="s">
        <v>3374</v>
      </c>
    </row>
    <row r="147" spans="1:11" s="90" customFormat="1" ht="15.75" thickBot="1" x14ac:dyDescent="0.3">
      <c r="A147" s="19">
        <v>147</v>
      </c>
      <c r="B147" s="14" t="s">
        <v>3026</v>
      </c>
      <c r="C147" s="14" t="s">
        <v>4064</v>
      </c>
      <c r="D147" s="14" t="s">
        <v>66</v>
      </c>
      <c r="E147" s="14" t="s">
        <v>10</v>
      </c>
      <c r="F147" s="111">
        <v>41072</v>
      </c>
      <c r="G147" s="14" t="s">
        <v>4065</v>
      </c>
      <c r="H147" s="14" t="s">
        <v>4066</v>
      </c>
      <c r="I147" s="14" t="s">
        <v>4067</v>
      </c>
      <c r="J147" s="14" t="s">
        <v>3361</v>
      </c>
      <c r="K147" s="14" t="s">
        <v>3374</v>
      </c>
    </row>
    <row r="148" spans="1:11" s="90" customFormat="1" ht="15.75" thickBot="1" x14ac:dyDescent="0.3">
      <c r="A148" s="19">
        <v>148</v>
      </c>
      <c r="B148" s="14" t="s">
        <v>4068</v>
      </c>
      <c r="C148" s="14" t="s">
        <v>4069</v>
      </c>
      <c r="D148" s="14" t="s">
        <v>66</v>
      </c>
      <c r="E148" s="14" t="s">
        <v>10</v>
      </c>
      <c r="F148" s="111">
        <v>41077</v>
      </c>
      <c r="G148" s="14" t="s">
        <v>4070</v>
      </c>
      <c r="H148" s="14" t="s">
        <v>4071</v>
      </c>
      <c r="I148" s="14" t="s">
        <v>4072</v>
      </c>
      <c r="J148" s="14" t="s">
        <v>3361</v>
      </c>
      <c r="K148" s="14" t="s">
        <v>3374</v>
      </c>
    </row>
    <row r="149" spans="1:11" s="90" customFormat="1" ht="15.75" thickBot="1" x14ac:dyDescent="0.3">
      <c r="A149" s="19">
        <v>149</v>
      </c>
      <c r="B149" s="14" t="s">
        <v>3034</v>
      </c>
      <c r="C149" s="14" t="s">
        <v>4073</v>
      </c>
      <c r="D149" s="14" t="s">
        <v>66</v>
      </c>
      <c r="E149" s="14" t="s">
        <v>4074</v>
      </c>
      <c r="F149" s="111">
        <v>41100</v>
      </c>
      <c r="G149" s="14" t="s">
        <v>4075</v>
      </c>
      <c r="H149" s="14" t="s">
        <v>4076</v>
      </c>
      <c r="I149" s="14" t="s">
        <v>4077</v>
      </c>
      <c r="J149" s="14" t="s">
        <v>3361</v>
      </c>
      <c r="K149" s="14" t="s">
        <v>3374</v>
      </c>
    </row>
    <row r="150" spans="1:11" s="90" customFormat="1" ht="15.75" thickBot="1" x14ac:dyDescent="0.3">
      <c r="A150" s="19">
        <v>150</v>
      </c>
      <c r="B150" s="14" t="s">
        <v>3021</v>
      </c>
      <c r="C150" s="14" t="s">
        <v>4078</v>
      </c>
      <c r="D150" s="14" t="s">
        <v>2</v>
      </c>
      <c r="E150" s="14" t="s">
        <v>328</v>
      </c>
      <c r="F150" s="111">
        <v>41117</v>
      </c>
      <c r="G150" s="14" t="s">
        <v>4079</v>
      </c>
      <c r="H150" s="14" t="s">
        <v>200</v>
      </c>
      <c r="I150" s="14" t="s">
        <v>4080</v>
      </c>
      <c r="J150" s="14" t="s">
        <v>3361</v>
      </c>
      <c r="K150" s="14" t="s">
        <v>3374</v>
      </c>
    </row>
    <row r="151" spans="1:11" s="90" customFormat="1" ht="15.75" thickBot="1" x14ac:dyDescent="0.3">
      <c r="A151" s="19">
        <v>151</v>
      </c>
      <c r="B151" s="14" t="s">
        <v>3020</v>
      </c>
      <c r="C151" s="14" t="s">
        <v>4081</v>
      </c>
      <c r="D151" s="14" t="s">
        <v>2</v>
      </c>
      <c r="E151" s="14" t="s">
        <v>10</v>
      </c>
      <c r="F151" s="111">
        <v>41149</v>
      </c>
      <c r="G151" s="14" t="s">
        <v>4082</v>
      </c>
      <c r="H151" s="14" t="s">
        <v>4083</v>
      </c>
      <c r="I151" s="14" t="s">
        <v>4084</v>
      </c>
      <c r="J151" s="14" t="s">
        <v>3361</v>
      </c>
      <c r="K151" s="14" t="s">
        <v>3374</v>
      </c>
    </row>
    <row r="152" spans="1:11" s="90" customFormat="1" ht="15.75" thickBot="1" x14ac:dyDescent="0.3">
      <c r="A152" s="19">
        <v>152</v>
      </c>
      <c r="B152" s="14" t="s">
        <v>3027</v>
      </c>
      <c r="C152" s="14" t="s">
        <v>4085</v>
      </c>
      <c r="D152" s="14" t="s">
        <v>66</v>
      </c>
      <c r="E152" s="14" t="s">
        <v>10</v>
      </c>
      <c r="F152" s="111">
        <v>41173</v>
      </c>
      <c r="G152" s="14" t="s">
        <v>4086</v>
      </c>
      <c r="H152" s="14" t="s">
        <v>4087</v>
      </c>
      <c r="I152" s="14" t="s">
        <v>4088</v>
      </c>
      <c r="J152" s="14" t="s">
        <v>3361</v>
      </c>
      <c r="K152" s="14" t="s">
        <v>3374</v>
      </c>
    </row>
    <row r="153" spans="1:11" s="90" customFormat="1" ht="15.75" thickBot="1" x14ac:dyDescent="0.3">
      <c r="A153" s="19">
        <v>153</v>
      </c>
      <c r="B153" s="14" t="s">
        <v>4089</v>
      </c>
      <c r="C153" s="14" t="s">
        <v>4090</v>
      </c>
      <c r="D153" s="14" t="s">
        <v>2</v>
      </c>
      <c r="E153" s="14" t="s">
        <v>10</v>
      </c>
      <c r="F153" s="111">
        <v>41191</v>
      </c>
      <c r="G153" s="14" t="s">
        <v>2809</v>
      </c>
      <c r="H153" s="14" t="s">
        <v>3905</v>
      </c>
      <c r="I153" s="14" t="s">
        <v>4091</v>
      </c>
      <c r="J153" s="14" t="s">
        <v>3361</v>
      </c>
      <c r="K153" s="14" t="s">
        <v>3374</v>
      </c>
    </row>
    <row r="154" spans="1:11" s="90" customFormat="1" ht="15.75" thickBot="1" x14ac:dyDescent="0.3">
      <c r="A154" s="19">
        <v>154</v>
      </c>
      <c r="B154" s="14" t="s">
        <v>3024</v>
      </c>
      <c r="C154" s="14" t="s">
        <v>4092</v>
      </c>
      <c r="D154" s="14" t="s">
        <v>66</v>
      </c>
      <c r="E154" s="14" t="s">
        <v>328</v>
      </c>
      <c r="F154" s="111">
        <v>41272</v>
      </c>
      <c r="G154" s="14" t="s">
        <v>4093</v>
      </c>
      <c r="H154" s="14" t="s">
        <v>4094</v>
      </c>
      <c r="I154" s="14" t="s">
        <v>4095</v>
      </c>
      <c r="J154" s="14" t="s">
        <v>3361</v>
      </c>
      <c r="K154" s="14" t="s">
        <v>3374</v>
      </c>
    </row>
    <row r="155" spans="1:11" s="90" customFormat="1" ht="15.75" thickBot="1" x14ac:dyDescent="0.3">
      <c r="A155" s="19">
        <v>155</v>
      </c>
      <c r="B155" s="14" t="s">
        <v>305</v>
      </c>
      <c r="C155" s="14" t="s">
        <v>4096</v>
      </c>
      <c r="D155" s="14" t="s">
        <v>66</v>
      </c>
      <c r="E155" s="14" t="s">
        <v>10</v>
      </c>
      <c r="F155" s="111">
        <v>41384</v>
      </c>
      <c r="G155" s="14" t="s">
        <v>4097</v>
      </c>
      <c r="H155" s="14" t="s">
        <v>4098</v>
      </c>
      <c r="I155" s="14" t="s">
        <v>4099</v>
      </c>
      <c r="J155" s="14" t="s">
        <v>3361</v>
      </c>
      <c r="K155" s="14" t="s">
        <v>3374</v>
      </c>
    </row>
    <row r="156" spans="1:11" s="90" customFormat="1" ht="15.75" thickBot="1" x14ac:dyDescent="0.3">
      <c r="A156" s="19">
        <v>156</v>
      </c>
      <c r="B156" s="14" t="s">
        <v>542</v>
      </c>
      <c r="C156" s="14" t="s">
        <v>4100</v>
      </c>
      <c r="D156" s="14" t="s">
        <v>66</v>
      </c>
      <c r="E156" s="14" t="s">
        <v>10</v>
      </c>
      <c r="F156" s="111">
        <v>41526</v>
      </c>
      <c r="G156" s="14" t="s">
        <v>4101</v>
      </c>
      <c r="H156" s="14" t="s">
        <v>4102</v>
      </c>
      <c r="I156" s="14" t="s">
        <v>4103</v>
      </c>
      <c r="J156" s="14" t="s">
        <v>3361</v>
      </c>
      <c r="K156" s="14" t="s">
        <v>3374</v>
      </c>
    </row>
    <row r="157" spans="1:11" s="90" customFormat="1" ht="15.75" thickBot="1" x14ac:dyDescent="0.3">
      <c r="A157" s="19">
        <v>157</v>
      </c>
      <c r="B157" s="14" t="s">
        <v>623</v>
      </c>
      <c r="C157" s="14" t="s">
        <v>4104</v>
      </c>
      <c r="D157" s="14" t="s">
        <v>66</v>
      </c>
      <c r="E157" s="14" t="s">
        <v>10</v>
      </c>
      <c r="F157" s="111">
        <v>41605</v>
      </c>
      <c r="G157" s="14" t="s">
        <v>1203</v>
      </c>
      <c r="H157" s="14" t="s">
        <v>1652</v>
      </c>
      <c r="I157" s="14" t="s">
        <v>4105</v>
      </c>
      <c r="J157" s="14" t="s">
        <v>3361</v>
      </c>
      <c r="K157" s="14" t="s">
        <v>3374</v>
      </c>
    </row>
    <row r="158" spans="1:11" s="90" customFormat="1" ht="15.75" thickBot="1" x14ac:dyDescent="0.3">
      <c r="A158" s="19">
        <v>158</v>
      </c>
      <c r="B158" s="14" t="s">
        <v>618</v>
      </c>
      <c r="C158" s="14" t="s">
        <v>4106</v>
      </c>
      <c r="D158" s="14" t="s">
        <v>66</v>
      </c>
      <c r="E158" s="14" t="s">
        <v>4107</v>
      </c>
      <c r="F158" s="111">
        <v>41608</v>
      </c>
      <c r="G158" s="14" t="s">
        <v>4108</v>
      </c>
      <c r="H158" s="14" t="s">
        <v>4109</v>
      </c>
      <c r="I158" s="14" t="s">
        <v>4110</v>
      </c>
      <c r="J158" s="14" t="s">
        <v>3361</v>
      </c>
      <c r="K158" s="14" t="s">
        <v>3374</v>
      </c>
    </row>
    <row r="159" spans="1:11" s="90" customFormat="1" ht="15.75" thickBot="1" x14ac:dyDescent="0.3">
      <c r="A159" s="19">
        <v>159</v>
      </c>
      <c r="B159" s="14" t="s">
        <v>446</v>
      </c>
      <c r="C159" s="14" t="s">
        <v>4111</v>
      </c>
      <c r="D159" s="14" t="s">
        <v>2</v>
      </c>
      <c r="E159" s="14" t="s">
        <v>10</v>
      </c>
      <c r="F159" s="111">
        <v>41625</v>
      </c>
      <c r="G159" s="14" t="s">
        <v>4112</v>
      </c>
      <c r="H159" s="14" t="s">
        <v>4113</v>
      </c>
      <c r="I159" s="14" t="s">
        <v>4114</v>
      </c>
      <c r="J159" s="14" t="s">
        <v>3361</v>
      </c>
      <c r="K159" s="14" t="s">
        <v>3374</v>
      </c>
    </row>
    <row r="160" spans="1:11" s="90" customFormat="1" ht="15.75" thickBot="1" x14ac:dyDescent="0.3">
      <c r="A160" s="19">
        <v>160</v>
      </c>
      <c r="B160" s="14" t="s">
        <v>678</v>
      </c>
      <c r="C160" s="14" t="s">
        <v>4115</v>
      </c>
      <c r="D160" s="14" t="s">
        <v>2</v>
      </c>
      <c r="E160" s="14" t="s">
        <v>10</v>
      </c>
      <c r="F160" s="111">
        <v>41657</v>
      </c>
      <c r="G160" s="14" t="s">
        <v>4116</v>
      </c>
      <c r="H160" s="14" t="s">
        <v>4117</v>
      </c>
      <c r="I160" s="14" t="s">
        <v>4118</v>
      </c>
      <c r="J160" s="14" t="s">
        <v>3361</v>
      </c>
      <c r="K160" s="14" t="s">
        <v>3374</v>
      </c>
    </row>
    <row r="161" spans="1:11" s="90" customFormat="1" ht="15.75" thickBot="1" x14ac:dyDescent="0.3">
      <c r="A161" s="19">
        <v>161</v>
      </c>
      <c r="B161" s="14" t="s">
        <v>474</v>
      </c>
      <c r="C161" s="14" t="s">
        <v>4119</v>
      </c>
      <c r="D161" s="14" t="s">
        <v>66</v>
      </c>
      <c r="E161" s="14" t="s">
        <v>10</v>
      </c>
      <c r="F161" s="111">
        <v>41672</v>
      </c>
      <c r="G161" s="14" t="s">
        <v>4120</v>
      </c>
      <c r="H161" s="14" t="s">
        <v>4121</v>
      </c>
      <c r="I161" s="14" t="s">
        <v>4122</v>
      </c>
      <c r="J161" s="14" t="s">
        <v>3361</v>
      </c>
      <c r="K161" s="14" t="s">
        <v>3374</v>
      </c>
    </row>
    <row r="162" spans="1:11" s="90" customFormat="1" ht="15.75" thickBot="1" x14ac:dyDescent="0.3">
      <c r="A162" s="19">
        <v>162</v>
      </c>
      <c r="B162" s="14" t="s">
        <v>604</v>
      </c>
      <c r="C162" s="14" t="s">
        <v>4123</v>
      </c>
      <c r="D162" s="14" t="s">
        <v>66</v>
      </c>
      <c r="E162" s="14" t="s">
        <v>10</v>
      </c>
      <c r="F162" s="111">
        <v>41693</v>
      </c>
      <c r="G162" s="14" t="s">
        <v>4124</v>
      </c>
      <c r="H162" s="14" t="s">
        <v>4125</v>
      </c>
      <c r="I162" s="14" t="s">
        <v>4126</v>
      </c>
      <c r="J162" s="14" t="s">
        <v>3361</v>
      </c>
      <c r="K162" s="14" t="s">
        <v>3374</v>
      </c>
    </row>
    <row r="163" spans="1:11" s="90" customFormat="1" ht="15.75" thickBot="1" x14ac:dyDescent="0.3">
      <c r="A163" s="19">
        <v>163</v>
      </c>
      <c r="B163" s="14" t="s">
        <v>610</v>
      </c>
      <c r="C163" s="14" t="s">
        <v>4127</v>
      </c>
      <c r="D163" s="14" t="s">
        <v>66</v>
      </c>
      <c r="E163" s="14" t="s">
        <v>10</v>
      </c>
      <c r="F163" s="111">
        <v>41732</v>
      </c>
      <c r="G163" s="14" t="s">
        <v>4128</v>
      </c>
      <c r="H163" s="14" t="s">
        <v>4129</v>
      </c>
      <c r="I163" s="14" t="s">
        <v>4130</v>
      </c>
      <c r="J163" s="14" t="s">
        <v>3361</v>
      </c>
      <c r="K163" s="14" t="s">
        <v>3374</v>
      </c>
    </row>
    <row r="164" spans="1:11" s="90" customFormat="1" ht="15.75" thickBot="1" x14ac:dyDescent="0.3">
      <c r="A164" s="19">
        <v>164</v>
      </c>
      <c r="B164" s="14" t="s">
        <v>4131</v>
      </c>
      <c r="C164" s="14" t="s">
        <v>4132</v>
      </c>
      <c r="D164" s="14" t="s">
        <v>66</v>
      </c>
      <c r="E164" s="14" t="s">
        <v>116</v>
      </c>
      <c r="F164" s="111">
        <v>41772</v>
      </c>
      <c r="G164" s="14" t="s">
        <v>4133</v>
      </c>
      <c r="H164" s="14" t="s">
        <v>4134</v>
      </c>
      <c r="I164" s="14" t="s">
        <v>4135</v>
      </c>
      <c r="J164" s="14" t="s">
        <v>3361</v>
      </c>
      <c r="K164" s="14" t="s">
        <v>3374</v>
      </c>
    </row>
    <row r="165" spans="1:11" s="90" customFormat="1" ht="15.75" thickBot="1" x14ac:dyDescent="0.3">
      <c r="A165" s="19">
        <v>165</v>
      </c>
      <c r="B165" s="14" t="s">
        <v>628</v>
      </c>
      <c r="C165" s="14" t="s">
        <v>4136</v>
      </c>
      <c r="D165" s="14" t="s">
        <v>66</v>
      </c>
      <c r="E165" s="14" t="s">
        <v>10</v>
      </c>
      <c r="F165" s="111">
        <v>41778</v>
      </c>
      <c r="G165" s="14" t="s">
        <v>4137</v>
      </c>
      <c r="H165" s="14" t="s">
        <v>4138</v>
      </c>
      <c r="I165" s="14" t="s">
        <v>4139</v>
      </c>
      <c r="J165" s="14" t="s">
        <v>3361</v>
      </c>
      <c r="K165" s="14" t="s">
        <v>3374</v>
      </c>
    </row>
    <row r="166" spans="1:11" s="90" customFormat="1" ht="15.75" thickBot="1" x14ac:dyDescent="0.3">
      <c r="A166" s="19">
        <v>166</v>
      </c>
      <c r="B166" s="14" t="s">
        <v>522</v>
      </c>
      <c r="C166" s="14" t="s">
        <v>4140</v>
      </c>
      <c r="D166" s="14" t="s">
        <v>66</v>
      </c>
      <c r="E166" s="14" t="s">
        <v>10</v>
      </c>
      <c r="F166" s="111">
        <v>41782</v>
      </c>
      <c r="G166" s="14" t="s">
        <v>4141</v>
      </c>
      <c r="H166" s="14" t="s">
        <v>4142</v>
      </c>
      <c r="I166" s="14" t="s">
        <v>4143</v>
      </c>
      <c r="J166" s="14" t="s">
        <v>3361</v>
      </c>
      <c r="K166" s="14" t="s">
        <v>3374</v>
      </c>
    </row>
    <row r="167" spans="1:11" s="90" customFormat="1" ht="15.75" thickBot="1" x14ac:dyDescent="0.3">
      <c r="A167" s="19">
        <v>167</v>
      </c>
      <c r="B167" s="14" t="s">
        <v>720</v>
      </c>
      <c r="C167" s="14" t="s">
        <v>4144</v>
      </c>
      <c r="D167" s="14" t="s">
        <v>66</v>
      </c>
      <c r="E167" s="14" t="s">
        <v>10</v>
      </c>
      <c r="F167" s="111">
        <v>41800</v>
      </c>
      <c r="G167" s="14" t="s">
        <v>4145</v>
      </c>
      <c r="H167" s="14" t="s">
        <v>4146</v>
      </c>
      <c r="I167" s="14" t="s">
        <v>4147</v>
      </c>
      <c r="J167" s="14" t="s">
        <v>3361</v>
      </c>
      <c r="K167" s="14" t="s">
        <v>3374</v>
      </c>
    </row>
    <row r="168" spans="1:11" s="90" customFormat="1" ht="15.75" thickBot="1" x14ac:dyDescent="0.3">
      <c r="A168" s="19">
        <v>168</v>
      </c>
      <c r="B168" s="14" t="s">
        <v>310</v>
      </c>
      <c r="C168" s="14" t="s">
        <v>4148</v>
      </c>
      <c r="D168" s="14" t="s">
        <v>66</v>
      </c>
      <c r="E168" s="14" t="s">
        <v>10</v>
      </c>
      <c r="F168" s="111">
        <v>41802</v>
      </c>
      <c r="G168" s="14" t="s">
        <v>4149</v>
      </c>
      <c r="H168" s="14" t="s">
        <v>4150</v>
      </c>
      <c r="I168" s="14" t="s">
        <v>4151</v>
      </c>
      <c r="J168" s="14" t="s">
        <v>3361</v>
      </c>
      <c r="K168" s="112" t="s">
        <v>3898</v>
      </c>
    </row>
    <row r="169" spans="1:11" s="90" customFormat="1" ht="15.75" thickBot="1" x14ac:dyDescent="0.3">
      <c r="A169" s="19">
        <v>169</v>
      </c>
      <c r="B169" s="14" t="s">
        <v>743</v>
      </c>
      <c r="C169" s="14" t="s">
        <v>4152</v>
      </c>
      <c r="D169" s="14" t="s">
        <v>66</v>
      </c>
      <c r="E169" s="14" t="s">
        <v>10</v>
      </c>
      <c r="F169" s="111">
        <v>41828</v>
      </c>
      <c r="G169" s="14" t="s">
        <v>4153</v>
      </c>
      <c r="H169" s="14" t="s">
        <v>4154</v>
      </c>
      <c r="I169" s="14" t="s">
        <v>4155</v>
      </c>
      <c r="J169" s="14" t="s">
        <v>3361</v>
      </c>
      <c r="K169" s="14" t="s">
        <v>3374</v>
      </c>
    </row>
    <row r="170" spans="1:11" s="90" customFormat="1" ht="15.75" thickBot="1" x14ac:dyDescent="0.3">
      <c r="A170" s="19">
        <v>170</v>
      </c>
      <c r="B170" s="14" t="s">
        <v>633</v>
      </c>
      <c r="C170" s="14" t="s">
        <v>4156</v>
      </c>
      <c r="D170" s="14" t="s">
        <v>2</v>
      </c>
      <c r="E170" s="14" t="s">
        <v>10</v>
      </c>
      <c r="F170" s="111">
        <v>41836</v>
      </c>
      <c r="G170" s="14" t="s">
        <v>4157</v>
      </c>
      <c r="H170" s="14" t="s">
        <v>4158</v>
      </c>
      <c r="I170" s="14" t="s">
        <v>4159</v>
      </c>
      <c r="J170" s="14" t="s">
        <v>3361</v>
      </c>
      <c r="K170" s="14" t="s">
        <v>3374</v>
      </c>
    </row>
    <row r="171" spans="1:11" s="90" customFormat="1" ht="15.75" thickBot="1" x14ac:dyDescent="0.3">
      <c r="A171" s="19">
        <v>171</v>
      </c>
      <c r="B171" s="14" t="s">
        <v>748</v>
      </c>
      <c r="C171" s="14" t="s">
        <v>4160</v>
      </c>
      <c r="D171" s="14" t="s">
        <v>2</v>
      </c>
      <c r="E171" s="14" t="s">
        <v>10</v>
      </c>
      <c r="F171" s="111">
        <v>41840</v>
      </c>
      <c r="G171" s="14" t="s">
        <v>4161</v>
      </c>
      <c r="H171" s="14" t="s">
        <v>4162</v>
      </c>
      <c r="I171" s="14" t="s">
        <v>4163</v>
      </c>
      <c r="J171" s="14" t="s">
        <v>3361</v>
      </c>
      <c r="K171" s="14" t="s">
        <v>3374</v>
      </c>
    </row>
    <row r="172" spans="1:11" s="90" customFormat="1" ht="15.75" thickBot="1" x14ac:dyDescent="0.3">
      <c r="A172" s="19">
        <v>172</v>
      </c>
      <c r="B172" s="14" t="s">
        <v>599</v>
      </c>
      <c r="C172" s="14" t="s">
        <v>4164</v>
      </c>
      <c r="D172" s="14" t="s">
        <v>66</v>
      </c>
      <c r="E172" s="14" t="s">
        <v>10</v>
      </c>
      <c r="F172" s="111">
        <v>41845</v>
      </c>
      <c r="G172" s="14" t="s">
        <v>4165</v>
      </c>
      <c r="H172" s="14" t="s">
        <v>4166</v>
      </c>
      <c r="I172" s="14" t="s">
        <v>4167</v>
      </c>
      <c r="J172" s="14" t="s">
        <v>3361</v>
      </c>
      <c r="K172" s="14" t="s">
        <v>3374</v>
      </c>
    </row>
    <row r="173" spans="1:11" s="90" customFormat="1" ht="15.75" thickBot="1" x14ac:dyDescent="0.3">
      <c r="A173" s="19">
        <v>173</v>
      </c>
      <c r="B173" s="14" t="s">
        <v>688</v>
      </c>
      <c r="C173" s="14" t="s">
        <v>4168</v>
      </c>
      <c r="D173" s="14" t="s">
        <v>66</v>
      </c>
      <c r="E173" s="14" t="s">
        <v>10</v>
      </c>
      <c r="F173" s="111">
        <v>41890</v>
      </c>
      <c r="G173" s="14" t="s">
        <v>4169</v>
      </c>
      <c r="H173" s="14" t="s">
        <v>4170</v>
      </c>
      <c r="I173" s="14" t="s">
        <v>4171</v>
      </c>
      <c r="J173" s="14" t="s">
        <v>3361</v>
      </c>
      <c r="K173" s="14" t="s">
        <v>3374</v>
      </c>
    </row>
    <row r="174" spans="1:11" s="90" customFormat="1" ht="15.75" thickBot="1" x14ac:dyDescent="0.3">
      <c r="A174" s="19">
        <v>174</v>
      </c>
      <c r="B174" s="14" t="s">
        <v>715</v>
      </c>
      <c r="C174" s="14" t="s">
        <v>4172</v>
      </c>
      <c r="D174" s="14" t="s">
        <v>66</v>
      </c>
      <c r="E174" s="14" t="s">
        <v>10</v>
      </c>
      <c r="F174" s="111">
        <v>41898</v>
      </c>
      <c r="G174" s="14" t="s">
        <v>3517</v>
      </c>
      <c r="H174" s="14" t="s">
        <v>4173</v>
      </c>
      <c r="I174" s="14" t="s">
        <v>4174</v>
      </c>
      <c r="J174" s="14" t="s">
        <v>3361</v>
      </c>
      <c r="K174" s="14" t="s">
        <v>3374</v>
      </c>
    </row>
    <row r="175" spans="1:11" s="90" customFormat="1" ht="15.75" thickBot="1" x14ac:dyDescent="0.3">
      <c r="A175" s="19">
        <v>175</v>
      </c>
      <c r="B175" s="14" t="s">
        <v>643</v>
      </c>
      <c r="C175" s="14" t="s">
        <v>4175</v>
      </c>
      <c r="D175" s="14" t="s">
        <v>66</v>
      </c>
      <c r="E175" s="14" t="s">
        <v>10</v>
      </c>
      <c r="F175" s="111">
        <v>41900</v>
      </c>
      <c r="G175" s="14" t="s">
        <v>4176</v>
      </c>
      <c r="H175" s="14" t="s">
        <v>4177</v>
      </c>
      <c r="I175" s="14" t="s">
        <v>4178</v>
      </c>
      <c r="J175" s="14" t="s">
        <v>3361</v>
      </c>
      <c r="K175" s="14" t="s">
        <v>3374</v>
      </c>
    </row>
    <row r="176" spans="1:11" s="90" customFormat="1" ht="15.75" thickBot="1" x14ac:dyDescent="0.3">
      <c r="A176" s="19">
        <v>176</v>
      </c>
      <c r="B176" s="14" t="s">
        <v>705</v>
      </c>
      <c r="C176" s="14" t="s">
        <v>4179</v>
      </c>
      <c r="D176" s="14" t="s">
        <v>66</v>
      </c>
      <c r="E176" s="14" t="s">
        <v>10</v>
      </c>
      <c r="F176" s="111">
        <v>41948</v>
      </c>
      <c r="G176" s="14" t="s">
        <v>4180</v>
      </c>
      <c r="H176" s="14" t="s">
        <v>4181</v>
      </c>
      <c r="I176" s="14" t="s">
        <v>4182</v>
      </c>
      <c r="J176" s="14" t="s">
        <v>3361</v>
      </c>
      <c r="K176" s="14" t="s">
        <v>3374</v>
      </c>
    </row>
    <row r="177" spans="1:11" s="90" customFormat="1" ht="15.75" thickBot="1" x14ac:dyDescent="0.3">
      <c r="A177" s="19">
        <v>177</v>
      </c>
      <c r="B177" s="14" t="s">
        <v>661</v>
      </c>
      <c r="C177" s="14" t="s">
        <v>4183</v>
      </c>
      <c r="D177" s="14" t="s">
        <v>2</v>
      </c>
      <c r="E177" s="14" t="s">
        <v>10</v>
      </c>
      <c r="F177" s="111">
        <v>41958</v>
      </c>
      <c r="G177" s="14" t="s">
        <v>4184</v>
      </c>
      <c r="H177" s="14" t="s">
        <v>4185</v>
      </c>
      <c r="I177" s="14" t="s">
        <v>4186</v>
      </c>
      <c r="J177" s="14" t="s">
        <v>3361</v>
      </c>
      <c r="K177" s="14" t="s">
        <v>3374</v>
      </c>
    </row>
    <row r="178" spans="1:11" s="90" customFormat="1" ht="15.75" thickBot="1" x14ac:dyDescent="0.3">
      <c r="A178" s="19">
        <v>178</v>
      </c>
      <c r="B178" s="14" t="s">
        <v>683</v>
      </c>
      <c r="C178" s="14" t="s">
        <v>4187</v>
      </c>
      <c r="D178" s="14" t="s">
        <v>2</v>
      </c>
      <c r="E178" s="14" t="s">
        <v>10</v>
      </c>
      <c r="F178" s="111">
        <v>42005</v>
      </c>
      <c r="G178" s="14" t="s">
        <v>4188</v>
      </c>
      <c r="H178" s="14" t="s">
        <v>4189</v>
      </c>
      <c r="I178" s="14" t="s">
        <v>4190</v>
      </c>
      <c r="J178" s="14" t="s">
        <v>3361</v>
      </c>
      <c r="K178" s="14" t="s">
        <v>3374</v>
      </c>
    </row>
    <row r="179" spans="1:11" s="90" customFormat="1" ht="15.75" thickBot="1" x14ac:dyDescent="0.3">
      <c r="A179" s="19">
        <v>179</v>
      </c>
      <c r="B179" s="14" t="s">
        <v>700</v>
      </c>
      <c r="C179" s="14" t="s">
        <v>4191</v>
      </c>
      <c r="D179" s="14" t="s">
        <v>2</v>
      </c>
      <c r="E179" s="14" t="s">
        <v>10</v>
      </c>
      <c r="F179" s="111">
        <v>42026</v>
      </c>
      <c r="G179" s="14" t="s">
        <v>4192</v>
      </c>
      <c r="H179" s="14" t="s">
        <v>4193</v>
      </c>
      <c r="I179" s="14" t="s">
        <v>4194</v>
      </c>
      <c r="J179" s="14" t="s">
        <v>3361</v>
      </c>
      <c r="K179" s="14" t="s">
        <v>3374</v>
      </c>
    </row>
    <row r="180" spans="1:11" s="90" customFormat="1" ht="15.75" thickBot="1" x14ac:dyDescent="0.3">
      <c r="A180" s="19">
        <v>180</v>
      </c>
      <c r="B180" s="14" t="s">
        <v>779</v>
      </c>
      <c r="C180" s="14" t="s">
        <v>4195</v>
      </c>
      <c r="D180" s="14" t="s">
        <v>2</v>
      </c>
      <c r="E180" s="14" t="s">
        <v>10</v>
      </c>
      <c r="F180" s="111">
        <v>42035</v>
      </c>
      <c r="G180" s="14" t="s">
        <v>4196</v>
      </c>
      <c r="H180" s="14" t="s">
        <v>4197</v>
      </c>
      <c r="I180" s="14" t="s">
        <v>4198</v>
      </c>
      <c r="J180" s="14" t="s">
        <v>3361</v>
      </c>
      <c r="K180" s="14" t="s">
        <v>3374</v>
      </c>
    </row>
    <row r="181" spans="1:11" s="90" customFormat="1" ht="15.75" thickBot="1" x14ac:dyDescent="0.3">
      <c r="A181" s="19">
        <v>181</v>
      </c>
      <c r="B181" s="14" t="s">
        <v>1655</v>
      </c>
      <c r="C181" s="14" t="s">
        <v>4199</v>
      </c>
      <c r="D181" s="14" t="s">
        <v>2</v>
      </c>
      <c r="E181" s="14" t="s">
        <v>10</v>
      </c>
      <c r="F181" s="111">
        <v>42040</v>
      </c>
      <c r="G181" s="14" t="s">
        <v>4200</v>
      </c>
      <c r="H181" s="14" t="s">
        <v>4201</v>
      </c>
      <c r="I181" s="14" t="s">
        <v>4202</v>
      </c>
      <c r="J181" s="14" t="s">
        <v>3361</v>
      </c>
      <c r="K181" s="14" t="s">
        <v>3374</v>
      </c>
    </row>
    <row r="182" spans="1:11" s="90" customFormat="1" ht="15.75" thickBot="1" x14ac:dyDescent="0.3">
      <c r="A182" s="19">
        <v>182</v>
      </c>
      <c r="B182" s="14" t="s">
        <v>710</v>
      </c>
      <c r="C182" s="14" t="s">
        <v>4203</v>
      </c>
      <c r="D182" s="14" t="s">
        <v>66</v>
      </c>
      <c r="E182" s="14" t="s">
        <v>116</v>
      </c>
      <c r="F182" s="111">
        <v>42121</v>
      </c>
      <c r="G182" s="14" t="s">
        <v>4204</v>
      </c>
      <c r="H182" s="14" t="s">
        <v>4205</v>
      </c>
      <c r="I182" s="14" t="s">
        <v>4206</v>
      </c>
      <c r="J182" s="14" t="s">
        <v>3361</v>
      </c>
      <c r="K182" s="14" t="s">
        <v>3374</v>
      </c>
    </row>
    <row r="183" spans="1:11" s="90" customFormat="1" ht="15.75" thickBot="1" x14ac:dyDescent="0.3">
      <c r="A183" s="19">
        <v>183</v>
      </c>
      <c r="B183" s="14" t="s">
        <v>2188</v>
      </c>
      <c r="C183" s="14" t="s">
        <v>4207</v>
      </c>
      <c r="D183" s="14" t="s">
        <v>2</v>
      </c>
      <c r="E183" s="14" t="s">
        <v>10</v>
      </c>
      <c r="F183" s="111">
        <v>42129</v>
      </c>
      <c r="G183" s="14" t="s">
        <v>4208</v>
      </c>
      <c r="H183" s="14" t="s">
        <v>4209</v>
      </c>
      <c r="I183" s="14" t="s">
        <v>4210</v>
      </c>
      <c r="J183" s="14" t="s">
        <v>3361</v>
      </c>
      <c r="K183" s="14" t="s">
        <v>3374</v>
      </c>
    </row>
    <row r="184" spans="1:11" s="90" customFormat="1" ht="15.75" thickBot="1" x14ac:dyDescent="0.3">
      <c r="A184" s="19">
        <v>184</v>
      </c>
      <c r="B184" s="14" t="s">
        <v>732</v>
      </c>
      <c r="C184" s="14" t="s">
        <v>4211</v>
      </c>
      <c r="D184" s="14" t="s">
        <v>66</v>
      </c>
      <c r="E184" s="14" t="s">
        <v>59</v>
      </c>
      <c r="F184" s="111">
        <v>42133</v>
      </c>
      <c r="G184" s="14" t="s">
        <v>4212</v>
      </c>
      <c r="H184" s="14" t="s">
        <v>4213</v>
      </c>
      <c r="I184" s="14" t="s">
        <v>4214</v>
      </c>
      <c r="J184" s="14" t="s">
        <v>3361</v>
      </c>
      <c r="K184" s="14" t="s">
        <v>3374</v>
      </c>
    </row>
    <row r="185" spans="1:11" s="90" customFormat="1" ht="15.75" thickBot="1" x14ac:dyDescent="0.3">
      <c r="A185" s="19">
        <v>185</v>
      </c>
      <c r="B185" s="14" t="s">
        <v>638</v>
      </c>
      <c r="C185" s="14" t="s">
        <v>4215</v>
      </c>
      <c r="D185" s="14" t="s">
        <v>66</v>
      </c>
      <c r="E185" s="14" t="s">
        <v>10</v>
      </c>
      <c r="F185" s="111">
        <v>42141</v>
      </c>
      <c r="G185" s="14" t="s">
        <v>4216</v>
      </c>
      <c r="H185" s="14" t="s">
        <v>4217</v>
      </c>
      <c r="I185" s="14" t="s">
        <v>4218</v>
      </c>
      <c r="J185" s="14" t="s">
        <v>3361</v>
      </c>
      <c r="K185" s="14" t="s">
        <v>3374</v>
      </c>
    </row>
    <row r="186" spans="1:11" s="90" customFormat="1" ht="15.75" thickBot="1" x14ac:dyDescent="0.3">
      <c r="A186" s="19">
        <v>186</v>
      </c>
      <c r="B186" s="14" t="s">
        <v>648</v>
      </c>
      <c r="C186" s="14" t="s">
        <v>4219</v>
      </c>
      <c r="D186" s="14" t="s">
        <v>2</v>
      </c>
      <c r="E186" s="14" t="s">
        <v>10</v>
      </c>
      <c r="F186" s="111">
        <v>42144</v>
      </c>
      <c r="G186" s="14" t="s">
        <v>4220</v>
      </c>
      <c r="H186" s="14" t="s">
        <v>4221</v>
      </c>
      <c r="I186" s="14" t="s">
        <v>4222</v>
      </c>
      <c r="J186" s="14" t="s">
        <v>3361</v>
      </c>
      <c r="K186" s="14" t="s">
        <v>3374</v>
      </c>
    </row>
    <row r="187" spans="1:11" s="90" customFormat="1" ht="15.75" thickBot="1" x14ac:dyDescent="0.3">
      <c r="A187" s="19">
        <v>187</v>
      </c>
      <c r="B187" s="14" t="s">
        <v>672</v>
      </c>
      <c r="C187" s="14" t="s">
        <v>4223</v>
      </c>
      <c r="D187" s="14" t="s">
        <v>66</v>
      </c>
      <c r="E187" s="14" t="s">
        <v>10</v>
      </c>
      <c r="F187" s="111">
        <v>42146</v>
      </c>
      <c r="G187" s="14" t="s">
        <v>4224</v>
      </c>
      <c r="H187" s="14" t="s">
        <v>4225</v>
      </c>
      <c r="I187" s="14" t="s">
        <v>4226</v>
      </c>
      <c r="J187" s="14" t="s">
        <v>3361</v>
      </c>
      <c r="K187" s="14" t="s">
        <v>3374</v>
      </c>
    </row>
    <row r="188" spans="1:11" s="90" customFormat="1" ht="15.75" thickBot="1" x14ac:dyDescent="0.3">
      <c r="A188" s="19">
        <v>188</v>
      </c>
      <c r="B188" s="14" t="s">
        <v>2494</v>
      </c>
      <c r="C188" s="14" t="s">
        <v>4227</v>
      </c>
      <c r="D188" s="14" t="s">
        <v>66</v>
      </c>
      <c r="E188" s="14" t="s">
        <v>59</v>
      </c>
      <c r="F188" s="111">
        <v>42217</v>
      </c>
      <c r="G188" s="14" t="s">
        <v>4228</v>
      </c>
      <c r="H188" s="14" t="s">
        <v>4229</v>
      </c>
      <c r="I188" s="14" t="s">
        <v>4230</v>
      </c>
      <c r="J188" s="14" t="s">
        <v>3361</v>
      </c>
      <c r="K188" s="14" t="s">
        <v>3374</v>
      </c>
    </row>
    <row r="189" spans="1:11" s="90" customFormat="1" ht="15.75" thickBot="1" x14ac:dyDescent="0.3">
      <c r="A189" s="19">
        <v>189</v>
      </c>
      <c r="B189" s="14" t="s">
        <v>2484</v>
      </c>
      <c r="C189" s="14" t="s">
        <v>4231</v>
      </c>
      <c r="D189" s="14" t="s">
        <v>66</v>
      </c>
      <c r="E189" s="14" t="s">
        <v>4232</v>
      </c>
      <c r="F189" s="111">
        <v>42224</v>
      </c>
      <c r="G189" s="14" t="s">
        <v>4233</v>
      </c>
      <c r="H189" s="14" t="s">
        <v>4234</v>
      </c>
      <c r="I189" s="14" t="s">
        <v>4235</v>
      </c>
      <c r="J189" s="14" t="s">
        <v>3361</v>
      </c>
      <c r="K189" s="14" t="s">
        <v>3374</v>
      </c>
    </row>
    <row r="190" spans="1:11" s="90" customFormat="1" ht="15.75" thickBot="1" x14ac:dyDescent="0.3">
      <c r="A190" s="19">
        <v>190</v>
      </c>
      <c r="B190" s="14" t="s">
        <v>2243</v>
      </c>
      <c r="C190" s="14" t="s">
        <v>4236</v>
      </c>
      <c r="D190" s="14" t="s">
        <v>66</v>
      </c>
      <c r="E190" s="14" t="s">
        <v>59</v>
      </c>
      <c r="F190" s="111">
        <v>42237</v>
      </c>
      <c r="G190" s="14" t="s">
        <v>4237</v>
      </c>
      <c r="H190" s="14" t="s">
        <v>4238</v>
      </c>
      <c r="I190" s="14" t="s">
        <v>4239</v>
      </c>
      <c r="J190" s="14" t="s">
        <v>3361</v>
      </c>
      <c r="K190" s="14" t="s">
        <v>3374</v>
      </c>
    </row>
    <row r="191" spans="1:11" s="90" customFormat="1" ht="15.75" thickBot="1" x14ac:dyDescent="0.3">
      <c r="A191" s="19">
        <v>191</v>
      </c>
      <c r="B191" s="14" t="s">
        <v>2383</v>
      </c>
      <c r="C191" s="14" t="s">
        <v>4240</v>
      </c>
      <c r="D191" s="14" t="s">
        <v>66</v>
      </c>
      <c r="E191" s="14" t="s">
        <v>59</v>
      </c>
      <c r="F191" s="111">
        <v>42240</v>
      </c>
      <c r="G191" s="14" t="s">
        <v>4241</v>
      </c>
      <c r="H191" s="14" t="s">
        <v>4242</v>
      </c>
      <c r="I191" s="14" t="s">
        <v>4243</v>
      </c>
      <c r="J191" s="14" t="s">
        <v>3361</v>
      </c>
      <c r="K191" s="14" t="s">
        <v>3374</v>
      </c>
    </row>
    <row r="192" spans="1:11" s="90" customFormat="1" ht="15.75" thickBot="1" x14ac:dyDescent="0.3">
      <c r="A192" s="19">
        <v>192</v>
      </c>
      <c r="B192" s="14" t="s">
        <v>726</v>
      </c>
      <c r="C192" s="14" t="s">
        <v>4244</v>
      </c>
      <c r="D192" s="14" t="s">
        <v>2</v>
      </c>
      <c r="E192" s="14" t="s">
        <v>10</v>
      </c>
      <c r="F192" s="111">
        <v>42244</v>
      </c>
      <c r="G192" s="14" t="s">
        <v>4245</v>
      </c>
      <c r="H192" s="14" t="s">
        <v>4246</v>
      </c>
      <c r="I192" s="14" t="s">
        <v>4247</v>
      </c>
      <c r="J192" s="14" t="s">
        <v>3361</v>
      </c>
      <c r="K192" s="14" t="s">
        <v>3374</v>
      </c>
    </row>
    <row r="193" spans="1:11" s="90" customFormat="1" ht="15.75" thickBot="1" x14ac:dyDescent="0.3">
      <c r="A193" s="19">
        <v>193</v>
      </c>
      <c r="B193" s="14" t="s">
        <v>2271</v>
      </c>
      <c r="C193" s="14" t="s">
        <v>4248</v>
      </c>
      <c r="D193" s="14" t="s">
        <v>2</v>
      </c>
      <c r="E193" s="14" t="s">
        <v>10</v>
      </c>
      <c r="F193" s="111">
        <v>42250</v>
      </c>
      <c r="G193" s="14" t="s">
        <v>4249</v>
      </c>
      <c r="H193" s="14" t="s">
        <v>4250</v>
      </c>
      <c r="I193" s="14" t="s">
        <v>4251</v>
      </c>
      <c r="J193" s="14" t="s">
        <v>3361</v>
      </c>
      <c r="K193" s="14" t="s">
        <v>3374</v>
      </c>
    </row>
    <row r="194" spans="1:11" s="90" customFormat="1" ht="15.75" thickBot="1" x14ac:dyDescent="0.3">
      <c r="A194" s="19">
        <v>194</v>
      </c>
      <c r="B194" s="14" t="s">
        <v>2250</v>
      </c>
      <c r="C194" s="14" t="s">
        <v>4252</v>
      </c>
      <c r="D194" s="14" t="s">
        <v>66</v>
      </c>
      <c r="E194" s="14" t="s">
        <v>10</v>
      </c>
      <c r="F194" s="111">
        <v>42262</v>
      </c>
      <c r="G194" s="14" t="s">
        <v>4253</v>
      </c>
      <c r="H194" s="14" t="s">
        <v>4254</v>
      </c>
      <c r="I194" s="14" t="s">
        <v>4255</v>
      </c>
      <c r="J194" s="14" t="s">
        <v>3361</v>
      </c>
      <c r="K194" s="14" t="s">
        <v>3374</v>
      </c>
    </row>
    <row r="195" spans="1:11" s="90" customFormat="1" ht="15.75" thickBot="1" x14ac:dyDescent="0.3">
      <c r="A195" s="19">
        <v>195</v>
      </c>
      <c r="B195" s="14" t="s">
        <v>2553</v>
      </c>
      <c r="C195" s="14" t="s">
        <v>4256</v>
      </c>
      <c r="D195" s="14" t="s">
        <v>66</v>
      </c>
      <c r="E195" s="14" t="s">
        <v>10</v>
      </c>
      <c r="F195" s="111">
        <v>42279</v>
      </c>
      <c r="G195" s="14" t="s">
        <v>4257</v>
      </c>
      <c r="H195" s="14" t="s">
        <v>4258</v>
      </c>
      <c r="I195" s="14" t="s">
        <v>4259</v>
      </c>
      <c r="J195" s="14" t="s">
        <v>3361</v>
      </c>
      <c r="K195" s="14" t="s">
        <v>3374</v>
      </c>
    </row>
    <row r="196" spans="1:11" s="90" customFormat="1" ht="15.75" thickBot="1" x14ac:dyDescent="0.3">
      <c r="A196" s="19">
        <v>196</v>
      </c>
      <c r="B196" s="14" t="s">
        <v>2620</v>
      </c>
      <c r="C196" s="14" t="s">
        <v>4260</v>
      </c>
      <c r="D196" s="14" t="s">
        <v>2</v>
      </c>
      <c r="E196" s="14" t="s">
        <v>4261</v>
      </c>
      <c r="F196" s="111">
        <v>42325</v>
      </c>
      <c r="G196" s="14" t="s">
        <v>4262</v>
      </c>
      <c r="H196" s="14" t="s">
        <v>4263</v>
      </c>
      <c r="I196" s="14" t="s">
        <v>4264</v>
      </c>
      <c r="J196" s="14" t="s">
        <v>3361</v>
      </c>
      <c r="K196" s="14" t="s">
        <v>3374</v>
      </c>
    </row>
    <row r="197" spans="1:11" s="90" customFormat="1" ht="15.75" thickBot="1" x14ac:dyDescent="0.3">
      <c r="A197" s="19">
        <v>197</v>
      </c>
      <c r="B197" s="14" t="s">
        <v>2217</v>
      </c>
      <c r="C197" s="14" t="s">
        <v>4265</v>
      </c>
      <c r="D197" s="14" t="s">
        <v>2</v>
      </c>
      <c r="E197" s="14" t="s">
        <v>2709</v>
      </c>
      <c r="F197" s="111">
        <v>42327</v>
      </c>
      <c r="G197" s="14" t="s">
        <v>4266</v>
      </c>
      <c r="H197" s="14" t="s">
        <v>4267</v>
      </c>
      <c r="I197" s="14" t="s">
        <v>4268</v>
      </c>
      <c r="J197" s="14" t="s">
        <v>3361</v>
      </c>
      <c r="K197" s="14" t="s">
        <v>3374</v>
      </c>
    </row>
    <row r="198" spans="1:11" s="90" customFormat="1" ht="15.75" thickBot="1" x14ac:dyDescent="0.3">
      <c r="A198" s="19">
        <v>198</v>
      </c>
      <c r="B198" s="14" t="s">
        <v>2361</v>
      </c>
      <c r="C198" s="14" t="s">
        <v>4269</v>
      </c>
      <c r="D198" s="14" t="s">
        <v>2</v>
      </c>
      <c r="E198" s="14" t="s">
        <v>10</v>
      </c>
      <c r="F198" s="111">
        <v>42330</v>
      </c>
      <c r="G198" s="14" t="s">
        <v>4270</v>
      </c>
      <c r="H198" s="14" t="s">
        <v>4271</v>
      </c>
      <c r="I198" s="14" t="s">
        <v>4272</v>
      </c>
      <c r="J198" s="14" t="s">
        <v>3361</v>
      </c>
      <c r="K198" s="14" t="s">
        <v>3374</v>
      </c>
    </row>
    <row r="199" spans="1:11" s="90" customFormat="1" ht="15.75" thickBot="1" x14ac:dyDescent="0.3">
      <c r="A199" s="19">
        <v>199</v>
      </c>
      <c r="B199" s="14" t="s">
        <v>794</v>
      </c>
      <c r="C199" s="14" t="s">
        <v>4273</v>
      </c>
      <c r="D199" s="14" t="s">
        <v>66</v>
      </c>
      <c r="E199" s="14" t="s">
        <v>10</v>
      </c>
      <c r="F199" s="111">
        <v>42360</v>
      </c>
      <c r="G199" s="14" t="s">
        <v>4274</v>
      </c>
      <c r="H199" s="14" t="s">
        <v>4275</v>
      </c>
      <c r="I199" s="14" t="s">
        <v>4276</v>
      </c>
      <c r="J199" s="14" t="s">
        <v>3361</v>
      </c>
      <c r="K199" s="14" t="s">
        <v>3374</v>
      </c>
    </row>
    <row r="200" spans="1:11" s="90" customFormat="1" ht="15.75" thickBot="1" x14ac:dyDescent="0.3">
      <c r="A200" s="19">
        <v>200</v>
      </c>
      <c r="B200" s="14" t="s">
        <v>656</v>
      </c>
      <c r="C200" s="14" t="s">
        <v>4277</v>
      </c>
      <c r="D200" s="14" t="s">
        <v>2</v>
      </c>
      <c r="E200" s="14" t="s">
        <v>328</v>
      </c>
      <c r="F200" s="111">
        <v>42365</v>
      </c>
      <c r="G200" s="14" t="s">
        <v>4278</v>
      </c>
      <c r="H200" s="14" t="s">
        <v>4279</v>
      </c>
      <c r="I200" s="14" t="s">
        <v>4280</v>
      </c>
      <c r="J200" s="14" t="s">
        <v>3361</v>
      </c>
      <c r="K200" s="14" t="s">
        <v>3374</v>
      </c>
    </row>
    <row r="201" spans="1:11" s="90" customFormat="1" ht="15.75" thickBot="1" x14ac:dyDescent="0.3">
      <c r="A201" s="19">
        <v>201</v>
      </c>
      <c r="B201" s="14" t="s">
        <v>2457</v>
      </c>
      <c r="C201" s="14" t="s">
        <v>4281</v>
      </c>
      <c r="D201" s="14" t="s">
        <v>2</v>
      </c>
      <c r="E201" s="14" t="s">
        <v>10</v>
      </c>
      <c r="F201" s="111">
        <v>42376</v>
      </c>
      <c r="G201" s="14" t="s">
        <v>4282</v>
      </c>
      <c r="H201" s="14" t="s">
        <v>4283</v>
      </c>
      <c r="I201" s="14" t="s">
        <v>4284</v>
      </c>
      <c r="J201" s="14" t="s">
        <v>3361</v>
      </c>
      <c r="K201" s="14" t="s">
        <v>3374</v>
      </c>
    </row>
    <row r="202" spans="1:11" s="90" customFormat="1" ht="15.75" thickBot="1" x14ac:dyDescent="0.3">
      <c r="A202" s="19">
        <v>202</v>
      </c>
      <c r="B202" s="14" t="s">
        <v>2429</v>
      </c>
      <c r="C202" s="14" t="s">
        <v>4285</v>
      </c>
      <c r="D202" s="14" t="s">
        <v>2</v>
      </c>
      <c r="E202" s="14" t="s">
        <v>10</v>
      </c>
      <c r="F202" s="111">
        <v>42387</v>
      </c>
      <c r="G202" s="14" t="s">
        <v>4286</v>
      </c>
      <c r="H202" s="14" t="s">
        <v>4287</v>
      </c>
      <c r="I202" s="14" t="s">
        <v>4288</v>
      </c>
      <c r="J202" s="14" t="s">
        <v>3361</v>
      </c>
      <c r="K202" s="14" t="s">
        <v>3374</v>
      </c>
    </row>
    <row r="203" spans="1:11" s="90" customFormat="1" ht="15.75" thickBot="1" x14ac:dyDescent="0.3">
      <c r="A203" s="19">
        <v>203</v>
      </c>
      <c r="B203" s="14" t="s">
        <v>2533</v>
      </c>
      <c r="C203" s="14" t="s">
        <v>4289</v>
      </c>
      <c r="D203" s="14" t="s">
        <v>2</v>
      </c>
      <c r="E203" s="14" t="s">
        <v>116</v>
      </c>
      <c r="F203" s="111">
        <v>42392</v>
      </c>
      <c r="G203" s="14" t="s">
        <v>4290</v>
      </c>
      <c r="H203" s="14" t="s">
        <v>4291</v>
      </c>
      <c r="I203" s="14" t="s">
        <v>4292</v>
      </c>
      <c r="J203" s="14" t="s">
        <v>3361</v>
      </c>
      <c r="K203" s="14" t="s">
        <v>3374</v>
      </c>
    </row>
    <row r="204" spans="1:11" s="90" customFormat="1" ht="15.75" thickBot="1" x14ac:dyDescent="0.3">
      <c r="A204" s="19">
        <v>204</v>
      </c>
      <c r="B204" s="14" t="s">
        <v>2560</v>
      </c>
      <c r="C204" s="14" t="s">
        <v>4293</v>
      </c>
      <c r="D204" s="14" t="s">
        <v>2</v>
      </c>
      <c r="E204" s="14" t="s">
        <v>116</v>
      </c>
      <c r="F204" s="111">
        <v>42392</v>
      </c>
      <c r="G204" s="14" t="s">
        <v>4290</v>
      </c>
      <c r="H204" s="14" t="s">
        <v>4291</v>
      </c>
      <c r="I204" s="14" t="s">
        <v>4294</v>
      </c>
      <c r="J204" s="14" t="s">
        <v>3361</v>
      </c>
      <c r="K204" s="14" t="s">
        <v>3374</v>
      </c>
    </row>
    <row r="205" spans="1:11" s="90" customFormat="1" ht="15.75" thickBot="1" x14ac:dyDescent="0.3">
      <c r="A205" s="19">
        <v>205</v>
      </c>
      <c r="B205" s="14" t="s">
        <v>2236</v>
      </c>
      <c r="C205" s="14" t="s">
        <v>4295</v>
      </c>
      <c r="D205" s="14" t="s">
        <v>2</v>
      </c>
      <c r="E205" s="14" t="s">
        <v>10</v>
      </c>
      <c r="F205" s="111">
        <v>42407</v>
      </c>
      <c r="G205" s="14" t="s">
        <v>4296</v>
      </c>
      <c r="H205" s="14" t="s">
        <v>4297</v>
      </c>
      <c r="I205" s="14" t="s">
        <v>4298</v>
      </c>
      <c r="J205" s="14" t="s">
        <v>3361</v>
      </c>
      <c r="K205" s="14" t="s">
        <v>3374</v>
      </c>
    </row>
    <row r="206" spans="1:11" s="90" customFormat="1" ht="15.75" thickBot="1" x14ac:dyDescent="0.3">
      <c r="A206" s="19">
        <v>206</v>
      </c>
      <c r="B206" s="14" t="s">
        <v>2464</v>
      </c>
      <c r="C206" s="14" t="s">
        <v>4299</v>
      </c>
      <c r="D206" s="14" t="s">
        <v>66</v>
      </c>
      <c r="E206" s="14" t="s">
        <v>10</v>
      </c>
      <c r="F206" s="111">
        <v>42439</v>
      </c>
      <c r="G206" s="14" t="s">
        <v>4300</v>
      </c>
      <c r="H206" s="14" t="s">
        <v>439</v>
      </c>
      <c r="I206" s="14" t="s">
        <v>4301</v>
      </c>
      <c r="J206" s="14" t="s">
        <v>3361</v>
      </c>
      <c r="K206" s="14" t="s">
        <v>3374</v>
      </c>
    </row>
    <row r="207" spans="1:11" s="90" customFormat="1" ht="15.75" thickBot="1" x14ac:dyDescent="0.3">
      <c r="A207" s="19">
        <v>207</v>
      </c>
      <c r="B207" s="14" t="s">
        <v>2391</v>
      </c>
      <c r="C207" s="14" t="s">
        <v>4302</v>
      </c>
      <c r="D207" s="14" t="s">
        <v>2</v>
      </c>
      <c r="E207" s="14" t="s">
        <v>10</v>
      </c>
      <c r="F207" s="111">
        <v>42440</v>
      </c>
      <c r="G207" s="14" t="s">
        <v>4303</v>
      </c>
      <c r="H207" s="14" t="s">
        <v>4304</v>
      </c>
      <c r="I207" s="14" t="s">
        <v>4305</v>
      </c>
      <c r="J207" s="14" t="s">
        <v>3361</v>
      </c>
      <c r="K207" s="14" t="s">
        <v>3374</v>
      </c>
    </row>
    <row r="208" spans="1:11" s="90" customFormat="1" ht="15.75" thickBot="1" x14ac:dyDescent="0.3">
      <c r="A208" s="19">
        <v>208</v>
      </c>
      <c r="B208" s="14" t="s">
        <v>2210</v>
      </c>
      <c r="C208" s="14" t="s">
        <v>4306</v>
      </c>
      <c r="D208" s="14" t="s">
        <v>2</v>
      </c>
      <c r="E208" s="14" t="s">
        <v>10</v>
      </c>
      <c r="F208" s="111">
        <v>42444</v>
      </c>
      <c r="G208" s="14" t="s">
        <v>4307</v>
      </c>
      <c r="H208" s="14" t="s">
        <v>4308</v>
      </c>
      <c r="I208" s="14" t="s">
        <v>4309</v>
      </c>
      <c r="J208" s="14" t="s">
        <v>3361</v>
      </c>
      <c r="K208" s="14" t="s">
        <v>3374</v>
      </c>
    </row>
    <row r="209" spans="1:11" s="90" customFormat="1" ht="15.75" thickBot="1" x14ac:dyDescent="0.3">
      <c r="A209" s="19">
        <v>209</v>
      </c>
      <c r="B209" s="14" t="s">
        <v>2800</v>
      </c>
      <c r="C209" s="14" t="s">
        <v>4310</v>
      </c>
      <c r="D209" s="14" t="s">
        <v>66</v>
      </c>
      <c r="E209" s="14" t="s">
        <v>10</v>
      </c>
      <c r="F209" s="111">
        <v>42467</v>
      </c>
      <c r="G209" s="14" t="s">
        <v>4311</v>
      </c>
      <c r="H209" s="14" t="s">
        <v>4312</v>
      </c>
      <c r="I209" s="14" t="s">
        <v>4313</v>
      </c>
      <c r="J209" s="14" t="s">
        <v>3361</v>
      </c>
      <c r="K209" s="14" t="s">
        <v>3374</v>
      </c>
    </row>
    <row r="210" spans="1:11" s="90" customFormat="1" ht="15.75" thickBot="1" x14ac:dyDescent="0.3">
      <c r="A210" s="19">
        <v>210</v>
      </c>
      <c r="B210" s="14" t="s">
        <v>2592</v>
      </c>
      <c r="C210" s="14" t="s">
        <v>4314</v>
      </c>
      <c r="D210" s="14" t="s">
        <v>66</v>
      </c>
      <c r="E210" s="14" t="s">
        <v>59</v>
      </c>
      <c r="F210" s="111">
        <v>42474</v>
      </c>
      <c r="G210" s="14" t="s">
        <v>4315</v>
      </c>
      <c r="H210" s="14" t="s">
        <v>4316</v>
      </c>
      <c r="I210" s="14" t="s">
        <v>4317</v>
      </c>
      <c r="J210" s="14" t="s">
        <v>3361</v>
      </c>
      <c r="K210" s="14" t="s">
        <v>3374</v>
      </c>
    </row>
    <row r="211" spans="1:11" s="90" customFormat="1" ht="15.75" thickBot="1" x14ac:dyDescent="0.3">
      <c r="A211" s="19">
        <v>211</v>
      </c>
      <c r="B211" s="14" t="s">
        <v>2779</v>
      </c>
      <c r="C211" s="14" t="s">
        <v>4318</v>
      </c>
      <c r="D211" s="14" t="s">
        <v>2</v>
      </c>
      <c r="E211" s="14" t="s">
        <v>10</v>
      </c>
      <c r="F211" s="111">
        <v>42476</v>
      </c>
      <c r="G211" s="14" t="s">
        <v>4319</v>
      </c>
      <c r="H211" s="14" t="s">
        <v>4320</v>
      </c>
      <c r="I211" s="14" t="s">
        <v>4321</v>
      </c>
      <c r="J211" s="14" t="s">
        <v>3361</v>
      </c>
      <c r="K211" s="14" t="s">
        <v>3374</v>
      </c>
    </row>
    <row r="212" spans="1:11" s="90" customFormat="1" ht="15.75" thickBot="1" x14ac:dyDescent="0.3">
      <c r="A212" s="19">
        <v>212</v>
      </c>
      <c r="B212" s="14" t="s">
        <v>2278</v>
      </c>
      <c r="C212" s="14" t="s">
        <v>4322</v>
      </c>
      <c r="D212" s="14" t="s">
        <v>2</v>
      </c>
      <c r="E212" s="14" t="s">
        <v>10</v>
      </c>
      <c r="F212" s="111">
        <v>42485</v>
      </c>
      <c r="G212" s="14" t="s">
        <v>4323</v>
      </c>
      <c r="H212" s="14" t="s">
        <v>4324</v>
      </c>
      <c r="I212" s="14" t="s">
        <v>4325</v>
      </c>
      <c r="J212" s="14" t="s">
        <v>3361</v>
      </c>
      <c r="K212" s="14" t="s">
        <v>3374</v>
      </c>
    </row>
    <row r="213" spans="1:11" s="90" customFormat="1" ht="15.75" thickBot="1" x14ac:dyDescent="0.3">
      <c r="A213" s="19">
        <v>213</v>
      </c>
      <c r="B213" s="14" t="s">
        <v>2585</v>
      </c>
      <c r="C213" s="14" t="s">
        <v>4326</v>
      </c>
      <c r="D213" s="14" t="s">
        <v>66</v>
      </c>
      <c r="E213" s="14" t="s">
        <v>10</v>
      </c>
      <c r="F213" s="111">
        <v>42544</v>
      </c>
      <c r="G213" s="14" t="s">
        <v>4327</v>
      </c>
      <c r="H213" s="14" t="s">
        <v>4328</v>
      </c>
      <c r="I213" s="14" t="s">
        <v>4329</v>
      </c>
      <c r="J213" s="14" t="s">
        <v>3361</v>
      </c>
      <c r="K213" s="14" t="s">
        <v>3374</v>
      </c>
    </row>
    <row r="214" spans="1:11" s="90" customFormat="1" ht="15.75" thickBot="1" x14ac:dyDescent="0.3">
      <c r="A214" s="19">
        <v>214</v>
      </c>
      <c r="B214" s="14" t="s">
        <v>2205</v>
      </c>
      <c r="C214" s="14" t="s">
        <v>4330</v>
      </c>
      <c r="D214" s="14" t="s">
        <v>66</v>
      </c>
      <c r="E214" s="14" t="s">
        <v>4331</v>
      </c>
      <c r="F214" s="111">
        <v>42563</v>
      </c>
      <c r="G214" s="14" t="s">
        <v>4332</v>
      </c>
      <c r="H214" s="14" t="s">
        <v>4333</v>
      </c>
      <c r="I214" s="14" t="s">
        <v>4334</v>
      </c>
      <c r="J214" s="14" t="s">
        <v>3361</v>
      </c>
      <c r="K214" s="14" t="s">
        <v>3374</v>
      </c>
    </row>
    <row r="215" spans="1:11" s="90" customFormat="1" ht="15.75" thickBot="1" x14ac:dyDescent="0.3">
      <c r="A215" s="19">
        <v>215</v>
      </c>
      <c r="B215" s="14" t="s">
        <v>2567</v>
      </c>
      <c r="C215" s="14" t="s">
        <v>4335</v>
      </c>
      <c r="D215" s="14" t="s">
        <v>66</v>
      </c>
      <c r="E215" s="14" t="s">
        <v>10</v>
      </c>
      <c r="F215" s="111">
        <v>42564</v>
      </c>
      <c r="G215" s="14" t="s">
        <v>4336</v>
      </c>
      <c r="H215" s="14" t="s">
        <v>4337</v>
      </c>
      <c r="I215" s="14" t="s">
        <v>4338</v>
      </c>
      <c r="J215" s="14" t="s">
        <v>3361</v>
      </c>
      <c r="K215" s="14" t="s">
        <v>3374</v>
      </c>
    </row>
    <row r="216" spans="1:11" s="90" customFormat="1" ht="15.75" thickBot="1" x14ac:dyDescent="0.3">
      <c r="A216" s="19">
        <v>216</v>
      </c>
      <c r="B216" s="14" t="s">
        <v>2793</v>
      </c>
      <c r="C216" s="14" t="s">
        <v>4339</v>
      </c>
      <c r="D216" s="14" t="s">
        <v>2</v>
      </c>
      <c r="E216" s="14" t="s">
        <v>10</v>
      </c>
      <c r="F216" s="111">
        <v>42567</v>
      </c>
      <c r="G216" s="14" t="s">
        <v>4340</v>
      </c>
      <c r="H216" s="14" t="s">
        <v>4341</v>
      </c>
      <c r="I216" s="14" t="s">
        <v>4342</v>
      </c>
      <c r="J216" s="14" t="s">
        <v>3361</v>
      </c>
      <c r="K216" s="14" t="s">
        <v>3374</v>
      </c>
    </row>
    <row r="217" spans="1:11" s="90" customFormat="1" ht="15.75" thickBot="1" x14ac:dyDescent="0.3">
      <c r="A217" s="19">
        <v>217</v>
      </c>
      <c r="B217" s="14" t="s">
        <v>2307</v>
      </c>
      <c r="C217" s="14" t="s">
        <v>4343</v>
      </c>
      <c r="D217" s="14" t="s">
        <v>2</v>
      </c>
      <c r="E217" s="14" t="s">
        <v>116</v>
      </c>
      <c r="F217" s="111">
        <v>42577</v>
      </c>
      <c r="G217" s="14" t="s">
        <v>4344</v>
      </c>
      <c r="H217" s="14" t="s">
        <v>4345</v>
      </c>
      <c r="I217" s="14" t="s">
        <v>4346</v>
      </c>
      <c r="J217" s="14" t="s">
        <v>3361</v>
      </c>
      <c r="K217" s="14" t="s">
        <v>3374</v>
      </c>
    </row>
    <row r="218" spans="1:11" s="90" customFormat="1" ht="15.75" thickBot="1" x14ac:dyDescent="0.3">
      <c r="A218" s="19">
        <v>218</v>
      </c>
      <c r="B218" s="14" t="s">
        <v>2806</v>
      </c>
      <c r="C218" s="14" t="s">
        <v>4347</v>
      </c>
      <c r="D218" s="14" t="s">
        <v>2</v>
      </c>
      <c r="E218" s="14" t="s">
        <v>59</v>
      </c>
      <c r="F218" s="111">
        <v>42648</v>
      </c>
      <c r="G218" s="14" t="s">
        <v>4348</v>
      </c>
      <c r="H218" s="14" t="s">
        <v>4349</v>
      </c>
      <c r="I218" s="14" t="s">
        <v>4350</v>
      </c>
      <c r="J218" s="14" t="s">
        <v>3361</v>
      </c>
      <c r="K218" s="14" t="s">
        <v>3374</v>
      </c>
    </row>
    <row r="219" spans="1:11" s="90" customFormat="1" ht="15.75" thickBot="1" x14ac:dyDescent="0.3">
      <c r="A219" s="19">
        <v>219</v>
      </c>
      <c r="B219" s="14" t="s">
        <v>2722</v>
      </c>
      <c r="C219" s="14" t="s">
        <v>4351</v>
      </c>
      <c r="D219" s="14" t="s">
        <v>2</v>
      </c>
      <c r="E219" s="14" t="s">
        <v>59</v>
      </c>
      <c r="F219" s="111">
        <v>42768</v>
      </c>
      <c r="G219" s="14" t="s">
        <v>4352</v>
      </c>
      <c r="H219" s="14" t="s">
        <v>4353</v>
      </c>
      <c r="I219" s="14" t="s">
        <v>4354</v>
      </c>
      <c r="J219" s="14" t="s">
        <v>3361</v>
      </c>
      <c r="K219" s="14" t="s">
        <v>3374</v>
      </c>
    </row>
    <row r="220" spans="1:11" s="90" customFormat="1" ht="15.75" thickBot="1" x14ac:dyDescent="0.3">
      <c r="A220" s="19">
        <v>220</v>
      </c>
      <c r="B220" s="14" t="s">
        <v>2667</v>
      </c>
      <c r="C220" s="14" t="s">
        <v>4355</v>
      </c>
      <c r="D220" s="14" t="s">
        <v>2</v>
      </c>
      <c r="E220" s="14" t="s">
        <v>116</v>
      </c>
      <c r="F220" s="111">
        <v>42772</v>
      </c>
      <c r="G220" s="14" t="s">
        <v>4356</v>
      </c>
      <c r="H220" s="14" t="s">
        <v>4357</v>
      </c>
      <c r="I220" s="14" t="s">
        <v>4358</v>
      </c>
      <c r="J220" s="14" t="s">
        <v>3361</v>
      </c>
      <c r="K220" s="14" t="s">
        <v>3374</v>
      </c>
    </row>
    <row r="221" spans="1:11" s="90" customFormat="1" ht="15.75" thickBot="1" x14ac:dyDescent="0.3">
      <c r="A221" s="19">
        <v>221</v>
      </c>
      <c r="B221" s="14" t="s">
        <v>2757</v>
      </c>
      <c r="C221" s="14" t="s">
        <v>4359</v>
      </c>
      <c r="D221" s="14" t="s">
        <v>2</v>
      </c>
      <c r="E221" s="14" t="s">
        <v>10</v>
      </c>
      <c r="F221" s="111">
        <v>42820</v>
      </c>
      <c r="G221" s="14" t="s">
        <v>4360</v>
      </c>
      <c r="H221" s="14" t="s">
        <v>4361</v>
      </c>
      <c r="I221" s="14" t="s">
        <v>4362</v>
      </c>
      <c r="J221" s="14" t="s">
        <v>3361</v>
      </c>
      <c r="K221" s="14" t="s">
        <v>3374</v>
      </c>
    </row>
    <row r="222" spans="1:11" s="90" customFormat="1" ht="15.75" thickBot="1" x14ac:dyDescent="0.3">
      <c r="A222" s="19">
        <v>222</v>
      </c>
      <c r="B222" s="14" t="s">
        <v>2642</v>
      </c>
      <c r="C222" s="14" t="s">
        <v>4363</v>
      </c>
      <c r="D222" s="14" t="s">
        <v>2</v>
      </c>
      <c r="E222" s="14" t="s">
        <v>10</v>
      </c>
      <c r="F222" s="111">
        <v>42831</v>
      </c>
      <c r="G222" s="14" t="s">
        <v>4364</v>
      </c>
      <c r="H222" s="14" t="s">
        <v>4365</v>
      </c>
      <c r="I222" s="14" t="s">
        <v>4366</v>
      </c>
      <c r="J222" s="14" t="s">
        <v>3361</v>
      </c>
      <c r="K222" s="14" t="s">
        <v>3374</v>
      </c>
    </row>
    <row r="223" spans="1:11" s="90" customFormat="1" ht="15.75" thickBot="1" x14ac:dyDescent="0.3">
      <c r="A223" s="19">
        <v>223</v>
      </c>
      <c r="B223" s="14" t="s">
        <v>2679</v>
      </c>
      <c r="C223" s="14" t="s">
        <v>4367</v>
      </c>
      <c r="D223" s="14" t="s">
        <v>2</v>
      </c>
      <c r="E223" s="14" t="s">
        <v>10</v>
      </c>
      <c r="F223" s="111">
        <v>42901</v>
      </c>
      <c r="G223" s="14" t="s">
        <v>3532</v>
      </c>
      <c r="H223" s="14" t="s">
        <v>2419</v>
      </c>
      <c r="I223" s="14" t="s">
        <v>4368</v>
      </c>
      <c r="J223" s="14" t="s">
        <v>3361</v>
      </c>
      <c r="K223" s="14" t="s">
        <v>3374</v>
      </c>
    </row>
    <row r="224" spans="1:11" s="90" customFormat="1" ht="15.75" thickBot="1" x14ac:dyDescent="0.3">
      <c r="A224" s="19">
        <v>224</v>
      </c>
      <c r="B224" s="14" t="s">
        <v>2816</v>
      </c>
      <c r="C224" s="14" t="s">
        <v>4369</v>
      </c>
      <c r="D224" s="14" t="s">
        <v>2</v>
      </c>
      <c r="E224" s="14" t="s">
        <v>10</v>
      </c>
      <c r="F224" s="111">
        <v>43026</v>
      </c>
      <c r="G224" s="14" t="s">
        <v>4370</v>
      </c>
      <c r="H224" s="14" t="s">
        <v>4371</v>
      </c>
      <c r="I224" s="14" t="s">
        <v>4372</v>
      </c>
      <c r="J224" s="14" t="s">
        <v>3361</v>
      </c>
      <c r="K224" s="14" t="s">
        <v>3374</v>
      </c>
    </row>
    <row r="225" spans="1:11" s="90" customFormat="1" ht="15.75" thickBot="1" x14ac:dyDescent="0.3">
      <c r="A225" s="19">
        <v>225</v>
      </c>
      <c r="B225" s="14" t="s">
        <v>2812</v>
      </c>
      <c r="C225" s="14" t="s">
        <v>4373</v>
      </c>
      <c r="D225" s="14" t="s">
        <v>2</v>
      </c>
      <c r="E225" s="14" t="s">
        <v>10</v>
      </c>
      <c r="F225" s="111">
        <v>43048</v>
      </c>
      <c r="G225" s="14" t="s">
        <v>4374</v>
      </c>
      <c r="H225" s="14" t="s">
        <v>4375</v>
      </c>
      <c r="I225" s="14" t="s">
        <v>4376</v>
      </c>
      <c r="J225" s="14" t="s">
        <v>3361</v>
      </c>
      <c r="K225" s="14" t="s">
        <v>3374</v>
      </c>
    </row>
    <row r="226" spans="1:11" s="90" customFormat="1" ht="15.75" thickBot="1" x14ac:dyDescent="0.3">
      <c r="A226" s="19">
        <v>226</v>
      </c>
      <c r="B226" s="14" t="s">
        <v>2375</v>
      </c>
      <c r="C226" s="14" t="s">
        <v>4377</v>
      </c>
      <c r="D226" s="14" t="s">
        <v>66</v>
      </c>
      <c r="E226" s="14" t="s">
        <v>10</v>
      </c>
      <c r="F226" s="111">
        <v>42496</v>
      </c>
      <c r="G226" s="14" t="s">
        <v>4378</v>
      </c>
      <c r="H226" s="14" t="s">
        <v>4379</v>
      </c>
      <c r="I226" s="14" t="s">
        <v>4380</v>
      </c>
      <c r="J226" s="14" t="s">
        <v>3361</v>
      </c>
      <c r="K226" s="14" t="s">
        <v>3374</v>
      </c>
    </row>
    <row r="227" spans="1:11" s="90" customFormat="1" ht="15.75" thickBot="1" x14ac:dyDescent="0.3">
      <c r="A227" s="19">
        <v>227</v>
      </c>
      <c r="B227" s="14" t="s">
        <v>4381</v>
      </c>
      <c r="C227" s="14" t="s">
        <v>4382</v>
      </c>
      <c r="D227" s="14" t="s">
        <v>66</v>
      </c>
      <c r="E227" s="14" t="s">
        <v>10</v>
      </c>
      <c r="F227" s="111">
        <v>41009</v>
      </c>
      <c r="G227" s="14" t="s">
        <v>4383</v>
      </c>
      <c r="H227" s="14" t="s">
        <v>4384</v>
      </c>
      <c r="I227" s="14" t="s">
        <v>4385</v>
      </c>
      <c r="J227" s="14" t="s">
        <v>3361</v>
      </c>
      <c r="K227" s="14" t="s">
        <v>3374</v>
      </c>
    </row>
    <row r="228" spans="1:11" ht="15.75" thickBot="1" x14ac:dyDescent="0.3">
      <c r="A228" s="103">
        <v>228</v>
      </c>
      <c r="B228" s="87" t="s">
        <v>4386</v>
      </c>
      <c r="C228" s="13" t="s">
        <v>285</v>
      </c>
      <c r="D228" s="13" t="s">
        <v>2</v>
      </c>
      <c r="E228" s="13" t="s">
        <v>28</v>
      </c>
      <c r="F228" s="109">
        <v>41826</v>
      </c>
      <c r="G228" s="13" t="s">
        <v>286</v>
      </c>
      <c r="H228" s="13" t="s">
        <v>287</v>
      </c>
      <c r="I228" s="13" t="s">
        <v>288</v>
      </c>
      <c r="J228" s="13" t="s">
        <v>289</v>
      </c>
      <c r="K228" s="13"/>
    </row>
    <row r="229" spans="1:11" ht="15.75" thickBot="1" x14ac:dyDescent="0.3">
      <c r="A229" s="103">
        <v>229</v>
      </c>
      <c r="B229" s="88" t="s">
        <v>4387</v>
      </c>
      <c r="C229" s="13" t="s">
        <v>291</v>
      </c>
      <c r="D229" s="13" t="s">
        <v>2</v>
      </c>
      <c r="E229" s="13" t="s">
        <v>28</v>
      </c>
      <c r="F229" s="109">
        <v>41995</v>
      </c>
      <c r="G229" s="13" t="s">
        <v>292</v>
      </c>
      <c r="H229" s="13" t="s">
        <v>293</v>
      </c>
      <c r="I229" s="13" t="s">
        <v>294</v>
      </c>
      <c r="J229" s="13" t="s">
        <v>289</v>
      </c>
      <c r="K229" s="13"/>
    </row>
    <row r="230" spans="1:11" ht="15.75" thickBot="1" x14ac:dyDescent="0.3">
      <c r="A230" s="103">
        <v>230</v>
      </c>
      <c r="B230" s="87" t="s">
        <v>4388</v>
      </c>
      <c r="C230" s="13" t="s">
        <v>749</v>
      </c>
      <c r="D230" s="13" t="s">
        <v>66</v>
      </c>
      <c r="E230" s="13" t="s">
        <v>28</v>
      </c>
      <c r="F230" s="109">
        <v>42478</v>
      </c>
      <c r="G230" s="13" t="s">
        <v>750</v>
      </c>
      <c r="H230" s="13" t="s">
        <v>751</v>
      </c>
      <c r="I230" s="13" t="s">
        <v>752</v>
      </c>
      <c r="J230" s="13" t="s">
        <v>753</v>
      </c>
      <c r="K230" s="13"/>
    </row>
    <row r="231" spans="1:11" ht="15.75" thickBot="1" x14ac:dyDescent="0.3">
      <c r="A231" s="103">
        <v>231</v>
      </c>
      <c r="B231" s="88" t="s">
        <v>4389</v>
      </c>
      <c r="C231" s="13" t="s">
        <v>2615</v>
      </c>
      <c r="D231" s="13" t="s">
        <v>66</v>
      </c>
      <c r="E231" s="13" t="s">
        <v>28</v>
      </c>
      <c r="F231" s="109">
        <v>41758</v>
      </c>
      <c r="G231" s="13" t="s">
        <v>2616</v>
      </c>
      <c r="H231" s="13" t="s">
        <v>2617</v>
      </c>
      <c r="I231" s="13" t="s">
        <v>3255</v>
      </c>
      <c r="J231" s="13" t="s">
        <v>753</v>
      </c>
      <c r="K231" s="13"/>
    </row>
    <row r="232" spans="1:11" ht="15.75" thickBot="1" x14ac:dyDescent="0.3">
      <c r="A232" s="103">
        <v>232</v>
      </c>
      <c r="B232" s="87" t="s">
        <v>4390</v>
      </c>
      <c r="C232" s="13" t="s">
        <v>2638</v>
      </c>
      <c r="D232" s="13" t="s">
        <v>66</v>
      </c>
      <c r="E232" s="13" t="s">
        <v>28</v>
      </c>
      <c r="F232" s="109">
        <v>42047</v>
      </c>
      <c r="G232" s="13" t="s">
        <v>2639</v>
      </c>
      <c r="H232" s="13" t="s">
        <v>2640</v>
      </c>
      <c r="I232" s="13" t="s">
        <v>3259</v>
      </c>
      <c r="J232" s="13" t="s">
        <v>753</v>
      </c>
      <c r="K232" s="13"/>
    </row>
    <row r="233" spans="1:11" ht="15.75" thickBot="1" x14ac:dyDescent="0.3">
      <c r="A233" s="103">
        <v>233</v>
      </c>
      <c r="B233" s="88" t="s">
        <v>4391</v>
      </c>
      <c r="C233" s="13" t="s">
        <v>2675</v>
      </c>
      <c r="D233" s="13" t="s">
        <v>2</v>
      </c>
      <c r="E233" s="13" t="s">
        <v>28</v>
      </c>
      <c r="F233" s="109">
        <v>41991</v>
      </c>
      <c r="G233" s="13" t="s">
        <v>2676</v>
      </c>
      <c r="H233" s="13" t="s">
        <v>2677</v>
      </c>
      <c r="I233" s="13" t="s">
        <v>3267</v>
      </c>
      <c r="J233" s="13" t="s">
        <v>753</v>
      </c>
      <c r="K233" s="13"/>
    </row>
    <row r="234" spans="1:11" ht="15.75" thickBot="1" x14ac:dyDescent="0.3">
      <c r="A234" s="103">
        <v>234</v>
      </c>
      <c r="B234" s="87" t="s">
        <v>4392</v>
      </c>
      <c r="C234" s="13" t="s">
        <v>2718</v>
      </c>
      <c r="D234" s="13" t="s">
        <v>2</v>
      </c>
      <c r="E234" s="13" t="s">
        <v>28</v>
      </c>
      <c r="F234" s="109">
        <v>41868</v>
      </c>
      <c r="G234" s="13" t="s">
        <v>2719</v>
      </c>
      <c r="H234" s="13" t="s">
        <v>2720</v>
      </c>
      <c r="I234" s="13" t="s">
        <v>3274</v>
      </c>
      <c r="J234" s="13" t="s">
        <v>753</v>
      </c>
      <c r="K234" s="13"/>
    </row>
    <row r="235" spans="1:11" ht="15.75" thickBot="1" x14ac:dyDescent="0.3">
      <c r="A235" s="103">
        <v>235</v>
      </c>
      <c r="B235" s="88" t="s">
        <v>4393</v>
      </c>
      <c r="C235" s="13" t="s">
        <v>2753</v>
      </c>
      <c r="D235" s="13" t="s">
        <v>2</v>
      </c>
      <c r="E235" s="13" t="s">
        <v>28</v>
      </c>
      <c r="F235" s="109">
        <v>41913</v>
      </c>
      <c r="G235" s="13" t="s">
        <v>2754</v>
      </c>
      <c r="H235" s="13" t="s">
        <v>2755</v>
      </c>
      <c r="I235" s="13" t="s">
        <v>3279</v>
      </c>
      <c r="J235" s="13" t="s">
        <v>753</v>
      </c>
      <c r="K235" s="13"/>
    </row>
    <row r="236" spans="1:11" ht="15.75" thickBot="1" x14ac:dyDescent="0.3">
      <c r="A236" s="103">
        <v>236</v>
      </c>
      <c r="B236" s="87" t="s">
        <v>4394</v>
      </c>
      <c r="C236" s="13" t="s">
        <v>2789</v>
      </c>
      <c r="D236" s="13" t="s">
        <v>2</v>
      </c>
      <c r="E236" s="13" t="s">
        <v>28</v>
      </c>
      <c r="F236" s="109">
        <v>41909</v>
      </c>
      <c r="G236" s="13" t="s">
        <v>2790</v>
      </c>
      <c r="H236" s="13" t="s">
        <v>2791</v>
      </c>
      <c r="I236" s="13" t="s">
        <v>3285</v>
      </c>
      <c r="J236" s="13" t="s">
        <v>753</v>
      </c>
      <c r="K236" s="13"/>
    </row>
    <row r="237" spans="1:11" ht="15.75" thickBot="1" x14ac:dyDescent="0.3">
      <c r="A237" s="103">
        <v>237</v>
      </c>
      <c r="B237" s="88" t="s">
        <v>4395</v>
      </c>
      <c r="C237" s="13" t="s">
        <v>2795</v>
      </c>
      <c r="D237" s="13" t="s">
        <v>2</v>
      </c>
      <c r="E237" s="13" t="s">
        <v>28</v>
      </c>
      <c r="F237" s="109">
        <v>42487</v>
      </c>
      <c r="G237" s="13" t="s">
        <v>2796</v>
      </c>
      <c r="H237" s="13" t="s">
        <v>2797</v>
      </c>
      <c r="I237" s="13" t="s">
        <v>3286</v>
      </c>
      <c r="J237" s="13" t="s">
        <v>753</v>
      </c>
      <c r="K237" s="13"/>
    </row>
    <row r="238" spans="1:11" ht="15.75" thickBot="1" x14ac:dyDescent="0.3">
      <c r="A238" s="103">
        <v>238</v>
      </c>
      <c r="B238" s="87" t="s">
        <v>4396</v>
      </c>
      <c r="C238" s="13" t="s">
        <v>2802</v>
      </c>
      <c r="D238" s="13" t="s">
        <v>2</v>
      </c>
      <c r="E238" s="13" t="s">
        <v>28</v>
      </c>
      <c r="F238" s="109">
        <v>41839</v>
      </c>
      <c r="G238" s="13" t="s">
        <v>2803</v>
      </c>
      <c r="H238" s="13" t="s">
        <v>2804</v>
      </c>
      <c r="I238" s="13" t="s">
        <v>3287</v>
      </c>
      <c r="J238" s="13" t="s">
        <v>753</v>
      </c>
      <c r="K238" s="13"/>
    </row>
    <row r="239" spans="1:11" ht="15.75" thickBot="1" x14ac:dyDescent="0.3">
      <c r="A239" s="103">
        <v>239</v>
      </c>
      <c r="B239" s="88" t="s">
        <v>4397</v>
      </c>
      <c r="C239" s="13" t="s">
        <v>2808</v>
      </c>
      <c r="D239" s="13" t="s">
        <v>2</v>
      </c>
      <c r="E239" s="13" t="s">
        <v>28</v>
      </c>
      <c r="F239" s="109">
        <v>42173</v>
      </c>
      <c r="G239" s="13" t="s">
        <v>2809</v>
      </c>
      <c r="H239" s="13" t="s">
        <v>2810</v>
      </c>
      <c r="I239" s="13" t="s">
        <v>3288</v>
      </c>
      <c r="J239" s="13" t="s">
        <v>753</v>
      </c>
      <c r="K239" s="13"/>
    </row>
    <row r="240" spans="1:11" ht="15.75" thickBot="1" x14ac:dyDescent="0.3">
      <c r="A240" s="103">
        <v>240</v>
      </c>
      <c r="B240" s="87" t="s">
        <v>4398</v>
      </c>
      <c r="C240" s="13" t="s">
        <v>2924</v>
      </c>
      <c r="D240" s="13" t="s">
        <v>2</v>
      </c>
      <c r="E240" s="13" t="s">
        <v>28</v>
      </c>
      <c r="F240" s="109">
        <v>41783</v>
      </c>
      <c r="G240" s="13" t="s">
        <v>2925</v>
      </c>
      <c r="H240" s="13" t="s">
        <v>2926</v>
      </c>
      <c r="I240" s="13" t="s">
        <v>3309</v>
      </c>
      <c r="J240" s="13" t="s">
        <v>2923</v>
      </c>
      <c r="K240" s="13"/>
    </row>
    <row r="241" spans="1:11" ht="15.75" thickBot="1" x14ac:dyDescent="0.3">
      <c r="A241" s="103">
        <v>241</v>
      </c>
      <c r="B241" s="88" t="s">
        <v>4399</v>
      </c>
      <c r="C241" s="13" t="s">
        <v>2931</v>
      </c>
      <c r="D241" s="13" t="s">
        <v>2</v>
      </c>
      <c r="E241" s="13" t="s">
        <v>28</v>
      </c>
      <c r="F241" s="109">
        <v>42162</v>
      </c>
      <c r="G241" s="13" t="s">
        <v>2932</v>
      </c>
      <c r="H241" s="13" t="s">
        <v>2933</v>
      </c>
      <c r="I241" s="13" t="s">
        <v>3310</v>
      </c>
      <c r="J241" s="13" t="s">
        <v>2923</v>
      </c>
      <c r="K241" s="13"/>
    </row>
    <row r="242" spans="1:11" ht="15.75" thickBot="1" x14ac:dyDescent="0.3">
      <c r="A242" s="103">
        <v>242</v>
      </c>
      <c r="B242" s="87" t="s">
        <v>4400</v>
      </c>
      <c r="C242" s="13" t="s">
        <v>2937</v>
      </c>
      <c r="D242" s="13" t="s">
        <v>2</v>
      </c>
      <c r="E242" s="13" t="s">
        <v>28</v>
      </c>
      <c r="F242" s="109">
        <v>42014</v>
      </c>
      <c r="G242" s="13" t="s">
        <v>2938</v>
      </c>
      <c r="H242" s="13" t="s">
        <v>2939</v>
      </c>
      <c r="I242" s="13" t="s">
        <v>3311</v>
      </c>
      <c r="J242" s="13" t="s">
        <v>2923</v>
      </c>
      <c r="K242" s="13"/>
    </row>
    <row r="243" spans="1:11" ht="15.75" thickBot="1" x14ac:dyDescent="0.3">
      <c r="A243" s="103">
        <v>243</v>
      </c>
      <c r="B243" s="88" t="s">
        <v>4401</v>
      </c>
      <c r="C243" s="13" t="s">
        <v>2944</v>
      </c>
      <c r="D243" s="13" t="s">
        <v>2</v>
      </c>
      <c r="E243" s="13" t="s">
        <v>28</v>
      </c>
      <c r="F243" s="109">
        <v>41225</v>
      </c>
      <c r="G243" s="13" t="s">
        <v>2945</v>
      </c>
      <c r="H243" s="13" t="s">
        <v>2946</v>
      </c>
      <c r="I243" s="13" t="s">
        <v>3312</v>
      </c>
      <c r="J243" s="13" t="s">
        <v>2923</v>
      </c>
      <c r="K243" s="13"/>
    </row>
    <row r="244" spans="1:11" ht="15.75" thickBot="1" x14ac:dyDescent="0.3">
      <c r="A244" s="103">
        <v>244</v>
      </c>
      <c r="B244" s="87" t="s">
        <v>4402</v>
      </c>
      <c r="C244" s="13" t="s">
        <v>2950</v>
      </c>
      <c r="D244" s="13" t="s">
        <v>2</v>
      </c>
      <c r="E244" s="13" t="s">
        <v>28</v>
      </c>
      <c r="F244" s="109">
        <v>41623</v>
      </c>
      <c r="G244" s="13" t="s">
        <v>2951</v>
      </c>
      <c r="H244" s="13" t="s">
        <v>2952</v>
      </c>
      <c r="I244" s="13" t="s">
        <v>3313</v>
      </c>
      <c r="J244" s="13" t="s">
        <v>2923</v>
      </c>
      <c r="K244" s="13"/>
    </row>
    <row r="245" spans="1:11" ht="15.75" thickBot="1" x14ac:dyDescent="0.3">
      <c r="A245" s="103">
        <v>245</v>
      </c>
      <c r="B245" s="88" t="s">
        <v>4403</v>
      </c>
      <c r="C245" s="13" t="s">
        <v>2956</v>
      </c>
      <c r="D245" s="13" t="s">
        <v>2</v>
      </c>
      <c r="E245" s="13" t="s">
        <v>28</v>
      </c>
      <c r="F245" s="109">
        <v>42439</v>
      </c>
      <c r="G245" s="13" t="s">
        <v>2957</v>
      </c>
      <c r="H245" s="13" t="s">
        <v>2958</v>
      </c>
      <c r="I245" s="13" t="s">
        <v>3314</v>
      </c>
      <c r="J245" s="13" t="s">
        <v>2923</v>
      </c>
      <c r="K245" s="13"/>
    </row>
    <row r="246" spans="1:11" ht="15.75" thickBot="1" x14ac:dyDescent="0.3">
      <c r="A246" s="103">
        <v>246</v>
      </c>
      <c r="B246" s="87" t="s">
        <v>4404</v>
      </c>
      <c r="C246" s="13" t="s">
        <v>2962</v>
      </c>
      <c r="D246" s="13" t="s">
        <v>2</v>
      </c>
      <c r="E246" s="13" t="s">
        <v>28</v>
      </c>
      <c r="F246" s="109">
        <v>41460</v>
      </c>
      <c r="G246" s="13" t="s">
        <v>2963</v>
      </c>
      <c r="H246" s="13" t="s">
        <v>2964</v>
      </c>
      <c r="I246" s="13" t="s">
        <v>3315</v>
      </c>
      <c r="J246" s="13" t="s">
        <v>2923</v>
      </c>
      <c r="K246" s="13"/>
    </row>
    <row r="247" spans="1:11" ht="15.75" thickBot="1" x14ac:dyDescent="0.3">
      <c r="A247" s="103">
        <v>248</v>
      </c>
      <c r="B247" s="88" t="s">
        <v>4405</v>
      </c>
      <c r="C247" s="13" t="s">
        <v>2968</v>
      </c>
      <c r="D247" s="13" t="s">
        <v>2</v>
      </c>
      <c r="E247" s="13" t="s">
        <v>28</v>
      </c>
      <c r="F247" s="109">
        <v>41647</v>
      </c>
      <c r="G247" s="13" t="s">
        <v>2969</v>
      </c>
      <c r="H247" s="13" t="s">
        <v>2970</v>
      </c>
      <c r="I247" s="13" t="s">
        <v>3316</v>
      </c>
      <c r="J247" s="13" t="s">
        <v>2923</v>
      </c>
      <c r="K247" s="13"/>
    </row>
    <row r="248" spans="1:11" ht="15.75" thickBot="1" x14ac:dyDescent="0.3">
      <c r="A248" s="103">
        <v>249</v>
      </c>
      <c r="B248" s="87" t="s">
        <v>4406</v>
      </c>
      <c r="C248" s="13" t="s">
        <v>2981</v>
      </c>
      <c r="D248" s="13" t="s">
        <v>66</v>
      </c>
      <c r="E248" s="13" t="s">
        <v>28</v>
      </c>
      <c r="F248" s="109">
        <v>41535</v>
      </c>
      <c r="G248" s="13" t="s">
        <v>2982</v>
      </c>
      <c r="H248" s="13" t="s">
        <v>2983</v>
      </c>
      <c r="I248" s="13" t="s">
        <v>3318</v>
      </c>
      <c r="J248" s="13" t="s">
        <v>2923</v>
      </c>
      <c r="K248" s="13"/>
    </row>
    <row r="249" spans="1:11" ht="15.75" thickBot="1" x14ac:dyDescent="0.3">
      <c r="A249" s="103">
        <v>250</v>
      </c>
      <c r="B249" s="88" t="s">
        <v>4407</v>
      </c>
      <c r="C249" s="13" t="s">
        <v>2990</v>
      </c>
      <c r="D249" s="13" t="s">
        <v>66</v>
      </c>
      <c r="E249" s="13" t="s">
        <v>365</v>
      </c>
      <c r="F249" s="109">
        <v>42319</v>
      </c>
      <c r="G249" s="13" t="s">
        <v>2991</v>
      </c>
      <c r="H249" s="13" t="s">
        <v>2992</v>
      </c>
      <c r="I249" s="13" t="s">
        <v>3320</v>
      </c>
      <c r="J249" s="13" t="s">
        <v>2923</v>
      </c>
      <c r="K249" s="13"/>
    </row>
    <row r="250" spans="1:11" ht="15.75" thickBot="1" x14ac:dyDescent="0.3">
      <c r="A250" s="103">
        <v>251</v>
      </c>
      <c r="B250" s="87" t="s">
        <v>4408</v>
      </c>
      <c r="C250" s="13" t="s">
        <v>264</v>
      </c>
      <c r="D250" s="13" t="s">
        <v>2</v>
      </c>
      <c r="E250" s="13" t="s">
        <v>10</v>
      </c>
      <c r="F250" s="109">
        <v>42318</v>
      </c>
      <c r="G250" s="13" t="s">
        <v>265</v>
      </c>
      <c r="H250" s="13" t="s">
        <v>266</v>
      </c>
      <c r="I250" s="13" t="s">
        <v>267</v>
      </c>
      <c r="J250" s="13" t="s">
        <v>268</v>
      </c>
      <c r="K250" s="13"/>
    </row>
    <row r="251" spans="1:11" ht="15.75" thickBot="1" x14ac:dyDescent="0.3">
      <c r="A251" s="103">
        <v>252</v>
      </c>
      <c r="B251" s="88" t="s">
        <v>4409</v>
      </c>
      <c r="C251" s="13" t="s">
        <v>270</v>
      </c>
      <c r="D251" s="13" t="s">
        <v>2</v>
      </c>
      <c r="E251" s="13" t="s">
        <v>10</v>
      </c>
      <c r="F251" s="109">
        <v>42312</v>
      </c>
      <c r="G251" s="13" t="s">
        <v>271</v>
      </c>
      <c r="H251" s="13" t="s">
        <v>272</v>
      </c>
      <c r="I251" s="13" t="s">
        <v>273</v>
      </c>
      <c r="J251" s="13" t="s">
        <v>268</v>
      </c>
      <c r="K251" s="13"/>
    </row>
    <row r="252" spans="1:11" ht="15.75" thickBot="1" x14ac:dyDescent="0.3">
      <c r="A252" s="103">
        <v>253</v>
      </c>
      <c r="B252" s="87" t="s">
        <v>4410</v>
      </c>
      <c r="C252" s="13" t="s">
        <v>275</v>
      </c>
      <c r="D252" s="13" t="s">
        <v>2</v>
      </c>
      <c r="E252" s="13" t="s">
        <v>116</v>
      </c>
      <c r="F252" s="109">
        <v>42191</v>
      </c>
      <c r="G252" s="13" t="s">
        <v>276</v>
      </c>
      <c r="H252" s="13" t="s">
        <v>277</v>
      </c>
      <c r="I252" s="13" t="s">
        <v>278</v>
      </c>
      <c r="J252" s="13" t="s">
        <v>268</v>
      </c>
      <c r="K252" s="13"/>
    </row>
    <row r="253" spans="1:11" ht="15.75" thickBot="1" x14ac:dyDescent="0.3">
      <c r="A253" s="103">
        <v>254</v>
      </c>
      <c r="B253" s="88" t="s">
        <v>4411</v>
      </c>
      <c r="C253" s="13" t="s">
        <v>306</v>
      </c>
      <c r="D253" s="13" t="s">
        <v>2</v>
      </c>
      <c r="E253" s="13" t="s">
        <v>10</v>
      </c>
      <c r="F253" s="109">
        <v>42542</v>
      </c>
      <c r="G253" s="13" t="s">
        <v>307</v>
      </c>
      <c r="H253" s="13" t="s">
        <v>308</v>
      </c>
      <c r="I253" s="13" t="s">
        <v>309</v>
      </c>
      <c r="J253" s="13" t="s">
        <v>268</v>
      </c>
      <c r="K253" s="13"/>
    </row>
    <row r="254" spans="1:11" ht="15.75" thickBot="1" x14ac:dyDescent="0.3">
      <c r="A254" s="103">
        <v>255</v>
      </c>
      <c r="B254" s="87" t="s">
        <v>4412</v>
      </c>
      <c r="C254" s="13" t="s">
        <v>306</v>
      </c>
      <c r="D254" s="13" t="s">
        <v>2</v>
      </c>
      <c r="E254" s="13" t="s">
        <v>10</v>
      </c>
      <c r="F254" s="109">
        <v>42542</v>
      </c>
      <c r="G254" s="13" t="s">
        <v>311</v>
      </c>
      <c r="H254" s="13" t="s">
        <v>308</v>
      </c>
      <c r="I254" s="13" t="s">
        <v>312</v>
      </c>
      <c r="J254" s="13" t="s">
        <v>268</v>
      </c>
      <c r="K254" s="13"/>
    </row>
    <row r="255" spans="1:11" ht="15.75" thickBot="1" x14ac:dyDescent="0.3">
      <c r="A255" s="103">
        <v>256</v>
      </c>
      <c r="B255" s="88" t="s">
        <v>4413</v>
      </c>
      <c r="C255" s="13" t="s">
        <v>447</v>
      </c>
      <c r="D255" s="13" t="s">
        <v>2</v>
      </c>
      <c r="E255" s="13" t="s">
        <v>10</v>
      </c>
      <c r="F255" s="109">
        <v>42404</v>
      </c>
      <c r="G255" s="13" t="s">
        <v>448</v>
      </c>
      <c r="H255" s="13" t="s">
        <v>449</v>
      </c>
      <c r="I255" s="13" t="s">
        <v>450</v>
      </c>
      <c r="J255" s="13" t="s">
        <v>268</v>
      </c>
      <c r="K255" s="13"/>
    </row>
    <row r="256" spans="1:11" ht="15.75" thickBot="1" x14ac:dyDescent="0.3">
      <c r="A256" s="103">
        <v>257</v>
      </c>
      <c r="B256" s="87" t="s">
        <v>4414</v>
      </c>
      <c r="C256" s="13" t="s">
        <v>475</v>
      </c>
      <c r="D256" s="13" t="s">
        <v>2</v>
      </c>
      <c r="E256" s="13" t="s">
        <v>28</v>
      </c>
      <c r="F256" s="109">
        <v>41600</v>
      </c>
      <c r="G256" s="13" t="s">
        <v>476</v>
      </c>
      <c r="H256" s="13" t="s">
        <v>477</v>
      </c>
      <c r="I256" s="13" t="s">
        <v>478</v>
      </c>
      <c r="J256" s="13" t="s">
        <v>268</v>
      </c>
      <c r="K256" s="13"/>
    </row>
    <row r="257" spans="1:11" ht="15.75" thickBot="1" x14ac:dyDescent="0.3">
      <c r="A257" s="103">
        <v>258</v>
      </c>
      <c r="B257" s="88" t="s">
        <v>4415</v>
      </c>
      <c r="C257" s="13" t="s">
        <v>523</v>
      </c>
      <c r="D257" s="13" t="s">
        <v>2</v>
      </c>
      <c r="E257" s="13" t="s">
        <v>402</v>
      </c>
      <c r="F257" s="109">
        <v>41460</v>
      </c>
      <c r="G257" s="13" t="s">
        <v>524</v>
      </c>
      <c r="H257" s="13" t="s">
        <v>525</v>
      </c>
      <c r="I257" s="13" t="s">
        <v>526</v>
      </c>
      <c r="J257" s="13" t="s">
        <v>268</v>
      </c>
      <c r="K257" s="13"/>
    </row>
    <row r="258" spans="1:11" ht="15.75" thickBot="1" x14ac:dyDescent="0.3">
      <c r="A258" s="103">
        <v>259</v>
      </c>
      <c r="B258" s="87" t="s">
        <v>4416</v>
      </c>
      <c r="C258" s="13" t="s">
        <v>475</v>
      </c>
      <c r="D258" s="13" t="s">
        <v>2</v>
      </c>
      <c r="E258" s="13" t="s">
        <v>10</v>
      </c>
      <c r="F258" s="109">
        <v>41600</v>
      </c>
      <c r="G258" s="13" t="s">
        <v>476</v>
      </c>
      <c r="H258" s="13" t="s">
        <v>543</v>
      </c>
      <c r="I258" s="13" t="s">
        <v>544</v>
      </c>
      <c r="J258" s="13" t="s">
        <v>268</v>
      </c>
      <c r="K258" s="13"/>
    </row>
    <row r="259" spans="1:11" ht="15.75" thickBot="1" x14ac:dyDescent="0.3">
      <c r="A259" s="103">
        <v>260</v>
      </c>
      <c r="B259" s="88" t="s">
        <v>4417</v>
      </c>
      <c r="C259" s="13" t="s">
        <v>600</v>
      </c>
      <c r="D259" s="13" t="s">
        <v>2</v>
      </c>
      <c r="E259" s="13" t="s">
        <v>10</v>
      </c>
      <c r="F259" s="109">
        <v>42646</v>
      </c>
      <c r="G259" s="13" t="s">
        <v>601</v>
      </c>
      <c r="H259" s="13" t="s">
        <v>602</v>
      </c>
      <c r="I259" s="13" t="s">
        <v>603</v>
      </c>
      <c r="J259" s="13" t="s">
        <v>268</v>
      </c>
      <c r="K259" s="13"/>
    </row>
    <row r="260" spans="1:11" ht="15.75" thickBot="1" x14ac:dyDescent="0.3">
      <c r="A260" s="103">
        <v>261</v>
      </c>
      <c r="B260" s="87" t="s">
        <v>4418</v>
      </c>
      <c r="C260" s="13" t="s">
        <v>192</v>
      </c>
      <c r="D260" s="13" t="s">
        <v>2</v>
      </c>
      <c r="E260" s="13" t="s">
        <v>28</v>
      </c>
      <c r="F260" s="109">
        <v>42532</v>
      </c>
      <c r="G260" s="13" t="s">
        <v>193</v>
      </c>
      <c r="H260" s="13" t="s">
        <v>194</v>
      </c>
      <c r="I260" s="13" t="s">
        <v>195</v>
      </c>
      <c r="J260" s="13" t="s">
        <v>196</v>
      </c>
      <c r="K260" s="13"/>
    </row>
    <row r="261" spans="1:11" ht="15.75" thickBot="1" x14ac:dyDescent="0.3">
      <c r="A261" s="103">
        <v>262</v>
      </c>
      <c r="B261" s="88" t="s">
        <v>4419</v>
      </c>
      <c r="C261" s="13" t="s">
        <v>198</v>
      </c>
      <c r="D261" s="13" t="s">
        <v>2</v>
      </c>
      <c r="E261" s="13" t="s">
        <v>28</v>
      </c>
      <c r="F261" s="109">
        <v>42553</v>
      </c>
      <c r="G261" s="13" t="s">
        <v>199</v>
      </c>
      <c r="H261" s="13" t="s">
        <v>200</v>
      </c>
      <c r="I261" s="13" t="s">
        <v>201</v>
      </c>
      <c r="J261" s="13" t="s">
        <v>196</v>
      </c>
      <c r="K261" s="13"/>
    </row>
    <row r="262" spans="1:11" ht="15.75" thickBot="1" x14ac:dyDescent="0.3">
      <c r="A262" s="103">
        <v>263</v>
      </c>
      <c r="B262" s="87" t="s">
        <v>4420</v>
      </c>
      <c r="C262" s="13" t="s">
        <v>605</v>
      </c>
      <c r="D262" s="13" t="s">
        <v>66</v>
      </c>
      <c r="E262" s="13" t="s">
        <v>10</v>
      </c>
      <c r="F262" s="109">
        <v>42627</v>
      </c>
      <c r="G262" s="13" t="s">
        <v>606</v>
      </c>
      <c r="H262" s="13" t="s">
        <v>607</v>
      </c>
      <c r="I262" s="13" t="s">
        <v>608</v>
      </c>
      <c r="J262" s="13" t="s">
        <v>609</v>
      </c>
      <c r="K262" s="13"/>
    </row>
    <row r="263" spans="1:11" ht="15.75" thickBot="1" x14ac:dyDescent="0.3">
      <c r="A263" s="103">
        <v>264</v>
      </c>
      <c r="B263" s="88" t="s">
        <v>4421</v>
      </c>
      <c r="C263" s="13" t="s">
        <v>611</v>
      </c>
      <c r="D263" s="13" t="s">
        <v>66</v>
      </c>
      <c r="E263" s="13" t="s">
        <v>10</v>
      </c>
      <c r="F263" s="109">
        <v>42499</v>
      </c>
      <c r="G263" s="13" t="s">
        <v>612</v>
      </c>
      <c r="H263" s="13" t="s">
        <v>613</v>
      </c>
      <c r="I263" s="13" t="s">
        <v>614</v>
      </c>
      <c r="J263" s="13" t="s">
        <v>609</v>
      </c>
      <c r="K263" s="13"/>
    </row>
    <row r="264" spans="1:11" ht="15.75" thickBot="1" x14ac:dyDescent="0.3">
      <c r="A264" s="103">
        <v>265</v>
      </c>
      <c r="B264" s="87" t="s">
        <v>4422</v>
      </c>
      <c r="C264" s="13" t="s">
        <v>619</v>
      </c>
      <c r="D264" s="13" t="s">
        <v>66</v>
      </c>
      <c r="E264" s="13" t="s">
        <v>10</v>
      </c>
      <c r="F264" s="109">
        <v>42694</v>
      </c>
      <c r="G264" s="13" t="s">
        <v>620</v>
      </c>
      <c r="H264" s="13" t="s">
        <v>621</v>
      </c>
      <c r="I264" s="13" t="s">
        <v>622</v>
      </c>
      <c r="J264" s="13" t="s">
        <v>609</v>
      </c>
      <c r="K264" s="13"/>
    </row>
    <row r="265" spans="1:11" ht="15.75" thickBot="1" x14ac:dyDescent="0.3">
      <c r="A265" s="103">
        <v>266</v>
      </c>
      <c r="B265" s="88" t="s">
        <v>4423</v>
      </c>
      <c r="C265" s="13" t="s">
        <v>624</v>
      </c>
      <c r="D265" s="13" t="s">
        <v>2</v>
      </c>
      <c r="E265" s="13" t="s">
        <v>10</v>
      </c>
      <c r="F265" s="109">
        <v>42252</v>
      </c>
      <c r="G265" s="13" t="s">
        <v>625</v>
      </c>
      <c r="H265" s="13" t="s">
        <v>626</v>
      </c>
      <c r="I265" s="13" t="s">
        <v>627</v>
      </c>
      <c r="J265" s="13" t="s">
        <v>609</v>
      </c>
      <c r="K265" s="13"/>
    </row>
    <row r="266" spans="1:11" ht="15.75" thickBot="1" x14ac:dyDescent="0.3">
      <c r="A266" s="103">
        <v>267</v>
      </c>
      <c r="B266" s="87" t="s">
        <v>4424</v>
      </c>
      <c r="C266" s="13" t="s">
        <v>629</v>
      </c>
      <c r="D266" s="13" t="s">
        <v>2</v>
      </c>
      <c r="E266" s="13" t="s">
        <v>10</v>
      </c>
      <c r="F266" s="109">
        <v>42138</v>
      </c>
      <c r="G266" s="13" t="s">
        <v>630</v>
      </c>
      <c r="H266" s="13" t="s">
        <v>631</v>
      </c>
      <c r="I266" s="13" t="s">
        <v>632</v>
      </c>
      <c r="J266" s="13" t="s">
        <v>609</v>
      </c>
      <c r="K266" s="13"/>
    </row>
    <row r="267" spans="1:11" ht="15.75" thickBot="1" x14ac:dyDescent="0.3">
      <c r="A267" s="103">
        <v>268</v>
      </c>
      <c r="B267" s="88" t="s">
        <v>4425</v>
      </c>
      <c r="C267" s="13" t="s">
        <v>634</v>
      </c>
      <c r="D267" s="13" t="s">
        <v>2</v>
      </c>
      <c r="E267" s="13" t="s">
        <v>10</v>
      </c>
      <c r="F267" s="109">
        <v>42640</v>
      </c>
      <c r="G267" s="13" t="s">
        <v>635</v>
      </c>
      <c r="H267" s="13" t="s">
        <v>636</v>
      </c>
      <c r="I267" s="13" t="s">
        <v>637</v>
      </c>
      <c r="J267" s="13" t="s">
        <v>609</v>
      </c>
      <c r="K267" s="13"/>
    </row>
    <row r="268" spans="1:11" ht="15.75" thickBot="1" x14ac:dyDescent="0.3">
      <c r="A268" s="103">
        <v>269</v>
      </c>
      <c r="B268" s="87" t="s">
        <v>4426</v>
      </c>
      <c r="C268" s="13" t="s">
        <v>639</v>
      </c>
      <c r="D268" s="13" t="s">
        <v>66</v>
      </c>
      <c r="E268" s="13" t="s">
        <v>10</v>
      </c>
      <c r="F268" s="109">
        <v>41933</v>
      </c>
      <c r="G268" s="13" t="s">
        <v>640</v>
      </c>
      <c r="H268" s="13" t="s">
        <v>641</v>
      </c>
      <c r="I268" s="13" t="s">
        <v>642</v>
      </c>
      <c r="J268" s="13" t="s">
        <v>609</v>
      </c>
      <c r="K268" s="13"/>
    </row>
    <row r="269" spans="1:11" ht="15.75" thickBot="1" x14ac:dyDescent="0.3">
      <c r="A269" s="103">
        <v>270</v>
      </c>
      <c r="B269" s="88" t="s">
        <v>4427</v>
      </c>
      <c r="C269" s="13" t="s">
        <v>644</v>
      </c>
      <c r="D269" s="13" t="s">
        <v>66</v>
      </c>
      <c r="E269" s="13" t="s">
        <v>10</v>
      </c>
      <c r="F269" s="109">
        <v>42465</v>
      </c>
      <c r="G269" s="13" t="s">
        <v>645</v>
      </c>
      <c r="H269" s="13" t="s">
        <v>646</v>
      </c>
      <c r="I269" s="13" t="s">
        <v>647</v>
      </c>
      <c r="J269" s="13" t="s">
        <v>609</v>
      </c>
      <c r="K269" s="13"/>
    </row>
    <row r="270" spans="1:11" ht="15.75" thickBot="1" x14ac:dyDescent="0.3">
      <c r="A270" s="103">
        <v>271</v>
      </c>
      <c r="B270" s="87" t="s">
        <v>4428</v>
      </c>
      <c r="C270" s="13" t="s">
        <v>653</v>
      </c>
      <c r="D270" s="13" t="s">
        <v>2</v>
      </c>
      <c r="E270" s="13" t="s">
        <v>10</v>
      </c>
      <c r="F270" s="109">
        <v>42056</v>
      </c>
      <c r="G270" s="13" t="s">
        <v>654</v>
      </c>
      <c r="H270" s="13" t="s">
        <v>655</v>
      </c>
      <c r="I270" s="110" t="e">
        <v>#N/A</v>
      </c>
      <c r="J270" s="13" t="s">
        <v>609</v>
      </c>
      <c r="K270" s="13"/>
    </row>
    <row r="271" spans="1:11" ht="15.75" thickBot="1" x14ac:dyDescent="0.3">
      <c r="A271" s="103">
        <v>272</v>
      </c>
      <c r="B271" s="88" t="s">
        <v>4429</v>
      </c>
      <c r="C271" s="13" t="s">
        <v>649</v>
      </c>
      <c r="D271" s="13" t="s">
        <v>2</v>
      </c>
      <c r="E271" s="13" t="s">
        <v>10</v>
      </c>
      <c r="F271" s="109">
        <v>42642</v>
      </c>
      <c r="G271" s="13" t="s">
        <v>650</v>
      </c>
      <c r="H271" s="13" t="s">
        <v>651</v>
      </c>
      <c r="I271" s="13" t="s">
        <v>652</v>
      </c>
      <c r="J271" s="13" t="s">
        <v>609</v>
      </c>
      <c r="K271" s="13"/>
    </row>
    <row r="272" spans="1:11" ht="15.75" thickBot="1" x14ac:dyDescent="0.3">
      <c r="A272" s="103">
        <v>273</v>
      </c>
      <c r="B272" s="87" t="s">
        <v>4430</v>
      </c>
      <c r="C272" s="13" t="s">
        <v>657</v>
      </c>
      <c r="D272" s="13" t="s">
        <v>66</v>
      </c>
      <c r="E272" s="13" t="s">
        <v>10</v>
      </c>
      <c r="F272" s="109">
        <v>43172</v>
      </c>
      <c r="G272" s="13" t="s">
        <v>658</v>
      </c>
      <c r="H272" s="13" t="s">
        <v>659</v>
      </c>
      <c r="I272" s="13" t="s">
        <v>660</v>
      </c>
      <c r="J272" s="13" t="s">
        <v>609</v>
      </c>
      <c r="K272" s="13"/>
    </row>
    <row r="273" spans="1:11" ht="15.75" thickBot="1" x14ac:dyDescent="0.3">
      <c r="A273" s="103">
        <v>274</v>
      </c>
      <c r="B273" s="88" t="s">
        <v>4431</v>
      </c>
      <c r="C273" s="13" t="s">
        <v>662</v>
      </c>
      <c r="D273" s="13" t="s">
        <v>2</v>
      </c>
      <c r="E273" s="13" t="s">
        <v>10</v>
      </c>
      <c r="F273" s="109">
        <v>42792</v>
      </c>
      <c r="G273" s="13" t="s">
        <v>663</v>
      </c>
      <c r="H273" s="13" t="s">
        <v>664</v>
      </c>
      <c r="I273" s="13" t="s">
        <v>665</v>
      </c>
      <c r="J273" s="13" t="s">
        <v>609</v>
      </c>
      <c r="K273" s="13"/>
    </row>
    <row r="274" spans="1:11" ht="15.75" thickBot="1" x14ac:dyDescent="0.3">
      <c r="A274" s="103">
        <v>275</v>
      </c>
      <c r="B274" s="87" t="s">
        <v>4432</v>
      </c>
      <c r="C274" s="13" t="s">
        <v>684</v>
      </c>
      <c r="D274" s="13" t="s">
        <v>66</v>
      </c>
      <c r="E274" s="13" t="s">
        <v>10</v>
      </c>
      <c r="F274" s="109">
        <v>42555</v>
      </c>
      <c r="G274" s="13" t="s">
        <v>685</v>
      </c>
      <c r="H274" s="13" t="s">
        <v>686</v>
      </c>
      <c r="I274" s="13" t="s">
        <v>687</v>
      </c>
      <c r="J274" s="13" t="s">
        <v>609</v>
      </c>
      <c r="K274" s="13"/>
    </row>
    <row r="275" spans="1:11" ht="15.75" thickBot="1" x14ac:dyDescent="0.3">
      <c r="A275" s="103">
        <v>276</v>
      </c>
      <c r="B275" s="88" t="s">
        <v>4433</v>
      </c>
      <c r="C275" s="13" t="s">
        <v>2200</v>
      </c>
      <c r="D275" s="13" t="s">
        <v>66</v>
      </c>
      <c r="E275" s="13" t="s">
        <v>10</v>
      </c>
      <c r="F275" s="109">
        <v>42015</v>
      </c>
      <c r="G275" s="13" t="s">
        <v>2201</v>
      </c>
      <c r="H275" s="13" t="s">
        <v>2202</v>
      </c>
      <c r="I275" s="13" t="s">
        <v>3192</v>
      </c>
      <c r="J275" s="13" t="s">
        <v>609</v>
      </c>
      <c r="K275" s="13"/>
    </row>
    <row r="276" spans="1:11" ht="15.75" thickBot="1" x14ac:dyDescent="0.3">
      <c r="A276" s="103">
        <v>277</v>
      </c>
      <c r="B276" s="87" t="s">
        <v>4434</v>
      </c>
      <c r="C276" s="13" t="s">
        <v>2212</v>
      </c>
      <c r="D276" s="13" t="s">
        <v>2</v>
      </c>
      <c r="E276" s="13" t="s">
        <v>10</v>
      </c>
      <c r="F276" s="109">
        <v>42632</v>
      </c>
      <c r="G276" s="13" t="s">
        <v>2213</v>
      </c>
      <c r="H276" s="13" t="s">
        <v>2214</v>
      </c>
      <c r="I276" s="13" t="s">
        <v>3194</v>
      </c>
      <c r="J276" s="13" t="s">
        <v>609</v>
      </c>
      <c r="K276" s="13"/>
    </row>
    <row r="277" spans="1:11" ht="15.75" thickBot="1" x14ac:dyDescent="0.3">
      <c r="A277" s="103">
        <v>278</v>
      </c>
      <c r="B277" s="88" t="s">
        <v>4435</v>
      </c>
      <c r="C277" s="13" t="s">
        <v>2234</v>
      </c>
      <c r="D277" s="13" t="s">
        <v>66</v>
      </c>
      <c r="E277" s="13" t="s">
        <v>10</v>
      </c>
      <c r="F277" s="109">
        <v>42645</v>
      </c>
      <c r="G277" s="13" t="s">
        <v>658</v>
      </c>
      <c r="H277" s="13" t="s">
        <v>659</v>
      </c>
      <c r="I277" s="13" t="s">
        <v>3197</v>
      </c>
      <c r="J277" s="13" t="s">
        <v>609</v>
      </c>
      <c r="K277" s="13"/>
    </row>
    <row r="278" spans="1:11" ht="15.75" thickBot="1" x14ac:dyDescent="0.3">
      <c r="A278" s="103">
        <v>279</v>
      </c>
      <c r="B278" s="87" t="s">
        <v>4436</v>
      </c>
      <c r="C278" s="13" t="s">
        <v>2245</v>
      </c>
      <c r="D278" s="13" t="s">
        <v>66</v>
      </c>
      <c r="E278" s="13" t="s">
        <v>10</v>
      </c>
      <c r="F278" s="109">
        <v>42034</v>
      </c>
      <c r="G278" s="13" t="s">
        <v>2246</v>
      </c>
      <c r="H278" s="13" t="s">
        <v>2247</v>
      </c>
      <c r="I278" s="13" t="s">
        <v>3199</v>
      </c>
      <c r="J278" s="13" t="s">
        <v>609</v>
      </c>
      <c r="K278" s="13"/>
    </row>
    <row r="279" spans="1:11" ht="15.75" thickBot="1" x14ac:dyDescent="0.3">
      <c r="A279" s="103">
        <v>280</v>
      </c>
      <c r="B279" s="88" t="s">
        <v>4437</v>
      </c>
      <c r="C279" s="13" t="s">
        <v>2266</v>
      </c>
      <c r="D279" s="13" t="s">
        <v>66</v>
      </c>
      <c r="E279" s="13" t="s">
        <v>10</v>
      </c>
      <c r="F279" s="109">
        <v>41983</v>
      </c>
      <c r="G279" s="13" t="s">
        <v>2267</v>
      </c>
      <c r="H279" s="13" t="s">
        <v>2268</v>
      </c>
      <c r="I279" s="13" t="s">
        <v>3202</v>
      </c>
      <c r="J279" s="13" t="s">
        <v>609</v>
      </c>
      <c r="K279" s="13"/>
    </row>
    <row r="280" spans="1:11" ht="15.75" thickBot="1" x14ac:dyDescent="0.3">
      <c r="A280" s="103">
        <v>281</v>
      </c>
      <c r="B280" s="87" t="s">
        <v>4438</v>
      </c>
      <c r="C280" s="13" t="s">
        <v>2273</v>
      </c>
      <c r="D280" s="13" t="s">
        <v>2</v>
      </c>
      <c r="E280" s="13" t="s">
        <v>10</v>
      </c>
      <c r="F280" s="109">
        <v>42250</v>
      </c>
      <c r="G280" s="13" t="s">
        <v>2274</v>
      </c>
      <c r="H280" s="13" t="s">
        <v>2275</v>
      </c>
      <c r="I280" s="13" t="s">
        <v>3203</v>
      </c>
      <c r="J280" s="13" t="s">
        <v>609</v>
      </c>
      <c r="K280" s="13"/>
    </row>
    <row r="281" spans="1:11" ht="15.75" thickBot="1" x14ac:dyDescent="0.3">
      <c r="A281" s="103">
        <v>282</v>
      </c>
      <c r="B281" s="88" t="s">
        <v>4439</v>
      </c>
      <c r="C281" s="13" t="s">
        <v>2302</v>
      </c>
      <c r="D281" s="13" t="s">
        <v>2</v>
      </c>
      <c r="E281" s="13" t="s">
        <v>10</v>
      </c>
      <c r="F281" s="109">
        <v>42770</v>
      </c>
      <c r="G281" s="13" t="s">
        <v>2303</v>
      </c>
      <c r="H281" s="13" t="s">
        <v>2304</v>
      </c>
      <c r="I281" s="13" t="s">
        <v>3207</v>
      </c>
      <c r="J281" s="13" t="s">
        <v>609</v>
      </c>
      <c r="K281" s="13"/>
    </row>
    <row r="282" spans="1:11" ht="15.75" thickBot="1" x14ac:dyDescent="0.3">
      <c r="A282" s="103">
        <v>283</v>
      </c>
      <c r="B282" s="87" t="s">
        <v>4440</v>
      </c>
      <c r="C282" s="13" t="s">
        <v>2356</v>
      </c>
      <c r="D282" s="13" t="s">
        <v>66</v>
      </c>
      <c r="E282" s="13" t="s">
        <v>10</v>
      </c>
      <c r="F282" s="109">
        <v>41968</v>
      </c>
      <c r="G282" s="13" t="s">
        <v>2357</v>
      </c>
      <c r="H282" s="13" t="s">
        <v>2358</v>
      </c>
      <c r="I282" s="13" t="s">
        <v>3215</v>
      </c>
      <c r="J282" s="13" t="s">
        <v>609</v>
      </c>
      <c r="K282" s="13"/>
    </row>
    <row r="283" spans="1:11" ht="15.75" thickBot="1" x14ac:dyDescent="0.3">
      <c r="A283" s="103">
        <v>284</v>
      </c>
      <c r="B283" s="88" t="s">
        <v>4441</v>
      </c>
      <c r="C283" s="13" t="s">
        <v>2370</v>
      </c>
      <c r="D283" s="13" t="s">
        <v>2</v>
      </c>
      <c r="E283" s="13" t="s">
        <v>10</v>
      </c>
      <c r="F283" s="109">
        <v>41935</v>
      </c>
      <c r="G283" s="13" t="s">
        <v>2371</v>
      </c>
      <c r="H283" s="13" t="s">
        <v>2372</v>
      </c>
      <c r="I283" s="13" t="s">
        <v>3217</v>
      </c>
      <c r="J283" s="13" t="s">
        <v>609</v>
      </c>
      <c r="K283" s="13"/>
    </row>
    <row r="284" spans="1:11" ht="15.75" thickBot="1" x14ac:dyDescent="0.3">
      <c r="A284" s="103">
        <v>285</v>
      </c>
      <c r="B284" s="87" t="s">
        <v>4442</v>
      </c>
      <c r="C284" s="13" t="s">
        <v>2377</v>
      </c>
      <c r="D284" s="13" t="s">
        <v>2</v>
      </c>
      <c r="E284" s="13" t="s">
        <v>2378</v>
      </c>
      <c r="F284" s="109">
        <v>42626</v>
      </c>
      <c r="G284" s="13" t="s">
        <v>2379</v>
      </c>
      <c r="H284" s="13" t="s">
        <v>2380</v>
      </c>
      <c r="I284" s="13" t="s">
        <v>3218</v>
      </c>
      <c r="J284" s="13" t="s">
        <v>609</v>
      </c>
      <c r="K284" s="13"/>
    </row>
    <row r="285" spans="1:11" ht="15.75" thickBot="1" x14ac:dyDescent="0.3">
      <c r="A285" s="103">
        <v>286</v>
      </c>
      <c r="B285" s="88" t="s">
        <v>4443</v>
      </c>
      <c r="C285" s="13" t="s">
        <v>2424</v>
      </c>
      <c r="D285" s="13" t="s">
        <v>66</v>
      </c>
      <c r="E285" s="13" t="s">
        <v>10</v>
      </c>
      <c r="F285" s="109">
        <v>42128</v>
      </c>
      <c r="G285" s="13" t="s">
        <v>2425</v>
      </c>
      <c r="H285" s="13" t="s">
        <v>2426</v>
      </c>
      <c r="I285" s="13" t="s">
        <v>3225</v>
      </c>
      <c r="J285" s="13" t="s">
        <v>609</v>
      </c>
      <c r="K285" s="13"/>
    </row>
    <row r="286" spans="1:11" ht="15.75" thickBot="1" x14ac:dyDescent="0.3">
      <c r="A286" s="103">
        <v>287</v>
      </c>
      <c r="B286" s="87" t="s">
        <v>4444</v>
      </c>
      <c r="C286" s="13" t="s">
        <v>2459</v>
      </c>
      <c r="D286" s="13" t="s">
        <v>66</v>
      </c>
      <c r="E286" s="13" t="s">
        <v>10</v>
      </c>
      <c r="F286" s="109">
        <v>41978</v>
      </c>
      <c r="G286" s="13" t="s">
        <v>2460</v>
      </c>
      <c r="H286" s="13" t="s">
        <v>2461</v>
      </c>
      <c r="I286" s="13" t="s">
        <v>3230</v>
      </c>
      <c r="J286" s="13" t="s">
        <v>609</v>
      </c>
      <c r="K286" s="13"/>
    </row>
    <row r="287" spans="1:11" ht="15.75" thickBot="1" x14ac:dyDescent="0.3">
      <c r="A287" s="103">
        <v>288</v>
      </c>
      <c r="B287" s="88" t="s">
        <v>4445</v>
      </c>
      <c r="C287" s="13" t="s">
        <v>2479</v>
      </c>
      <c r="D287" s="13" t="s">
        <v>2</v>
      </c>
      <c r="E287" s="13" t="s">
        <v>10</v>
      </c>
      <c r="F287" s="109">
        <v>41843</v>
      </c>
      <c r="G287" s="13" t="s">
        <v>2480</v>
      </c>
      <c r="H287" s="13" t="s">
        <v>2481</v>
      </c>
      <c r="I287" s="13" t="s">
        <v>3234</v>
      </c>
      <c r="J287" s="13" t="s">
        <v>609</v>
      </c>
      <c r="K287" s="13"/>
    </row>
    <row r="288" spans="1:11" ht="15.75" thickBot="1" x14ac:dyDescent="0.3">
      <c r="A288" s="103">
        <v>289</v>
      </c>
      <c r="B288" s="87" t="s">
        <v>4446</v>
      </c>
      <c r="C288" s="13" t="s">
        <v>2528</v>
      </c>
      <c r="D288" s="13" t="s">
        <v>66</v>
      </c>
      <c r="E288" s="13" t="s">
        <v>2529</v>
      </c>
      <c r="F288" s="109">
        <v>41782</v>
      </c>
      <c r="G288" s="13" t="s">
        <v>1546</v>
      </c>
      <c r="H288" s="13" t="s">
        <v>2530</v>
      </c>
      <c r="I288" s="13" t="s">
        <v>3242</v>
      </c>
      <c r="J288" s="13" t="s">
        <v>609</v>
      </c>
      <c r="K288" s="13"/>
    </row>
    <row r="289" spans="1:11" ht="15.75" thickBot="1" x14ac:dyDescent="0.3">
      <c r="A289" s="103">
        <v>290</v>
      </c>
      <c r="B289" s="88" t="s">
        <v>4447</v>
      </c>
      <c r="C289" s="13" t="s">
        <v>2548</v>
      </c>
      <c r="D289" s="13" t="s">
        <v>2</v>
      </c>
      <c r="E289" s="13" t="s">
        <v>10</v>
      </c>
      <c r="F289" s="109">
        <v>41996</v>
      </c>
      <c r="G289" s="13" t="s">
        <v>2549</v>
      </c>
      <c r="H289" s="13" t="s">
        <v>2550</v>
      </c>
      <c r="I289" s="13" t="s">
        <v>3246</v>
      </c>
      <c r="J289" s="13" t="s">
        <v>609</v>
      </c>
      <c r="K289" s="13"/>
    </row>
    <row r="290" spans="1:11" ht="15.75" thickBot="1" x14ac:dyDescent="0.3">
      <c r="A290" s="103">
        <v>291</v>
      </c>
      <c r="B290" s="87" t="s">
        <v>4448</v>
      </c>
      <c r="C290" s="13" t="s">
        <v>2562</v>
      </c>
      <c r="D290" s="13" t="s">
        <v>2</v>
      </c>
      <c r="E290" s="13" t="s">
        <v>10</v>
      </c>
      <c r="F290" s="109">
        <v>42528</v>
      </c>
      <c r="G290" s="13" t="s">
        <v>2563</v>
      </c>
      <c r="H290" s="13" t="s">
        <v>2564</v>
      </c>
      <c r="I290" s="13" t="s">
        <v>3248</v>
      </c>
      <c r="J290" s="13" t="s">
        <v>609</v>
      </c>
      <c r="K290" s="13"/>
    </row>
    <row r="291" spans="1:11" ht="15.75" thickBot="1" x14ac:dyDescent="0.3">
      <c r="A291" s="103">
        <v>292</v>
      </c>
      <c r="B291" s="88" t="s">
        <v>4449</v>
      </c>
      <c r="C291" s="13" t="s">
        <v>2662</v>
      </c>
      <c r="D291" s="13" t="s">
        <v>2</v>
      </c>
      <c r="E291" s="13" t="s">
        <v>10</v>
      </c>
      <c r="F291" s="109">
        <v>42501</v>
      </c>
      <c r="G291" s="13" t="s">
        <v>2663</v>
      </c>
      <c r="H291" s="13" t="s">
        <v>2664</v>
      </c>
      <c r="I291" s="13" t="s">
        <v>3264</v>
      </c>
      <c r="J291" s="13" t="s">
        <v>609</v>
      </c>
      <c r="K291" s="13"/>
    </row>
    <row r="292" spans="1:11" ht="15.75" thickBot="1" x14ac:dyDescent="0.3">
      <c r="A292" s="103">
        <v>293</v>
      </c>
      <c r="B292" s="87" t="s">
        <v>4450</v>
      </c>
      <c r="C292" s="13" t="s">
        <v>673</v>
      </c>
      <c r="D292" s="13" t="s">
        <v>2</v>
      </c>
      <c r="E292" s="13" t="s">
        <v>28</v>
      </c>
      <c r="F292" s="109">
        <v>42683</v>
      </c>
      <c r="G292" s="13" t="s">
        <v>674</v>
      </c>
      <c r="H292" s="13" t="s">
        <v>675</v>
      </c>
      <c r="I292" s="13" t="s">
        <v>676</v>
      </c>
      <c r="J292" s="13" t="s">
        <v>677</v>
      </c>
      <c r="K292" s="13"/>
    </row>
    <row r="293" spans="1:11" ht="15.75" thickBot="1" x14ac:dyDescent="0.3">
      <c r="A293" s="103">
        <v>294</v>
      </c>
      <c r="B293" s="88" t="s">
        <v>4451</v>
      </c>
      <c r="C293" s="13" t="s">
        <v>679</v>
      </c>
      <c r="D293" s="13" t="s">
        <v>2</v>
      </c>
      <c r="E293" s="13" t="s">
        <v>365</v>
      </c>
      <c r="F293" s="109">
        <v>42773</v>
      </c>
      <c r="G293" s="13" t="s">
        <v>680</v>
      </c>
      <c r="H293" s="13" t="s">
        <v>681</v>
      </c>
      <c r="I293" s="13" t="s">
        <v>682</v>
      </c>
      <c r="J293" s="13" t="s">
        <v>677</v>
      </c>
      <c r="K293" s="13"/>
    </row>
    <row r="294" spans="1:11" ht="15.75" thickBot="1" x14ac:dyDescent="0.3">
      <c r="A294" s="103">
        <v>295</v>
      </c>
      <c r="B294" s="87" t="s">
        <v>4452</v>
      </c>
      <c r="C294" s="13" t="s">
        <v>689</v>
      </c>
      <c r="D294" s="13" t="s">
        <v>2</v>
      </c>
      <c r="E294" s="13" t="s">
        <v>59</v>
      </c>
      <c r="F294" s="109">
        <v>42689</v>
      </c>
      <c r="G294" s="13" t="s">
        <v>690</v>
      </c>
      <c r="H294" s="13" t="s">
        <v>691</v>
      </c>
      <c r="I294" s="13" t="s">
        <v>692</v>
      </c>
      <c r="J294" s="13" t="s">
        <v>677</v>
      </c>
      <c r="K294" s="13"/>
    </row>
    <row r="295" spans="1:11" ht="15.75" thickBot="1" x14ac:dyDescent="0.3">
      <c r="A295" s="103">
        <v>296</v>
      </c>
      <c r="B295" s="88" t="s">
        <v>4453</v>
      </c>
      <c r="C295" s="13" t="s">
        <v>701</v>
      </c>
      <c r="D295" s="13" t="s">
        <v>2</v>
      </c>
      <c r="E295" s="13" t="s">
        <v>10</v>
      </c>
      <c r="F295" s="109">
        <v>42950</v>
      </c>
      <c r="G295" s="13" t="s">
        <v>702</v>
      </c>
      <c r="H295" s="13" t="s">
        <v>703</v>
      </c>
      <c r="I295" s="13" t="s">
        <v>704</v>
      </c>
      <c r="J295" s="13" t="s">
        <v>677</v>
      </c>
      <c r="K295" s="13"/>
    </row>
    <row r="296" spans="1:11" ht="15.75" thickBot="1" x14ac:dyDescent="0.3">
      <c r="A296" s="103">
        <v>297</v>
      </c>
      <c r="B296" s="87" t="s">
        <v>4454</v>
      </c>
      <c r="C296" s="13" t="s">
        <v>706</v>
      </c>
      <c r="D296" s="13" t="s">
        <v>2</v>
      </c>
      <c r="E296" s="13" t="s">
        <v>10</v>
      </c>
      <c r="F296" s="109">
        <v>42855</v>
      </c>
      <c r="G296" s="13" t="s">
        <v>707</v>
      </c>
      <c r="H296" s="13" t="s">
        <v>708</v>
      </c>
      <c r="I296" s="13" t="s">
        <v>709</v>
      </c>
      <c r="J296" s="13" t="s">
        <v>677</v>
      </c>
      <c r="K296" s="13"/>
    </row>
    <row r="297" spans="1:11" ht="15.75" thickBot="1" x14ac:dyDescent="0.3">
      <c r="A297" s="103">
        <v>298</v>
      </c>
      <c r="B297" s="88" t="s">
        <v>4455</v>
      </c>
      <c r="C297" s="13" t="s">
        <v>711</v>
      </c>
      <c r="D297" s="13" t="s">
        <v>66</v>
      </c>
      <c r="E297" s="13" t="s">
        <v>10</v>
      </c>
      <c r="F297" s="109">
        <v>42884</v>
      </c>
      <c r="G297" s="13" t="s">
        <v>712</v>
      </c>
      <c r="H297" s="13" t="s">
        <v>713</v>
      </c>
      <c r="I297" s="13" t="s">
        <v>714</v>
      </c>
      <c r="J297" s="13" t="s">
        <v>677</v>
      </c>
      <c r="K297" s="13"/>
    </row>
    <row r="298" spans="1:11" ht="15.75" thickBot="1" x14ac:dyDescent="0.3">
      <c r="A298" s="103">
        <v>299</v>
      </c>
      <c r="B298" s="87" t="s">
        <v>4456</v>
      </c>
      <c r="C298" s="13" t="s">
        <v>716</v>
      </c>
      <c r="D298" s="13" t="s">
        <v>2</v>
      </c>
      <c r="E298" s="13" t="s">
        <v>10</v>
      </c>
      <c r="F298" s="109">
        <v>42948</v>
      </c>
      <c r="G298" s="13" t="s">
        <v>717</v>
      </c>
      <c r="H298" s="13" t="s">
        <v>718</v>
      </c>
      <c r="I298" s="13" t="s">
        <v>719</v>
      </c>
      <c r="J298" s="13" t="s">
        <v>677</v>
      </c>
      <c r="K298" s="13"/>
    </row>
    <row r="299" spans="1:11" ht="15.75" thickBot="1" x14ac:dyDescent="0.3">
      <c r="A299" s="103">
        <v>300</v>
      </c>
      <c r="B299" s="88" t="s">
        <v>4457</v>
      </c>
      <c r="C299" s="13" t="s">
        <v>733</v>
      </c>
      <c r="D299" s="13" t="s">
        <v>2</v>
      </c>
      <c r="E299" s="13" t="s">
        <v>28</v>
      </c>
      <c r="F299" s="109">
        <v>42702</v>
      </c>
      <c r="G299" s="13" t="s">
        <v>734</v>
      </c>
      <c r="H299" s="13" t="s">
        <v>735</v>
      </c>
      <c r="I299" s="13" t="s">
        <v>736</v>
      </c>
      <c r="J299" s="13" t="s">
        <v>677</v>
      </c>
      <c r="K299" s="13"/>
    </row>
    <row r="300" spans="1:11" ht="15.75" thickBot="1" x14ac:dyDescent="0.3">
      <c r="A300" s="103">
        <v>301</v>
      </c>
      <c r="B300" s="87" t="s">
        <v>91</v>
      </c>
      <c r="C300" s="13" t="s">
        <v>92</v>
      </c>
      <c r="D300" s="13" t="s">
        <v>66</v>
      </c>
      <c r="E300" s="13" t="s">
        <v>10</v>
      </c>
      <c r="F300" s="109">
        <v>42899</v>
      </c>
      <c r="G300" s="13" t="s">
        <v>93</v>
      </c>
      <c r="H300" s="13" t="s">
        <v>94</v>
      </c>
      <c r="I300" s="13" t="s">
        <v>95</v>
      </c>
      <c r="J300" s="13" t="s">
        <v>96</v>
      </c>
      <c r="K300" s="13"/>
    </row>
    <row r="301" spans="1:11" ht="15.75" thickBot="1" x14ac:dyDescent="0.3">
      <c r="A301" s="103">
        <v>302</v>
      </c>
      <c r="B301" s="88" t="s">
        <v>4458</v>
      </c>
      <c r="C301" s="13" t="s">
        <v>98</v>
      </c>
      <c r="D301" s="13" t="s">
        <v>2</v>
      </c>
      <c r="E301" s="13" t="s">
        <v>28</v>
      </c>
      <c r="F301" s="109">
        <v>42865</v>
      </c>
      <c r="G301" s="13" t="s">
        <v>99</v>
      </c>
      <c r="H301" s="13" t="s">
        <v>100</v>
      </c>
      <c r="I301" s="13" t="s">
        <v>101</v>
      </c>
      <c r="J301" s="13" t="s">
        <v>96</v>
      </c>
      <c r="K301" s="13"/>
    </row>
    <row r="302" spans="1:11" ht="15.75" thickBot="1" x14ac:dyDescent="0.3">
      <c r="A302" s="103">
        <v>303</v>
      </c>
      <c r="B302" s="87" t="s">
        <v>4459</v>
      </c>
      <c r="C302" s="13" t="s">
        <v>103</v>
      </c>
      <c r="D302" s="13" t="s">
        <v>66</v>
      </c>
      <c r="E302" s="13" t="s">
        <v>104</v>
      </c>
      <c r="F302" s="109">
        <v>43137</v>
      </c>
      <c r="G302" s="13" t="s">
        <v>105</v>
      </c>
      <c r="H302" s="13" t="s">
        <v>106</v>
      </c>
      <c r="I302" s="13" t="s">
        <v>107</v>
      </c>
      <c r="J302" s="13" t="s">
        <v>96</v>
      </c>
      <c r="K302" s="13"/>
    </row>
    <row r="303" spans="1:11" ht="15.75" thickBot="1" x14ac:dyDescent="0.3">
      <c r="A303" s="103">
        <v>304</v>
      </c>
      <c r="B303" s="88" t="s">
        <v>4460</v>
      </c>
      <c r="C303" s="13" t="s">
        <v>1650</v>
      </c>
      <c r="D303" s="13" t="s">
        <v>2</v>
      </c>
      <c r="E303" s="13" t="s">
        <v>28</v>
      </c>
      <c r="F303" s="109">
        <v>41945</v>
      </c>
      <c r="G303" s="13" t="s">
        <v>1651</v>
      </c>
      <c r="H303" s="13" t="s">
        <v>1652</v>
      </c>
      <c r="I303" s="110" t="e">
        <v>#N/A</v>
      </c>
      <c r="J303" s="13" t="s">
        <v>725</v>
      </c>
      <c r="K303" s="13"/>
    </row>
    <row r="304" spans="1:11" ht="15.75" thickBot="1" x14ac:dyDescent="0.3">
      <c r="A304" s="103">
        <v>305</v>
      </c>
      <c r="B304" s="87" t="s">
        <v>4461</v>
      </c>
      <c r="C304" s="13" t="s">
        <v>721</v>
      </c>
      <c r="D304" s="13" t="s">
        <v>2</v>
      </c>
      <c r="E304" s="13" t="s">
        <v>28</v>
      </c>
      <c r="F304" s="109">
        <v>41969</v>
      </c>
      <c r="G304" s="13" t="s">
        <v>722</v>
      </c>
      <c r="H304" s="13" t="s">
        <v>723</v>
      </c>
      <c r="I304" s="13" t="s">
        <v>724</v>
      </c>
      <c r="J304" s="13" t="s">
        <v>725</v>
      </c>
      <c r="K304" s="13"/>
    </row>
    <row r="305" spans="1:11" ht="15.75" thickBot="1" x14ac:dyDescent="0.3">
      <c r="A305" s="103">
        <v>306</v>
      </c>
      <c r="B305" s="88" t="s">
        <v>4462</v>
      </c>
      <c r="C305" s="13" t="s">
        <v>727</v>
      </c>
      <c r="D305" s="13" t="s">
        <v>728</v>
      </c>
      <c r="E305" s="13" t="s">
        <v>28</v>
      </c>
      <c r="F305" s="109">
        <v>42316</v>
      </c>
      <c r="G305" s="13" t="s">
        <v>729</v>
      </c>
      <c r="H305" s="13" t="s">
        <v>730</v>
      </c>
      <c r="I305" s="13" t="s">
        <v>731</v>
      </c>
      <c r="J305" s="13" t="s">
        <v>725</v>
      </c>
      <c r="K305" s="13"/>
    </row>
    <row r="306" spans="1:11" ht="15.75" thickBot="1" x14ac:dyDescent="0.3">
      <c r="A306" s="103">
        <v>307</v>
      </c>
      <c r="B306" s="87" t="s">
        <v>4463</v>
      </c>
      <c r="C306" s="13" t="s">
        <v>744</v>
      </c>
      <c r="D306" s="13" t="s">
        <v>2</v>
      </c>
      <c r="E306" s="13" t="s">
        <v>28</v>
      </c>
      <c r="F306" s="109">
        <v>41824</v>
      </c>
      <c r="G306" s="13" t="s">
        <v>745</v>
      </c>
      <c r="H306" s="13" t="s">
        <v>746</v>
      </c>
      <c r="I306" s="13" t="s">
        <v>747</v>
      </c>
      <c r="J306" s="13" t="s">
        <v>725</v>
      </c>
      <c r="K306" s="13"/>
    </row>
    <row r="307" spans="1:11" ht="15.75" thickBot="1" x14ac:dyDescent="0.3">
      <c r="A307" s="103">
        <v>308</v>
      </c>
      <c r="B307" s="88" t="s">
        <v>4464</v>
      </c>
      <c r="C307" s="13" t="s">
        <v>780</v>
      </c>
      <c r="D307" s="13" t="s">
        <v>2</v>
      </c>
      <c r="E307" s="13" t="s">
        <v>10</v>
      </c>
      <c r="F307" s="109">
        <v>43091</v>
      </c>
      <c r="G307" s="13" t="s">
        <v>781</v>
      </c>
      <c r="H307" s="13" t="s">
        <v>782</v>
      </c>
      <c r="I307" s="13" t="s">
        <v>783</v>
      </c>
      <c r="J307" s="13" t="s">
        <v>725</v>
      </c>
      <c r="K307" s="13"/>
    </row>
    <row r="308" spans="1:11" ht="15.75" thickBot="1" x14ac:dyDescent="0.3">
      <c r="A308" s="103">
        <v>309</v>
      </c>
      <c r="B308" s="87" t="s">
        <v>4465</v>
      </c>
      <c r="C308" s="13" t="s">
        <v>795</v>
      </c>
      <c r="D308" s="13" t="s">
        <v>2</v>
      </c>
      <c r="E308" s="13" t="s">
        <v>10</v>
      </c>
      <c r="F308" s="109">
        <v>42977</v>
      </c>
      <c r="G308" s="13" t="s">
        <v>796</v>
      </c>
      <c r="H308" s="13" t="s">
        <v>797</v>
      </c>
      <c r="I308" s="13" t="s">
        <v>798</v>
      </c>
      <c r="J308" s="13" t="s">
        <v>725</v>
      </c>
      <c r="K308" s="13"/>
    </row>
    <row r="309" spans="1:11" ht="15.75" thickBot="1" x14ac:dyDescent="0.3">
      <c r="A309" s="103">
        <v>310</v>
      </c>
      <c r="B309" s="88" t="s">
        <v>4466</v>
      </c>
      <c r="C309" s="13" t="s">
        <v>2184</v>
      </c>
      <c r="D309" s="13" t="s">
        <v>2</v>
      </c>
      <c r="E309" s="13" t="s">
        <v>10</v>
      </c>
      <c r="F309" s="109">
        <v>41824</v>
      </c>
      <c r="G309" s="13" t="s">
        <v>2185</v>
      </c>
      <c r="H309" s="13" t="s">
        <v>2186</v>
      </c>
      <c r="I309" s="13" t="s">
        <v>3191</v>
      </c>
      <c r="J309" s="13" t="s">
        <v>725</v>
      </c>
      <c r="K309" s="13"/>
    </row>
    <row r="310" spans="1:11" ht="15.75" thickBot="1" x14ac:dyDescent="0.3">
      <c r="A310" s="103">
        <v>311</v>
      </c>
      <c r="B310" s="87" t="s">
        <v>4467</v>
      </c>
      <c r="C310" s="13" t="s">
        <v>780</v>
      </c>
      <c r="D310" s="13" t="s">
        <v>2</v>
      </c>
      <c r="E310" s="13" t="s">
        <v>10</v>
      </c>
      <c r="F310" s="109">
        <v>43091</v>
      </c>
      <c r="G310" s="13" t="s">
        <v>2207</v>
      </c>
      <c r="H310" s="13" t="s">
        <v>2208</v>
      </c>
      <c r="I310" s="13" t="s">
        <v>3193</v>
      </c>
      <c r="J310" s="13" t="s">
        <v>725</v>
      </c>
      <c r="K310" s="13"/>
    </row>
    <row r="311" spans="1:11" ht="15.75" thickBot="1" x14ac:dyDescent="0.3">
      <c r="A311" s="103">
        <v>312</v>
      </c>
      <c r="B311" s="88" t="s">
        <v>4468</v>
      </c>
      <c r="C311" s="13" t="s">
        <v>2238</v>
      </c>
      <c r="D311" s="13" t="s">
        <v>2</v>
      </c>
      <c r="E311" s="13" t="s">
        <v>10</v>
      </c>
      <c r="F311" s="109">
        <v>42422</v>
      </c>
      <c r="G311" s="13" t="s">
        <v>2239</v>
      </c>
      <c r="H311" s="13" t="s">
        <v>2240</v>
      </c>
      <c r="I311" s="13" t="s">
        <v>3198</v>
      </c>
      <c r="J311" s="13" t="s">
        <v>725</v>
      </c>
      <c r="K311" s="13"/>
    </row>
    <row r="312" spans="1:11" ht="15.75" thickBot="1" x14ac:dyDescent="0.3">
      <c r="A312" s="103">
        <v>313</v>
      </c>
      <c r="B312" s="87" t="s">
        <v>4469</v>
      </c>
      <c r="C312" s="13" t="s">
        <v>856</v>
      </c>
      <c r="D312" s="13" t="s">
        <v>2</v>
      </c>
      <c r="E312" s="13" t="s">
        <v>204</v>
      </c>
      <c r="F312" s="109">
        <v>42456</v>
      </c>
      <c r="G312" s="13" t="s">
        <v>857</v>
      </c>
      <c r="H312" s="13" t="s">
        <v>858</v>
      </c>
      <c r="I312" s="13" t="s">
        <v>3219</v>
      </c>
      <c r="J312" s="13" t="s">
        <v>725</v>
      </c>
      <c r="K312" s="13"/>
    </row>
    <row r="313" spans="1:11" ht="15.75" thickBot="1" x14ac:dyDescent="0.3">
      <c r="A313" s="103">
        <v>314</v>
      </c>
      <c r="B313" s="88" t="s">
        <v>4470</v>
      </c>
      <c r="C313" s="13" t="s">
        <v>2452</v>
      </c>
      <c r="D313" s="13" t="s">
        <v>2</v>
      </c>
      <c r="E313" s="13" t="s">
        <v>28</v>
      </c>
      <c r="F313" s="109">
        <v>41682</v>
      </c>
      <c r="G313" s="13" t="s">
        <v>2453</v>
      </c>
      <c r="H313" s="13" t="s">
        <v>2454</v>
      </c>
      <c r="I313" s="13" t="s">
        <v>3229</v>
      </c>
      <c r="J313" s="13" t="s">
        <v>725</v>
      </c>
      <c r="K313" s="13"/>
    </row>
    <row r="314" spans="1:11" ht="15.75" thickBot="1" x14ac:dyDescent="0.3">
      <c r="A314" s="103">
        <v>315</v>
      </c>
      <c r="B314" s="87" t="s">
        <v>4471</v>
      </c>
      <c r="C314" s="13" t="s">
        <v>2489</v>
      </c>
      <c r="D314" s="13" t="s">
        <v>2</v>
      </c>
      <c r="E314" s="13" t="s">
        <v>2490</v>
      </c>
      <c r="F314" s="109">
        <v>42364</v>
      </c>
      <c r="G314" s="13" t="s">
        <v>2491</v>
      </c>
      <c r="H314" s="13" t="s">
        <v>2351</v>
      </c>
      <c r="I314" s="13" t="s">
        <v>3236</v>
      </c>
      <c r="J314" s="13" t="s">
        <v>725</v>
      </c>
      <c r="K314" s="13"/>
    </row>
    <row r="315" spans="1:11" ht="15.75" thickBot="1" x14ac:dyDescent="0.3">
      <c r="A315" s="103">
        <v>316</v>
      </c>
      <c r="B315" s="88" t="s">
        <v>4472</v>
      </c>
      <c r="C315" s="13" t="s">
        <v>2555</v>
      </c>
      <c r="D315" s="13" t="s">
        <v>2</v>
      </c>
      <c r="E315" s="13" t="s">
        <v>28</v>
      </c>
      <c r="F315" s="109">
        <v>42659</v>
      </c>
      <c r="G315" s="13" t="s">
        <v>2556</v>
      </c>
      <c r="H315" s="13" t="s">
        <v>2557</v>
      </c>
      <c r="I315" s="13" t="s">
        <v>3247</v>
      </c>
      <c r="J315" s="13" t="s">
        <v>725</v>
      </c>
      <c r="K315" s="13"/>
    </row>
    <row r="316" spans="1:11" ht="15.75" thickBot="1" x14ac:dyDescent="0.3">
      <c r="A316" s="103">
        <v>317</v>
      </c>
      <c r="B316" s="87" t="s">
        <v>4473</v>
      </c>
      <c r="C316" s="13" t="s">
        <v>2580</v>
      </c>
      <c r="D316" s="13" t="s">
        <v>66</v>
      </c>
      <c r="E316" s="13" t="s">
        <v>28</v>
      </c>
      <c r="F316" s="109">
        <v>41747</v>
      </c>
      <c r="G316" s="13" t="s">
        <v>2581</v>
      </c>
      <c r="H316" s="13" t="s">
        <v>2582</v>
      </c>
      <c r="I316" s="13" t="s">
        <v>3250</v>
      </c>
      <c r="J316" s="13" t="s">
        <v>725</v>
      </c>
      <c r="K316" s="13"/>
    </row>
    <row r="317" spans="1:11" ht="15.75" thickBot="1" x14ac:dyDescent="0.3">
      <c r="A317" s="103">
        <v>318</v>
      </c>
      <c r="B317" s="88" t="s">
        <v>4474</v>
      </c>
      <c r="C317" s="13" t="s">
        <v>2587</v>
      </c>
      <c r="D317" s="13" t="s">
        <v>2</v>
      </c>
      <c r="E317" s="13" t="s">
        <v>28</v>
      </c>
      <c r="F317" s="109">
        <v>41774</v>
      </c>
      <c r="G317" s="13" t="s">
        <v>2588</v>
      </c>
      <c r="H317" s="13" t="s">
        <v>2589</v>
      </c>
      <c r="I317" s="13" t="s">
        <v>3251</v>
      </c>
      <c r="J317" s="13" t="s">
        <v>725</v>
      </c>
      <c r="K317" s="13"/>
    </row>
    <row r="318" spans="1:11" ht="15.75" thickBot="1" x14ac:dyDescent="0.3">
      <c r="A318" s="103">
        <v>319</v>
      </c>
      <c r="B318" s="87" t="s">
        <v>4475</v>
      </c>
      <c r="C318" s="13" t="s">
        <v>2774</v>
      </c>
      <c r="D318" s="13" t="s">
        <v>2</v>
      </c>
      <c r="E318" s="13" t="s">
        <v>10</v>
      </c>
      <c r="F318" s="109">
        <v>41814</v>
      </c>
      <c r="G318" s="13" t="s">
        <v>2775</v>
      </c>
      <c r="H318" s="13" t="s">
        <v>2776</v>
      </c>
      <c r="I318" s="13" t="s">
        <v>3283</v>
      </c>
      <c r="J318" s="13" t="s">
        <v>725</v>
      </c>
      <c r="K318" s="13"/>
    </row>
    <row r="319" spans="1:11" ht="15.75" thickBot="1" x14ac:dyDescent="0.3">
      <c r="A319" s="103">
        <v>320</v>
      </c>
      <c r="B319" s="88" t="s">
        <v>4476</v>
      </c>
      <c r="C319" s="13" t="s">
        <v>2814</v>
      </c>
      <c r="D319" s="13" t="s">
        <v>2</v>
      </c>
      <c r="E319" s="13" t="s">
        <v>10</v>
      </c>
      <c r="F319" s="109">
        <v>41824</v>
      </c>
      <c r="G319" s="13" t="s">
        <v>2185</v>
      </c>
      <c r="H319" s="13" t="s">
        <v>2186</v>
      </c>
      <c r="I319" s="13" t="s">
        <v>3289</v>
      </c>
      <c r="J319" s="13" t="s">
        <v>725</v>
      </c>
      <c r="K319" s="13"/>
    </row>
    <row r="320" spans="1:11" ht="15.75" thickBot="1" x14ac:dyDescent="0.3">
      <c r="A320" s="103">
        <v>321</v>
      </c>
      <c r="B320" s="87" t="s">
        <v>4477</v>
      </c>
      <c r="C320" s="13" t="s">
        <v>744</v>
      </c>
      <c r="D320" s="13" t="s">
        <v>2</v>
      </c>
      <c r="E320" s="13" t="s">
        <v>10</v>
      </c>
      <c r="F320" s="109">
        <v>41824</v>
      </c>
      <c r="G320" s="13" t="s">
        <v>2185</v>
      </c>
      <c r="H320" s="13" t="s">
        <v>2186</v>
      </c>
      <c r="I320" s="13" t="s">
        <v>3291</v>
      </c>
      <c r="J320" s="13" t="s">
        <v>725</v>
      </c>
      <c r="K320" s="13"/>
    </row>
    <row r="321" spans="1:11" ht="15.75" thickBot="1" x14ac:dyDescent="0.3">
      <c r="A321" s="103">
        <v>322</v>
      </c>
      <c r="B321" s="88" t="s">
        <v>4478</v>
      </c>
      <c r="C321" s="13" t="s">
        <v>2818</v>
      </c>
      <c r="D321" s="13" t="s">
        <v>2</v>
      </c>
      <c r="E321" s="13" t="s">
        <v>10</v>
      </c>
      <c r="F321" s="109">
        <v>41814</v>
      </c>
      <c r="G321" s="13" t="s">
        <v>2775</v>
      </c>
      <c r="H321" s="13" t="s">
        <v>2776</v>
      </c>
      <c r="I321" s="13" t="s">
        <v>3290</v>
      </c>
      <c r="J321" s="13" t="s">
        <v>725</v>
      </c>
      <c r="K321" s="13"/>
    </row>
    <row r="322" spans="1:11" ht="15.75" thickBot="1" x14ac:dyDescent="0.3">
      <c r="A322" s="103">
        <v>323</v>
      </c>
      <c r="B322" s="87" t="s">
        <v>4479</v>
      </c>
      <c r="C322" s="13" t="s">
        <v>2866</v>
      </c>
      <c r="D322" s="13" t="s">
        <v>2</v>
      </c>
      <c r="E322" s="13" t="s">
        <v>28</v>
      </c>
      <c r="F322" s="109">
        <v>41741</v>
      </c>
      <c r="G322" s="13" t="s">
        <v>2867</v>
      </c>
      <c r="H322" s="13" t="s">
        <v>2868</v>
      </c>
      <c r="I322" s="13" t="s">
        <v>3299</v>
      </c>
      <c r="J322" s="13" t="s">
        <v>725</v>
      </c>
      <c r="K322" s="13"/>
    </row>
    <row r="323" spans="1:11" ht="15.75" thickBot="1" x14ac:dyDescent="0.3">
      <c r="A323" s="103">
        <v>324</v>
      </c>
      <c r="B323" s="88" t="s">
        <v>824</v>
      </c>
      <c r="C323" s="13" t="s">
        <v>825</v>
      </c>
      <c r="D323" s="13" t="s">
        <v>2</v>
      </c>
      <c r="E323" s="13" t="s">
        <v>10</v>
      </c>
      <c r="F323" s="109">
        <v>41714</v>
      </c>
      <c r="G323" s="13" t="s">
        <v>826</v>
      </c>
      <c r="H323" s="13" t="s">
        <v>827</v>
      </c>
      <c r="I323" s="13" t="s">
        <v>828</v>
      </c>
      <c r="J323" s="13" t="s">
        <v>609</v>
      </c>
      <c r="K323" s="13"/>
    </row>
    <row r="324" spans="1:11" ht="15.75" thickBot="1" x14ac:dyDescent="0.3">
      <c r="A324" s="103">
        <v>325</v>
      </c>
      <c r="B324" s="87" t="s">
        <v>4480</v>
      </c>
      <c r="C324" s="13" t="s">
        <v>131</v>
      </c>
      <c r="D324" s="13" t="s">
        <v>66</v>
      </c>
      <c r="E324" s="13" t="s">
        <v>28</v>
      </c>
      <c r="F324" s="109">
        <v>41369</v>
      </c>
      <c r="G324" s="13" t="s">
        <v>132</v>
      </c>
      <c r="H324" s="13" t="s">
        <v>133</v>
      </c>
      <c r="I324" s="13" t="s">
        <v>134</v>
      </c>
      <c r="J324" s="13" t="s">
        <v>113</v>
      </c>
      <c r="K324" s="13"/>
    </row>
    <row r="325" spans="1:11" ht="15.75" thickBot="1" x14ac:dyDescent="0.3">
      <c r="A325" s="103">
        <v>326</v>
      </c>
      <c r="B325" s="88" t="s">
        <v>108</v>
      </c>
      <c r="C325" s="13" t="s">
        <v>109</v>
      </c>
      <c r="D325" s="13" t="s">
        <v>66</v>
      </c>
      <c r="E325" s="13" t="s">
        <v>59</v>
      </c>
      <c r="F325" s="109">
        <v>42563</v>
      </c>
      <c r="G325" s="13" t="s">
        <v>110</v>
      </c>
      <c r="H325" s="13" t="s">
        <v>111</v>
      </c>
      <c r="I325" s="13" t="s">
        <v>112</v>
      </c>
      <c r="J325" s="13" t="s">
        <v>113</v>
      </c>
      <c r="K325" s="13"/>
    </row>
    <row r="326" spans="1:11" ht="15.75" thickBot="1" x14ac:dyDescent="0.3">
      <c r="A326" s="103">
        <v>327</v>
      </c>
      <c r="B326" s="87" t="s">
        <v>114</v>
      </c>
      <c r="C326" s="13" t="s">
        <v>115</v>
      </c>
      <c r="D326" s="13" t="s">
        <v>2</v>
      </c>
      <c r="E326" s="13" t="s">
        <v>116</v>
      </c>
      <c r="F326" s="109">
        <v>42997</v>
      </c>
      <c r="G326" s="13" t="s">
        <v>117</v>
      </c>
      <c r="H326" s="13" t="s">
        <v>118</v>
      </c>
      <c r="I326" s="13" t="s">
        <v>119</v>
      </c>
      <c r="J326" s="13" t="s">
        <v>113</v>
      </c>
      <c r="K326" s="13"/>
    </row>
    <row r="327" spans="1:11" ht="15.75" thickBot="1" x14ac:dyDescent="0.3">
      <c r="A327" s="103">
        <v>328</v>
      </c>
      <c r="B327" s="88" t="s">
        <v>120</v>
      </c>
      <c r="C327" s="13" t="s">
        <v>121</v>
      </c>
      <c r="D327" s="13" t="s">
        <v>66</v>
      </c>
      <c r="E327" s="13" t="s">
        <v>28</v>
      </c>
      <c r="F327" s="109">
        <v>42812</v>
      </c>
      <c r="G327" s="13" t="s">
        <v>122</v>
      </c>
      <c r="H327" s="13" t="s">
        <v>123</v>
      </c>
      <c r="I327" s="13" t="s">
        <v>124</v>
      </c>
      <c r="J327" s="13" t="s">
        <v>113</v>
      </c>
      <c r="K327" s="13"/>
    </row>
    <row r="328" spans="1:11" ht="15.75" thickBot="1" x14ac:dyDescent="0.3">
      <c r="A328" s="103">
        <v>329</v>
      </c>
      <c r="B328" s="87" t="s">
        <v>125</v>
      </c>
      <c r="C328" s="13" t="s">
        <v>126</v>
      </c>
      <c r="D328" s="13" t="s">
        <v>66</v>
      </c>
      <c r="E328" s="13" t="s">
        <v>10</v>
      </c>
      <c r="F328" s="109">
        <v>42110</v>
      </c>
      <c r="G328" s="13" t="s">
        <v>127</v>
      </c>
      <c r="H328" s="13" t="s">
        <v>128</v>
      </c>
      <c r="I328" s="13" t="s">
        <v>129</v>
      </c>
      <c r="J328" s="13" t="s">
        <v>113</v>
      </c>
      <c r="K328" s="13"/>
    </row>
    <row r="329" spans="1:11" ht="15.75" thickBot="1" x14ac:dyDescent="0.3">
      <c r="A329" s="103">
        <v>330</v>
      </c>
      <c r="B329" s="88" t="s">
        <v>130</v>
      </c>
      <c r="C329" s="13" t="s">
        <v>131</v>
      </c>
      <c r="D329" s="13" t="s">
        <v>66</v>
      </c>
      <c r="E329" s="13" t="s">
        <v>28</v>
      </c>
      <c r="F329" s="109">
        <v>41369</v>
      </c>
      <c r="G329" s="13" t="s">
        <v>132</v>
      </c>
      <c r="H329" s="13" t="s">
        <v>133</v>
      </c>
      <c r="I329" s="13" t="s">
        <v>134</v>
      </c>
      <c r="J329" s="13" t="s">
        <v>113</v>
      </c>
      <c r="K329" s="13"/>
    </row>
    <row r="330" spans="1:11" ht="15.75" thickBot="1" x14ac:dyDescent="0.3">
      <c r="A330" s="103">
        <v>331</v>
      </c>
      <c r="B330" s="87" t="s">
        <v>135</v>
      </c>
      <c r="C330" s="13" t="s">
        <v>136</v>
      </c>
      <c r="D330" s="13" t="s">
        <v>66</v>
      </c>
      <c r="E330" s="13" t="s">
        <v>10</v>
      </c>
      <c r="F330" s="109">
        <v>42133</v>
      </c>
      <c r="G330" s="13" t="s">
        <v>137</v>
      </c>
      <c r="H330" s="13" t="s">
        <v>138</v>
      </c>
      <c r="I330" s="13" t="s">
        <v>139</v>
      </c>
      <c r="J330" s="13" t="s">
        <v>113</v>
      </c>
      <c r="K330" s="13"/>
    </row>
    <row r="331" spans="1:11" ht="15.75" thickBot="1" x14ac:dyDescent="0.3">
      <c r="A331" s="103">
        <v>332</v>
      </c>
      <c r="B331" s="88" t="s">
        <v>140</v>
      </c>
      <c r="C331" s="13" t="s">
        <v>141</v>
      </c>
      <c r="D331" s="13" t="s">
        <v>2</v>
      </c>
      <c r="E331" s="13" t="s">
        <v>10</v>
      </c>
      <c r="F331" s="109">
        <v>42970</v>
      </c>
      <c r="G331" s="13" t="s">
        <v>142</v>
      </c>
      <c r="H331" s="13" t="s">
        <v>143</v>
      </c>
      <c r="I331" s="13" t="s">
        <v>144</v>
      </c>
      <c r="J331" s="13" t="s">
        <v>113</v>
      </c>
      <c r="K331" s="13"/>
    </row>
    <row r="332" spans="1:11" ht="15.75" thickBot="1" x14ac:dyDescent="0.3">
      <c r="A332" s="103">
        <v>333</v>
      </c>
      <c r="B332" s="87" t="s">
        <v>145</v>
      </c>
      <c r="C332" s="13" t="s">
        <v>146</v>
      </c>
      <c r="D332" s="13" t="s">
        <v>66</v>
      </c>
      <c r="E332" s="13" t="s">
        <v>28</v>
      </c>
      <c r="F332" s="109">
        <v>42663</v>
      </c>
      <c r="G332" s="13" t="s">
        <v>147</v>
      </c>
      <c r="H332" s="13" t="s">
        <v>148</v>
      </c>
      <c r="I332" s="13" t="s">
        <v>149</v>
      </c>
      <c r="J332" s="13" t="s">
        <v>113</v>
      </c>
      <c r="K332" s="13"/>
    </row>
    <row r="333" spans="1:11" ht="15.75" thickBot="1" x14ac:dyDescent="0.3">
      <c r="A333" s="103">
        <v>334</v>
      </c>
      <c r="B333" s="88" t="s">
        <v>150</v>
      </c>
      <c r="C333" s="13" t="s">
        <v>151</v>
      </c>
      <c r="D333" s="13" t="s">
        <v>2</v>
      </c>
      <c r="E333" s="13" t="s">
        <v>10</v>
      </c>
      <c r="F333" s="109">
        <v>42181</v>
      </c>
      <c r="G333" s="13" t="s">
        <v>152</v>
      </c>
      <c r="H333" s="13" t="s">
        <v>153</v>
      </c>
      <c r="I333" s="13" t="s">
        <v>154</v>
      </c>
      <c r="J333" s="13" t="s">
        <v>113</v>
      </c>
      <c r="K333" s="13"/>
    </row>
    <row r="334" spans="1:11" ht="15.75" thickBot="1" x14ac:dyDescent="0.3">
      <c r="A334" s="103">
        <v>335</v>
      </c>
      <c r="B334" s="87" t="s">
        <v>545</v>
      </c>
      <c r="C334" s="13" t="s">
        <v>546</v>
      </c>
      <c r="D334" s="13" t="s">
        <v>2</v>
      </c>
      <c r="E334" s="13" t="s">
        <v>28</v>
      </c>
      <c r="F334" s="109">
        <v>43177</v>
      </c>
      <c r="G334" s="13" t="s">
        <v>547</v>
      </c>
      <c r="H334" s="13" t="s">
        <v>548</v>
      </c>
      <c r="I334" s="13" t="s">
        <v>549</v>
      </c>
      <c r="J334" s="13" t="s">
        <v>550</v>
      </c>
      <c r="K334" s="13"/>
    </row>
    <row r="335" spans="1:11" ht="15.75" thickBot="1" x14ac:dyDescent="0.3">
      <c r="A335" s="103">
        <v>335</v>
      </c>
      <c r="B335" s="88" t="s">
        <v>2885</v>
      </c>
      <c r="C335" s="13" t="s">
        <v>2881</v>
      </c>
      <c r="D335" s="13" t="s">
        <v>2</v>
      </c>
      <c r="E335" s="13" t="s">
        <v>365</v>
      </c>
      <c r="F335" s="109">
        <v>42709</v>
      </c>
      <c r="G335" s="13" t="s">
        <v>2882</v>
      </c>
      <c r="H335" s="13" t="s">
        <v>2883</v>
      </c>
      <c r="I335" s="13" t="s">
        <v>3302</v>
      </c>
      <c r="J335" s="98" t="s">
        <v>2880</v>
      </c>
      <c r="K335" s="13"/>
    </row>
    <row r="336" spans="1:11" ht="15.75" thickBot="1" x14ac:dyDescent="0.3">
      <c r="A336" s="103">
        <v>337</v>
      </c>
      <c r="B336" s="87" t="s">
        <v>436</v>
      </c>
      <c r="C336" s="13" t="s">
        <v>437</v>
      </c>
      <c r="D336" s="13" t="s">
        <v>66</v>
      </c>
      <c r="E336" s="13" t="s">
        <v>28</v>
      </c>
      <c r="F336" s="109">
        <v>41900</v>
      </c>
      <c r="G336" s="13" t="s">
        <v>438</v>
      </c>
      <c r="H336" s="13" t="s">
        <v>439</v>
      </c>
      <c r="I336" s="13" t="s">
        <v>440</v>
      </c>
      <c r="J336" s="13" t="s">
        <v>441</v>
      </c>
      <c r="K336" s="13"/>
    </row>
    <row r="337" spans="1:11" ht="15.75" thickBot="1" x14ac:dyDescent="0.3">
      <c r="A337" s="103">
        <v>338</v>
      </c>
      <c r="B337" s="88" t="s">
        <v>2021</v>
      </c>
      <c r="C337" s="13" t="s">
        <v>2016</v>
      </c>
      <c r="D337" s="13" t="s">
        <v>66</v>
      </c>
      <c r="E337" s="13" t="s">
        <v>10</v>
      </c>
      <c r="F337" s="109">
        <v>42460</v>
      </c>
      <c r="G337" s="13" t="s">
        <v>2017</v>
      </c>
      <c r="H337" s="13" t="s">
        <v>2018</v>
      </c>
      <c r="I337" s="13" t="s">
        <v>3172</v>
      </c>
      <c r="J337" s="13" t="s">
        <v>441</v>
      </c>
      <c r="K337" s="13"/>
    </row>
    <row r="338" spans="1:11" ht="15.75" thickBot="1" x14ac:dyDescent="0.3">
      <c r="A338" s="103">
        <v>339</v>
      </c>
      <c r="B338" s="87" t="s">
        <v>2027</v>
      </c>
      <c r="C338" s="13" t="s">
        <v>2023</v>
      </c>
      <c r="D338" s="13" t="s">
        <v>66</v>
      </c>
      <c r="E338" s="13" t="s">
        <v>10</v>
      </c>
      <c r="F338" s="109">
        <v>42294</v>
      </c>
      <c r="G338" s="13" t="s">
        <v>2024</v>
      </c>
      <c r="H338" s="13" t="s">
        <v>2025</v>
      </c>
      <c r="I338" s="13" t="s">
        <v>3173</v>
      </c>
      <c r="J338" s="13" t="s">
        <v>441</v>
      </c>
      <c r="K338" s="13"/>
    </row>
    <row r="339" spans="1:11" ht="15.75" thickBot="1" x14ac:dyDescent="0.3">
      <c r="A339" s="103">
        <v>340</v>
      </c>
      <c r="B339" s="88" t="s">
        <v>2034</v>
      </c>
      <c r="C339" s="13" t="s">
        <v>2030</v>
      </c>
      <c r="D339" s="13" t="s">
        <v>66</v>
      </c>
      <c r="E339" s="13" t="s">
        <v>10</v>
      </c>
      <c r="F339" s="109">
        <v>42746</v>
      </c>
      <c r="G339" s="13" t="s">
        <v>2031</v>
      </c>
      <c r="H339" s="13" t="s">
        <v>2032</v>
      </c>
      <c r="I339" s="13" t="s">
        <v>3174</v>
      </c>
      <c r="J339" s="13" t="s">
        <v>441</v>
      </c>
      <c r="K339" s="13"/>
    </row>
    <row r="340" spans="1:11" ht="15.75" thickBot="1" x14ac:dyDescent="0.3">
      <c r="A340" s="103">
        <v>341</v>
      </c>
      <c r="B340" s="87" t="s">
        <v>2051</v>
      </c>
      <c r="C340" s="13" t="s">
        <v>2047</v>
      </c>
      <c r="D340" s="13" t="s">
        <v>2</v>
      </c>
      <c r="E340" s="13" t="s">
        <v>59</v>
      </c>
      <c r="F340" s="109">
        <v>42358</v>
      </c>
      <c r="G340" s="13" t="s">
        <v>2048</v>
      </c>
      <c r="H340" s="13" t="s">
        <v>2049</v>
      </c>
      <c r="I340" s="13" t="s">
        <v>3176</v>
      </c>
      <c r="J340" s="13" t="s">
        <v>441</v>
      </c>
      <c r="K340" s="13"/>
    </row>
    <row r="341" spans="1:11" ht="15.75" thickBot="1" x14ac:dyDescent="0.3">
      <c r="A341" s="103">
        <v>342</v>
      </c>
      <c r="B341" s="88" t="s">
        <v>2057</v>
      </c>
      <c r="C341" s="13" t="s">
        <v>2053</v>
      </c>
      <c r="D341" s="13" t="s">
        <v>66</v>
      </c>
      <c r="E341" s="13" t="s">
        <v>10</v>
      </c>
      <c r="F341" s="109">
        <v>41646</v>
      </c>
      <c r="G341" s="13" t="s">
        <v>2054</v>
      </c>
      <c r="H341" s="13" t="s">
        <v>2055</v>
      </c>
      <c r="I341" s="13" t="s">
        <v>3177</v>
      </c>
      <c r="J341" s="13" t="s">
        <v>441</v>
      </c>
      <c r="K341" s="13"/>
    </row>
    <row r="342" spans="1:11" ht="15.75" thickBot="1" x14ac:dyDescent="0.3">
      <c r="A342" s="103">
        <v>343</v>
      </c>
      <c r="B342" s="87" t="s">
        <v>2103</v>
      </c>
      <c r="C342" s="13" t="s">
        <v>2099</v>
      </c>
      <c r="D342" s="13" t="s">
        <v>66</v>
      </c>
      <c r="E342" s="13" t="s">
        <v>10</v>
      </c>
      <c r="F342" s="109">
        <v>42265</v>
      </c>
      <c r="G342" s="13" t="s">
        <v>2100</v>
      </c>
      <c r="H342" s="13" t="s">
        <v>2101</v>
      </c>
      <c r="I342" s="13" t="s">
        <v>3184</v>
      </c>
      <c r="J342" s="13" t="s">
        <v>441</v>
      </c>
      <c r="K342" s="13"/>
    </row>
    <row r="343" spans="1:11" ht="15.75" thickBot="1" x14ac:dyDescent="0.3">
      <c r="A343" s="103">
        <v>344</v>
      </c>
      <c r="B343" s="88" t="s">
        <v>2111</v>
      </c>
      <c r="C343" s="13" t="s">
        <v>2106</v>
      </c>
      <c r="D343" s="13" t="s">
        <v>66</v>
      </c>
      <c r="E343" s="13" t="s">
        <v>2107</v>
      </c>
      <c r="F343" s="109">
        <v>41420</v>
      </c>
      <c r="G343" s="13" t="s">
        <v>2108</v>
      </c>
      <c r="H343" s="13" t="s">
        <v>2109</v>
      </c>
      <c r="I343" s="13" t="s">
        <v>3185</v>
      </c>
      <c r="J343" s="13" t="s">
        <v>441</v>
      </c>
      <c r="K343" s="13"/>
    </row>
    <row r="344" spans="1:11" ht="15.75" thickBot="1" x14ac:dyDescent="0.3">
      <c r="A344" s="103">
        <v>345</v>
      </c>
      <c r="B344" s="87" t="s">
        <v>2117</v>
      </c>
      <c r="C344" s="13" t="s">
        <v>2113</v>
      </c>
      <c r="D344" s="13" t="s">
        <v>2</v>
      </c>
      <c r="E344" s="13" t="s">
        <v>10</v>
      </c>
      <c r="F344" s="109">
        <v>42825</v>
      </c>
      <c r="G344" s="13" t="s">
        <v>2114</v>
      </c>
      <c r="H344" s="13" t="s">
        <v>2115</v>
      </c>
      <c r="I344" s="13" t="s">
        <v>3186</v>
      </c>
      <c r="J344" s="13" t="s">
        <v>441</v>
      </c>
      <c r="K344" s="13"/>
    </row>
    <row r="345" spans="1:11" ht="15.75" thickBot="1" x14ac:dyDescent="0.3">
      <c r="A345" s="103">
        <v>346</v>
      </c>
      <c r="B345" s="88" t="s">
        <v>2124</v>
      </c>
      <c r="C345" s="13" t="s">
        <v>2120</v>
      </c>
      <c r="D345" s="13" t="s">
        <v>2</v>
      </c>
      <c r="E345" s="13" t="s">
        <v>10</v>
      </c>
      <c r="F345" s="109">
        <v>41939</v>
      </c>
      <c r="G345" s="13" t="s">
        <v>2121</v>
      </c>
      <c r="H345" s="13" t="s">
        <v>2122</v>
      </c>
      <c r="I345" s="13" t="s">
        <v>3187</v>
      </c>
      <c r="J345" s="13" t="s">
        <v>441</v>
      </c>
      <c r="K345" s="13"/>
    </row>
    <row r="346" spans="1:11" ht="15.75" thickBot="1" x14ac:dyDescent="0.3">
      <c r="A346" s="103">
        <v>347</v>
      </c>
      <c r="B346" s="87" t="s">
        <v>2136</v>
      </c>
      <c r="C346" s="13" t="s">
        <v>2131</v>
      </c>
      <c r="D346" s="13" t="s">
        <v>2</v>
      </c>
      <c r="E346" s="13" t="s">
        <v>2132</v>
      </c>
      <c r="F346" s="109">
        <v>42567</v>
      </c>
      <c r="G346" s="13" t="s">
        <v>2133</v>
      </c>
      <c r="H346" s="13" t="s">
        <v>2134</v>
      </c>
      <c r="I346" s="13" t="s">
        <v>3189</v>
      </c>
      <c r="J346" s="13" t="s">
        <v>441</v>
      </c>
      <c r="K346" s="13"/>
    </row>
    <row r="347" spans="1:11" ht="15.75" thickBot="1" x14ac:dyDescent="0.3">
      <c r="A347" s="103">
        <v>348</v>
      </c>
      <c r="B347" s="88" t="s">
        <v>2142</v>
      </c>
      <c r="C347" s="13" t="s">
        <v>2138</v>
      </c>
      <c r="D347" s="13" t="s">
        <v>2</v>
      </c>
      <c r="E347" s="13" t="s">
        <v>10</v>
      </c>
      <c r="F347" s="109">
        <v>41954</v>
      </c>
      <c r="G347" s="13" t="s">
        <v>2139</v>
      </c>
      <c r="H347" s="13" t="s">
        <v>2140</v>
      </c>
      <c r="I347" s="13" t="s">
        <v>3190</v>
      </c>
      <c r="J347" s="13" t="s">
        <v>441</v>
      </c>
      <c r="K347" s="13"/>
    </row>
    <row r="348" spans="1:11" ht="15.75" thickBot="1" x14ac:dyDescent="0.3">
      <c r="A348" s="103">
        <v>349</v>
      </c>
      <c r="B348" s="87" t="s">
        <v>2731</v>
      </c>
      <c r="C348" s="13" t="s">
        <v>2727</v>
      </c>
      <c r="D348" s="13" t="s">
        <v>2</v>
      </c>
      <c r="E348" s="13" t="s">
        <v>59</v>
      </c>
      <c r="F348" s="109">
        <v>42742</v>
      </c>
      <c r="G348" s="13" t="s">
        <v>2728</v>
      </c>
      <c r="H348" s="13" t="s">
        <v>2729</v>
      </c>
      <c r="I348" s="13" t="s">
        <v>3276</v>
      </c>
      <c r="J348" s="13" t="s">
        <v>441</v>
      </c>
      <c r="K348" s="13"/>
    </row>
    <row r="349" spans="1:11" ht="15.75" thickBot="1" x14ac:dyDescent="0.3">
      <c r="A349" s="103">
        <v>350</v>
      </c>
      <c r="B349" s="88" t="s">
        <v>2750</v>
      </c>
      <c r="C349" s="13" t="s">
        <v>2746</v>
      </c>
      <c r="D349" s="13" t="s">
        <v>66</v>
      </c>
      <c r="E349" s="13" t="s">
        <v>10</v>
      </c>
      <c r="F349" s="109">
        <v>42556</v>
      </c>
      <c r="G349" s="13" t="s">
        <v>2747</v>
      </c>
      <c r="H349" s="13" t="s">
        <v>2748</v>
      </c>
      <c r="I349" s="13" t="s">
        <v>3278</v>
      </c>
      <c r="J349" s="13" t="s">
        <v>441</v>
      </c>
      <c r="K349" s="13"/>
    </row>
    <row r="350" spans="1:11" ht="15.75" thickBot="1" x14ac:dyDescent="0.3">
      <c r="A350" s="103">
        <v>350</v>
      </c>
      <c r="B350" s="87" t="s">
        <v>2766</v>
      </c>
      <c r="C350" s="13" t="s">
        <v>2762</v>
      </c>
      <c r="D350" s="13" t="s">
        <v>2</v>
      </c>
      <c r="E350" s="13" t="s">
        <v>10</v>
      </c>
      <c r="F350" s="109">
        <v>42931</v>
      </c>
      <c r="G350" s="13" t="s">
        <v>2763</v>
      </c>
      <c r="H350" s="13" t="s">
        <v>2764</v>
      </c>
      <c r="I350" s="13" t="s">
        <v>3281</v>
      </c>
      <c r="J350" s="13" t="s">
        <v>441</v>
      </c>
      <c r="K350" s="13"/>
    </row>
    <row r="351" spans="1:11" ht="15.75" thickBot="1" x14ac:dyDescent="0.3">
      <c r="A351" s="103">
        <v>352</v>
      </c>
      <c r="B351" s="88" t="s">
        <v>2772</v>
      </c>
      <c r="C351" s="13" t="s">
        <v>2768</v>
      </c>
      <c r="D351" s="13" t="s">
        <v>2</v>
      </c>
      <c r="E351" s="13" t="s">
        <v>10</v>
      </c>
      <c r="F351" s="109">
        <v>42256</v>
      </c>
      <c r="G351" s="13" t="s">
        <v>2769</v>
      </c>
      <c r="H351" s="13" t="s">
        <v>2770</v>
      </c>
      <c r="I351" s="13" t="s">
        <v>3282</v>
      </c>
      <c r="J351" s="13" t="s">
        <v>441</v>
      </c>
      <c r="K351" s="13"/>
    </row>
    <row r="352" spans="1:11" ht="15.75" thickBot="1" x14ac:dyDescent="0.3">
      <c r="A352" s="103">
        <v>353</v>
      </c>
      <c r="B352" s="87" t="s">
        <v>2075</v>
      </c>
      <c r="C352" s="13" t="s">
        <v>2036</v>
      </c>
      <c r="D352" s="13" t="s">
        <v>2</v>
      </c>
      <c r="E352" s="13" t="s">
        <v>10</v>
      </c>
      <c r="F352" s="109">
        <v>46017</v>
      </c>
      <c r="G352" s="13" t="s">
        <v>1964</v>
      </c>
      <c r="H352" s="13" t="s">
        <v>1965</v>
      </c>
      <c r="I352" s="13" t="s">
        <v>3181</v>
      </c>
      <c r="J352" s="98" t="s">
        <v>2073</v>
      </c>
      <c r="K352" s="13"/>
    </row>
    <row r="353" spans="1:11" ht="15.75" thickBot="1" x14ac:dyDescent="0.3">
      <c r="A353" s="103">
        <v>354</v>
      </c>
      <c r="B353" s="88" t="s">
        <v>693</v>
      </c>
      <c r="C353" s="13" t="s">
        <v>694</v>
      </c>
      <c r="D353" s="13" t="s">
        <v>2</v>
      </c>
      <c r="E353" s="13" t="s">
        <v>695</v>
      </c>
      <c r="F353" s="109">
        <v>41905</v>
      </c>
      <c r="G353" s="13" t="s">
        <v>696</v>
      </c>
      <c r="H353" s="13" t="s">
        <v>697</v>
      </c>
      <c r="I353" s="13" t="s">
        <v>698</v>
      </c>
      <c r="J353" s="13" t="s">
        <v>699</v>
      </c>
      <c r="K353" s="13"/>
    </row>
    <row r="354" spans="1:11" ht="15.75" thickBot="1" x14ac:dyDescent="0.3">
      <c r="A354" s="103">
        <v>355</v>
      </c>
      <c r="B354" s="87" t="s">
        <v>808</v>
      </c>
      <c r="C354" s="13" t="s">
        <v>809</v>
      </c>
      <c r="D354" s="13" t="s">
        <v>2</v>
      </c>
      <c r="E354" s="13" t="s">
        <v>10</v>
      </c>
      <c r="F354" s="109">
        <v>41632</v>
      </c>
      <c r="G354" s="13" t="s">
        <v>810</v>
      </c>
      <c r="H354" s="13" t="s">
        <v>811</v>
      </c>
      <c r="I354" s="13" t="s">
        <v>812</v>
      </c>
      <c r="J354" s="13" t="s">
        <v>699</v>
      </c>
      <c r="K354" s="13"/>
    </row>
    <row r="355" spans="1:11" ht="15.75" thickBot="1" x14ac:dyDescent="0.3">
      <c r="A355" s="103">
        <v>356</v>
      </c>
      <c r="B355" s="88" t="s">
        <v>813</v>
      </c>
      <c r="C355" s="13" t="s">
        <v>814</v>
      </c>
      <c r="D355" s="13" t="s">
        <v>2</v>
      </c>
      <c r="E355" s="13" t="s">
        <v>815</v>
      </c>
      <c r="F355" s="109">
        <v>42005</v>
      </c>
      <c r="G355" s="13" t="s">
        <v>816</v>
      </c>
      <c r="H355" s="13" t="s">
        <v>817</v>
      </c>
      <c r="I355" s="13" t="s">
        <v>818</v>
      </c>
      <c r="J355" s="13" t="s">
        <v>699</v>
      </c>
      <c r="K355" s="13"/>
    </row>
    <row r="356" spans="1:11" ht="15.75" thickBot="1" x14ac:dyDescent="0.3">
      <c r="A356" s="103">
        <v>357</v>
      </c>
      <c r="B356" s="87" t="s">
        <v>880</v>
      </c>
      <c r="C356" s="13" t="s">
        <v>881</v>
      </c>
      <c r="D356" s="13" t="s">
        <v>2</v>
      </c>
      <c r="E356" s="13" t="s">
        <v>10</v>
      </c>
      <c r="F356" s="109">
        <v>42066</v>
      </c>
      <c r="G356" s="13" t="s">
        <v>882</v>
      </c>
      <c r="H356" s="13" t="s">
        <v>883</v>
      </c>
      <c r="I356" s="13" t="s">
        <v>884</v>
      </c>
      <c r="J356" s="13" t="s">
        <v>699</v>
      </c>
      <c r="K356" s="13"/>
    </row>
    <row r="357" spans="1:11" ht="15.75" thickBot="1" x14ac:dyDescent="0.3">
      <c r="A357" s="103">
        <v>358</v>
      </c>
      <c r="B357" s="88" t="s">
        <v>562</v>
      </c>
      <c r="C357" s="13" t="s">
        <v>563</v>
      </c>
      <c r="D357" s="13" t="s">
        <v>2</v>
      </c>
      <c r="E357" s="13" t="s">
        <v>10</v>
      </c>
      <c r="F357" s="109">
        <v>42621</v>
      </c>
      <c r="G357" s="13" t="s">
        <v>564</v>
      </c>
      <c r="H357" s="13" t="s">
        <v>565</v>
      </c>
      <c r="I357" s="13" t="s">
        <v>566</v>
      </c>
      <c r="J357" s="13" t="s">
        <v>567</v>
      </c>
      <c r="K357" s="13"/>
    </row>
    <row r="358" spans="1:11" ht="15.75" thickBot="1" x14ac:dyDescent="0.3">
      <c r="A358" s="103">
        <v>359</v>
      </c>
      <c r="B358" s="87" t="s">
        <v>568</v>
      </c>
      <c r="C358" s="13" t="s">
        <v>569</v>
      </c>
      <c r="D358" s="13" t="s">
        <v>2</v>
      </c>
      <c r="E358" s="13" t="s">
        <v>10</v>
      </c>
      <c r="F358" s="109">
        <v>42412</v>
      </c>
      <c r="G358" s="13" t="s">
        <v>570</v>
      </c>
      <c r="H358" s="13" t="s">
        <v>571</v>
      </c>
      <c r="I358" s="13" t="s">
        <v>572</v>
      </c>
      <c r="J358" s="13" t="s">
        <v>567</v>
      </c>
      <c r="K358" s="13"/>
    </row>
    <row r="359" spans="1:11" ht="15.75" thickBot="1" x14ac:dyDescent="0.3">
      <c r="A359" s="103">
        <v>360</v>
      </c>
      <c r="B359" s="88" t="s">
        <v>573</v>
      </c>
      <c r="C359" s="13" t="s">
        <v>574</v>
      </c>
      <c r="D359" s="13" t="s">
        <v>2</v>
      </c>
      <c r="E359" s="13" t="s">
        <v>10</v>
      </c>
      <c r="F359" s="109">
        <v>42543</v>
      </c>
      <c r="G359" s="13" t="s">
        <v>575</v>
      </c>
      <c r="H359" s="13" t="s">
        <v>576</v>
      </c>
      <c r="I359" s="13" t="s">
        <v>577</v>
      </c>
      <c r="J359" s="13" t="s">
        <v>567</v>
      </c>
      <c r="K359" s="13"/>
    </row>
    <row r="360" spans="1:11" ht="15.75" thickBot="1" x14ac:dyDescent="0.3">
      <c r="A360" s="103">
        <v>361</v>
      </c>
      <c r="B360" s="87" t="s">
        <v>3327</v>
      </c>
      <c r="C360" s="13" t="s">
        <v>578</v>
      </c>
      <c r="D360" s="13" t="s">
        <v>66</v>
      </c>
      <c r="E360" s="13" t="s">
        <v>579</v>
      </c>
      <c r="F360" s="109">
        <v>40834</v>
      </c>
      <c r="G360" s="13" t="s">
        <v>580</v>
      </c>
      <c r="H360" s="13" t="s">
        <v>581</v>
      </c>
      <c r="I360" s="110" t="e">
        <v>#N/A</v>
      </c>
      <c r="J360" s="13" t="s">
        <v>567</v>
      </c>
      <c r="K360" s="13"/>
    </row>
    <row r="361" spans="1:11" ht="15.75" thickBot="1" x14ac:dyDescent="0.3">
      <c r="A361" s="103">
        <v>362</v>
      </c>
      <c r="B361" s="88" t="s">
        <v>582</v>
      </c>
      <c r="C361" s="13" t="s">
        <v>583</v>
      </c>
      <c r="D361" s="13" t="s">
        <v>66</v>
      </c>
      <c r="E361" s="13" t="s">
        <v>28</v>
      </c>
      <c r="F361" s="109">
        <v>41261</v>
      </c>
      <c r="G361" s="13" t="s">
        <v>584</v>
      </c>
      <c r="H361" s="13" t="s">
        <v>585</v>
      </c>
      <c r="I361" s="13" t="s">
        <v>586</v>
      </c>
      <c r="J361" s="13" t="s">
        <v>567</v>
      </c>
      <c r="K361" s="13"/>
    </row>
    <row r="362" spans="1:11" ht="15.75" thickBot="1" x14ac:dyDescent="0.3">
      <c r="A362" s="103">
        <v>363</v>
      </c>
      <c r="B362" s="87" t="s">
        <v>870</v>
      </c>
      <c r="C362" s="13" t="s">
        <v>871</v>
      </c>
      <c r="D362" s="13" t="s">
        <v>2</v>
      </c>
      <c r="E362" s="13" t="s">
        <v>10</v>
      </c>
      <c r="F362" s="109">
        <v>42921</v>
      </c>
      <c r="G362" s="13" t="s">
        <v>872</v>
      </c>
      <c r="H362" s="13" t="s">
        <v>873</v>
      </c>
      <c r="I362" s="13" t="s">
        <v>874</v>
      </c>
      <c r="J362" s="13" t="s">
        <v>567</v>
      </c>
      <c r="K362" s="13"/>
    </row>
    <row r="363" spans="1:11" ht="15.75" thickBot="1" x14ac:dyDescent="0.3">
      <c r="A363" s="103">
        <v>364</v>
      </c>
      <c r="B363" s="88" t="s">
        <v>20</v>
      </c>
      <c r="C363" s="13" t="s">
        <v>21</v>
      </c>
      <c r="D363" s="13" t="s">
        <v>2</v>
      </c>
      <c r="E363" s="13" t="s">
        <v>10</v>
      </c>
      <c r="F363" s="109">
        <v>42488</v>
      </c>
      <c r="G363" s="13" t="s">
        <v>22</v>
      </c>
      <c r="H363" s="13" t="s">
        <v>23</v>
      </c>
      <c r="I363" s="13" t="s">
        <v>24</v>
      </c>
      <c r="J363" s="13" t="s">
        <v>25</v>
      </c>
      <c r="K363" s="13"/>
    </row>
    <row r="364" spans="1:11" ht="15.75" thickBot="1" x14ac:dyDescent="0.3">
      <c r="A364" s="103">
        <v>365</v>
      </c>
      <c r="B364" s="87" t="s">
        <v>26</v>
      </c>
      <c r="C364" s="13" t="s">
        <v>27</v>
      </c>
      <c r="D364" s="13" t="s">
        <v>2</v>
      </c>
      <c r="E364" s="13" t="s">
        <v>28</v>
      </c>
      <c r="F364" s="109">
        <v>42037</v>
      </c>
      <c r="G364" s="13" t="s">
        <v>29</v>
      </c>
      <c r="H364" s="13" t="s">
        <v>30</v>
      </c>
      <c r="I364" s="13" t="s">
        <v>31</v>
      </c>
      <c r="J364" s="13" t="s">
        <v>25</v>
      </c>
      <c r="K364" s="13"/>
    </row>
    <row r="365" spans="1:11" ht="15.75" thickBot="1" x14ac:dyDescent="0.3">
      <c r="A365" s="103">
        <v>366</v>
      </c>
      <c r="B365" s="88" t="s">
        <v>32</v>
      </c>
      <c r="C365" s="13" t="s">
        <v>33</v>
      </c>
      <c r="D365" s="13" t="s">
        <v>2</v>
      </c>
      <c r="E365" s="13" t="s">
        <v>10</v>
      </c>
      <c r="F365" s="109">
        <v>42841</v>
      </c>
      <c r="G365" s="13" t="s">
        <v>34</v>
      </c>
      <c r="H365" s="13" t="s">
        <v>35</v>
      </c>
      <c r="I365" s="13" t="s">
        <v>36</v>
      </c>
      <c r="J365" s="13" t="s">
        <v>25</v>
      </c>
      <c r="K365" s="13"/>
    </row>
    <row r="366" spans="1:11" ht="15.75" thickBot="1" x14ac:dyDescent="0.3">
      <c r="A366" s="103">
        <v>367</v>
      </c>
      <c r="B366" s="87" t="s">
        <v>37</v>
      </c>
      <c r="C366" s="13" t="s">
        <v>38</v>
      </c>
      <c r="D366" s="13" t="s">
        <v>2</v>
      </c>
      <c r="E366" s="13" t="s">
        <v>10</v>
      </c>
      <c r="F366" s="109">
        <v>42307</v>
      </c>
      <c r="G366" s="13" t="s">
        <v>39</v>
      </c>
      <c r="H366" s="13" t="s">
        <v>40</v>
      </c>
      <c r="I366" s="13" t="s">
        <v>41</v>
      </c>
      <c r="J366" s="13" t="s">
        <v>25</v>
      </c>
      <c r="K366" s="13"/>
    </row>
    <row r="367" spans="1:11" ht="15.75" thickBot="1" x14ac:dyDescent="0.3">
      <c r="A367" s="103">
        <v>368</v>
      </c>
      <c r="B367" s="88" t="s">
        <v>42</v>
      </c>
      <c r="C367" s="13" t="s">
        <v>43</v>
      </c>
      <c r="D367" s="13" t="s">
        <v>2</v>
      </c>
      <c r="E367" s="13" t="s">
        <v>10</v>
      </c>
      <c r="F367" s="109">
        <v>42577</v>
      </c>
      <c r="G367" s="13" t="s">
        <v>44</v>
      </c>
      <c r="H367" s="13" t="s">
        <v>45</v>
      </c>
      <c r="I367" s="13" t="s">
        <v>46</v>
      </c>
      <c r="J367" s="13" t="s">
        <v>25</v>
      </c>
      <c r="K367" s="13"/>
    </row>
    <row r="368" spans="1:11" ht="15.75" thickBot="1" x14ac:dyDescent="0.3">
      <c r="A368" s="103">
        <v>369</v>
      </c>
      <c r="B368" s="87" t="s">
        <v>47</v>
      </c>
      <c r="C368" s="13" t="s">
        <v>48</v>
      </c>
      <c r="D368" s="13" t="s">
        <v>2</v>
      </c>
      <c r="E368" s="13" t="s">
        <v>10</v>
      </c>
      <c r="F368" s="109">
        <v>41482</v>
      </c>
      <c r="G368" s="13" t="s">
        <v>49</v>
      </c>
      <c r="H368" s="13" t="s">
        <v>50</v>
      </c>
      <c r="I368" s="13" t="s">
        <v>51</v>
      </c>
      <c r="J368" s="13" t="s">
        <v>25</v>
      </c>
      <c r="K368" s="13"/>
    </row>
    <row r="369" spans="1:11" ht="15.75" thickBot="1" x14ac:dyDescent="0.3">
      <c r="A369" s="103">
        <v>370</v>
      </c>
      <c r="B369" s="88" t="s">
        <v>52</v>
      </c>
      <c r="C369" s="13" t="s">
        <v>53</v>
      </c>
      <c r="D369" s="13" t="s">
        <v>2</v>
      </c>
      <c r="E369" s="13" t="s">
        <v>10</v>
      </c>
      <c r="F369" s="109">
        <v>42729</v>
      </c>
      <c r="G369" s="13" t="s">
        <v>54</v>
      </c>
      <c r="H369" s="13" t="s">
        <v>55</v>
      </c>
      <c r="I369" s="13" t="s">
        <v>56</v>
      </c>
      <c r="J369" s="13" t="s">
        <v>25</v>
      </c>
      <c r="K369" s="13"/>
    </row>
    <row r="370" spans="1:11" ht="15.75" thickBot="1" x14ac:dyDescent="0.3">
      <c r="A370" s="103">
        <v>371</v>
      </c>
      <c r="B370" s="87" t="s">
        <v>2225</v>
      </c>
      <c r="C370" s="13" t="s">
        <v>2220</v>
      </c>
      <c r="D370" s="13" t="s">
        <v>66</v>
      </c>
      <c r="E370" s="13" t="s">
        <v>28</v>
      </c>
      <c r="F370" s="109">
        <v>42203</v>
      </c>
      <c r="G370" s="13" t="s">
        <v>2221</v>
      </c>
      <c r="H370" s="13" t="s">
        <v>2222</v>
      </c>
      <c r="I370" s="13" t="s">
        <v>3195</v>
      </c>
      <c r="J370" s="13" t="s">
        <v>2219</v>
      </c>
      <c r="K370" s="13"/>
    </row>
    <row r="371" spans="1:11" ht="15.75" thickBot="1" x14ac:dyDescent="0.3">
      <c r="A371" s="103">
        <v>372</v>
      </c>
      <c r="B371" s="88" t="s">
        <v>2232</v>
      </c>
      <c r="C371" s="13" t="s">
        <v>2227</v>
      </c>
      <c r="D371" s="13" t="s">
        <v>2</v>
      </c>
      <c r="E371" s="13" t="s">
        <v>10</v>
      </c>
      <c r="F371" s="109">
        <v>42733</v>
      </c>
      <c r="G371" s="13" t="s">
        <v>2228</v>
      </c>
      <c r="H371" s="13" t="s">
        <v>2229</v>
      </c>
      <c r="I371" s="13" t="s">
        <v>3196</v>
      </c>
      <c r="J371" s="13" t="s">
        <v>2219</v>
      </c>
      <c r="K371" s="13"/>
    </row>
    <row r="372" spans="1:11" ht="15.75" thickBot="1" x14ac:dyDescent="0.3">
      <c r="A372" s="103">
        <v>373</v>
      </c>
      <c r="B372" s="87" t="s">
        <v>2257</v>
      </c>
      <c r="C372" s="13" t="s">
        <v>2252</v>
      </c>
      <c r="D372" s="13" t="s">
        <v>66</v>
      </c>
      <c r="E372" s="13" t="s">
        <v>10</v>
      </c>
      <c r="F372" s="109">
        <v>41418</v>
      </c>
      <c r="G372" s="13" t="s">
        <v>2253</v>
      </c>
      <c r="H372" s="13" t="s">
        <v>2254</v>
      </c>
      <c r="I372" s="13" t="s">
        <v>3200</v>
      </c>
      <c r="J372" s="13" t="s">
        <v>2219</v>
      </c>
      <c r="K372" s="13"/>
    </row>
    <row r="373" spans="1:11" ht="15.75" thickBot="1" x14ac:dyDescent="0.3">
      <c r="A373" s="103">
        <v>374</v>
      </c>
      <c r="B373" s="88" t="s">
        <v>2264</v>
      </c>
      <c r="C373" s="13" t="s">
        <v>2259</v>
      </c>
      <c r="D373" s="13" t="s">
        <v>66</v>
      </c>
      <c r="E373" s="13" t="s">
        <v>10</v>
      </c>
      <c r="F373" s="109">
        <v>41907</v>
      </c>
      <c r="G373" s="13" t="s">
        <v>2260</v>
      </c>
      <c r="H373" s="13" t="s">
        <v>2261</v>
      </c>
      <c r="I373" s="13" t="s">
        <v>3201</v>
      </c>
      <c r="J373" s="13" t="s">
        <v>2219</v>
      </c>
      <c r="K373" s="13"/>
    </row>
    <row r="374" spans="1:11" ht="15.75" thickBot="1" x14ac:dyDescent="0.3">
      <c r="A374" s="103">
        <v>375</v>
      </c>
      <c r="B374" s="87" t="s">
        <v>2285</v>
      </c>
      <c r="C374" s="13" t="s">
        <v>2280</v>
      </c>
      <c r="D374" s="13" t="s">
        <v>2</v>
      </c>
      <c r="E374" s="13" t="s">
        <v>28</v>
      </c>
      <c r="F374" s="109">
        <v>41920</v>
      </c>
      <c r="G374" s="13" t="s">
        <v>2281</v>
      </c>
      <c r="H374" s="13" t="s">
        <v>2282</v>
      </c>
      <c r="I374" s="13" t="s">
        <v>3204</v>
      </c>
      <c r="J374" s="13" t="s">
        <v>2219</v>
      </c>
      <c r="K374" s="13"/>
    </row>
    <row r="375" spans="1:11" ht="15.75" thickBot="1" x14ac:dyDescent="0.3">
      <c r="A375" s="103">
        <v>376</v>
      </c>
      <c r="B375" s="88" t="s">
        <v>2292</v>
      </c>
      <c r="C375" s="13" t="s">
        <v>2287</v>
      </c>
      <c r="D375" s="13" t="s">
        <v>2</v>
      </c>
      <c r="E375" s="13" t="s">
        <v>59</v>
      </c>
      <c r="F375" s="109">
        <v>42196</v>
      </c>
      <c r="G375" s="13" t="s">
        <v>2288</v>
      </c>
      <c r="H375" s="13" t="s">
        <v>2289</v>
      </c>
      <c r="I375" s="13" t="s">
        <v>3205</v>
      </c>
      <c r="J375" s="13" t="s">
        <v>2219</v>
      </c>
      <c r="K375" s="13"/>
    </row>
    <row r="376" spans="1:11" ht="15.75" thickBot="1" x14ac:dyDescent="0.3">
      <c r="A376" s="103">
        <v>377</v>
      </c>
      <c r="B376" s="87" t="s">
        <v>2300</v>
      </c>
      <c r="C376" s="13" t="s">
        <v>2294</v>
      </c>
      <c r="D376" s="13" t="s">
        <v>2</v>
      </c>
      <c r="E376" s="13" t="s">
        <v>2295</v>
      </c>
      <c r="F376" s="109">
        <v>41547</v>
      </c>
      <c r="G376" s="13" t="s">
        <v>2296</v>
      </c>
      <c r="H376" s="13" t="s">
        <v>2297</v>
      </c>
      <c r="I376" s="13" t="s">
        <v>3206</v>
      </c>
      <c r="J376" s="13" t="s">
        <v>2219</v>
      </c>
      <c r="K376" s="13"/>
    </row>
    <row r="377" spans="1:11" ht="15.75" thickBot="1" x14ac:dyDescent="0.3">
      <c r="A377" s="103">
        <v>378</v>
      </c>
      <c r="B377" s="88" t="s">
        <v>2314</v>
      </c>
      <c r="C377" s="13" t="s">
        <v>2309</v>
      </c>
      <c r="D377" s="13" t="s">
        <v>2</v>
      </c>
      <c r="E377" s="13" t="s">
        <v>10</v>
      </c>
      <c r="F377" s="109">
        <v>42272</v>
      </c>
      <c r="G377" s="13" t="s">
        <v>2310</v>
      </c>
      <c r="H377" s="13" t="s">
        <v>2311</v>
      </c>
      <c r="I377" s="13" t="s">
        <v>3208</v>
      </c>
      <c r="J377" s="13" t="s">
        <v>2219</v>
      </c>
      <c r="K377" s="13"/>
    </row>
    <row r="378" spans="1:11" ht="15.75" thickBot="1" x14ac:dyDescent="0.3">
      <c r="A378" s="103">
        <v>379</v>
      </c>
      <c r="B378" s="87" t="s">
        <v>2321</v>
      </c>
      <c r="C378" s="13" t="s">
        <v>2316</v>
      </c>
      <c r="D378" s="13" t="s">
        <v>66</v>
      </c>
      <c r="E378" s="13" t="s">
        <v>10</v>
      </c>
      <c r="F378" s="109">
        <v>41925</v>
      </c>
      <c r="G378" s="13" t="s">
        <v>2317</v>
      </c>
      <c r="H378" s="13" t="s">
        <v>2318</v>
      </c>
      <c r="I378" s="13" t="s">
        <v>3209</v>
      </c>
      <c r="J378" s="13" t="s">
        <v>2219</v>
      </c>
      <c r="K378" s="13"/>
    </row>
    <row r="379" spans="1:11" ht="15.75" thickBot="1" x14ac:dyDescent="0.3">
      <c r="A379" s="103">
        <v>380</v>
      </c>
      <c r="B379" s="88" t="s">
        <v>2328</v>
      </c>
      <c r="C379" s="13" t="s">
        <v>2323</v>
      </c>
      <c r="D379" s="13" t="s">
        <v>66</v>
      </c>
      <c r="E379" s="13" t="s">
        <v>10</v>
      </c>
      <c r="F379" s="109">
        <v>42385</v>
      </c>
      <c r="G379" s="13" t="s">
        <v>2324</v>
      </c>
      <c r="H379" s="13" t="s">
        <v>2325</v>
      </c>
      <c r="I379" s="13" t="s">
        <v>3210</v>
      </c>
      <c r="J379" s="13" t="s">
        <v>2219</v>
      </c>
      <c r="K379" s="13"/>
    </row>
    <row r="380" spans="1:11" ht="15.75" thickBot="1" x14ac:dyDescent="0.3">
      <c r="A380" s="103">
        <v>381</v>
      </c>
      <c r="B380" s="87" t="s">
        <v>2335</v>
      </c>
      <c r="C380" s="13" t="s">
        <v>2330</v>
      </c>
      <c r="D380" s="13" t="s">
        <v>66</v>
      </c>
      <c r="E380" s="13" t="s">
        <v>59</v>
      </c>
      <c r="F380" s="109">
        <v>42030</v>
      </c>
      <c r="G380" s="13" t="s">
        <v>2331</v>
      </c>
      <c r="H380" s="13" t="s">
        <v>2332</v>
      </c>
      <c r="I380" s="13" t="s">
        <v>3211</v>
      </c>
      <c r="J380" s="13" t="s">
        <v>2219</v>
      </c>
      <c r="K380" s="13"/>
    </row>
    <row r="381" spans="1:11" ht="15.75" thickBot="1" x14ac:dyDescent="0.3">
      <c r="A381" s="103">
        <v>382</v>
      </c>
      <c r="B381" s="88" t="s">
        <v>2342</v>
      </c>
      <c r="C381" s="13" t="s">
        <v>2337</v>
      </c>
      <c r="D381" s="13" t="s">
        <v>2</v>
      </c>
      <c r="E381" s="13" t="s">
        <v>10</v>
      </c>
      <c r="F381" s="109">
        <v>41742</v>
      </c>
      <c r="G381" s="13" t="s">
        <v>2338</v>
      </c>
      <c r="H381" s="13" t="s">
        <v>2339</v>
      </c>
      <c r="I381" s="13" t="s">
        <v>3212</v>
      </c>
      <c r="J381" s="13" t="s">
        <v>2219</v>
      </c>
      <c r="K381" s="13"/>
    </row>
    <row r="382" spans="1:11" ht="15.75" thickBot="1" x14ac:dyDescent="0.3">
      <c r="A382" s="103">
        <v>383</v>
      </c>
      <c r="B382" s="87" t="s">
        <v>2347</v>
      </c>
      <c r="C382" s="13" t="s">
        <v>2344</v>
      </c>
      <c r="D382" s="13" t="s">
        <v>66</v>
      </c>
      <c r="E382" s="13" t="s">
        <v>2345</v>
      </c>
      <c r="F382" s="109">
        <v>42283</v>
      </c>
      <c r="G382" s="13" t="s">
        <v>2317</v>
      </c>
      <c r="H382" s="13" t="s">
        <v>2318</v>
      </c>
      <c r="I382" s="13" t="s">
        <v>3213</v>
      </c>
      <c r="J382" s="13" t="s">
        <v>2219</v>
      </c>
      <c r="K382" s="13"/>
    </row>
    <row r="383" spans="1:11" ht="15.75" thickBot="1" x14ac:dyDescent="0.3">
      <c r="A383" s="103">
        <v>384</v>
      </c>
      <c r="B383" s="88" t="s">
        <v>2354</v>
      </c>
      <c r="C383" s="13" t="s">
        <v>2349</v>
      </c>
      <c r="D383" s="13" t="s">
        <v>66</v>
      </c>
      <c r="E383" s="13" t="s">
        <v>28</v>
      </c>
      <c r="F383" s="109">
        <v>42118</v>
      </c>
      <c r="G383" s="13" t="s">
        <v>2350</v>
      </c>
      <c r="H383" s="13" t="s">
        <v>2351</v>
      </c>
      <c r="I383" s="13" t="s">
        <v>3214</v>
      </c>
      <c r="J383" s="13" t="s">
        <v>2219</v>
      </c>
      <c r="K383" s="13"/>
    </row>
    <row r="384" spans="1:11" ht="15.75" thickBot="1" x14ac:dyDescent="0.3">
      <c r="A384" s="103">
        <v>385</v>
      </c>
      <c r="B384" s="87" t="s">
        <v>2364</v>
      </c>
      <c r="C384" s="13" t="s">
        <v>2280</v>
      </c>
      <c r="D384" s="13" t="s">
        <v>2</v>
      </c>
      <c r="E384" s="13" t="s">
        <v>28</v>
      </c>
      <c r="F384" s="109">
        <v>41861</v>
      </c>
      <c r="G384" s="13" t="s">
        <v>2281</v>
      </c>
      <c r="H384" s="13" t="s">
        <v>2282</v>
      </c>
      <c r="I384" s="13" t="s">
        <v>3216</v>
      </c>
      <c r="J384" s="13" t="s">
        <v>2219</v>
      </c>
      <c r="K384" s="13"/>
    </row>
    <row r="385" spans="1:11" ht="15.75" thickBot="1" x14ac:dyDescent="0.3">
      <c r="A385" s="103">
        <v>386</v>
      </c>
      <c r="B385" s="88" t="s">
        <v>2412</v>
      </c>
      <c r="C385" s="13" t="s">
        <v>2407</v>
      </c>
      <c r="D385" s="13" t="s">
        <v>2</v>
      </c>
      <c r="E385" s="13" t="s">
        <v>28</v>
      </c>
      <c r="F385" s="109">
        <v>42674</v>
      </c>
      <c r="G385" s="13" t="s">
        <v>2408</v>
      </c>
      <c r="H385" s="13" t="s">
        <v>2409</v>
      </c>
      <c r="I385" s="13" t="s">
        <v>3222</v>
      </c>
      <c r="J385" s="13" t="s">
        <v>2219</v>
      </c>
      <c r="K385" s="13"/>
    </row>
    <row r="386" spans="1:11" ht="15.75" thickBot="1" x14ac:dyDescent="0.3">
      <c r="A386" s="103">
        <v>387</v>
      </c>
      <c r="B386" s="87" t="s">
        <v>2405</v>
      </c>
      <c r="C386" s="13" t="s">
        <v>2400</v>
      </c>
      <c r="D386" s="13" t="s">
        <v>66</v>
      </c>
      <c r="E386" s="13" t="s">
        <v>10</v>
      </c>
      <c r="F386" s="109">
        <v>41492</v>
      </c>
      <c r="G386" s="13" t="s">
        <v>2401</v>
      </c>
      <c r="H386" s="13" t="s">
        <v>2402</v>
      </c>
      <c r="I386" s="13" t="s">
        <v>3221</v>
      </c>
      <c r="J386" s="13" t="s">
        <v>2219</v>
      </c>
      <c r="K386" s="13"/>
    </row>
    <row r="387" spans="1:11" ht="15.75" thickBot="1" x14ac:dyDescent="0.3">
      <c r="A387" s="103">
        <v>388</v>
      </c>
      <c r="B387" s="88" t="s">
        <v>2415</v>
      </c>
      <c r="C387" s="13" t="s">
        <v>2400</v>
      </c>
      <c r="D387" s="13" t="s">
        <v>66</v>
      </c>
      <c r="E387" s="13" t="s">
        <v>10</v>
      </c>
      <c r="F387" s="109">
        <v>41492</v>
      </c>
      <c r="G387" s="13" t="s">
        <v>2401</v>
      </c>
      <c r="H387" s="13" t="s">
        <v>2402</v>
      </c>
      <c r="I387" s="13" t="s">
        <v>3223</v>
      </c>
      <c r="J387" s="13" t="s">
        <v>2219</v>
      </c>
      <c r="K387" s="13"/>
    </row>
    <row r="388" spans="1:11" ht="15.75" thickBot="1" x14ac:dyDescent="0.3">
      <c r="A388" s="103">
        <v>389</v>
      </c>
      <c r="B388" s="87" t="s">
        <v>2422</v>
      </c>
      <c r="C388" s="13" t="s">
        <v>2417</v>
      </c>
      <c r="D388" s="13" t="s">
        <v>66</v>
      </c>
      <c r="E388" s="13" t="s">
        <v>10</v>
      </c>
      <c r="F388" s="109">
        <v>42307</v>
      </c>
      <c r="G388" s="13" t="s">
        <v>2418</v>
      </c>
      <c r="H388" s="13" t="s">
        <v>2419</v>
      </c>
      <c r="I388" s="13" t="s">
        <v>3224</v>
      </c>
      <c r="J388" s="13" t="s">
        <v>2219</v>
      </c>
      <c r="K388" s="13"/>
    </row>
    <row r="389" spans="1:11" ht="15.75" thickBot="1" x14ac:dyDescent="0.3">
      <c r="A389" s="103">
        <v>390</v>
      </c>
      <c r="B389" s="88" t="s">
        <v>2398</v>
      </c>
      <c r="C389" s="13" t="s">
        <v>2393</v>
      </c>
      <c r="D389" s="13" t="s">
        <v>2</v>
      </c>
      <c r="E389" s="13" t="s">
        <v>59</v>
      </c>
      <c r="F389" s="109">
        <v>42929</v>
      </c>
      <c r="G389" s="13" t="s">
        <v>2394</v>
      </c>
      <c r="H389" s="13" t="s">
        <v>2395</v>
      </c>
      <c r="I389" s="13" t="s">
        <v>3220</v>
      </c>
      <c r="J389" s="13" t="s">
        <v>2219</v>
      </c>
      <c r="K389" s="13"/>
    </row>
    <row r="390" spans="1:11" ht="15.75" thickBot="1" x14ac:dyDescent="0.3">
      <c r="A390" s="103">
        <v>391</v>
      </c>
      <c r="B390" s="87" t="s">
        <v>2450</v>
      </c>
      <c r="C390" s="13" t="s">
        <v>354</v>
      </c>
      <c r="D390" s="13" t="s">
        <v>66</v>
      </c>
      <c r="E390" s="13" t="s">
        <v>1155</v>
      </c>
      <c r="F390" s="109">
        <v>42002</v>
      </c>
      <c r="G390" s="13" t="s">
        <v>2446</v>
      </c>
      <c r="H390" s="13" t="s">
        <v>2447</v>
      </c>
      <c r="I390" s="13" t="s">
        <v>3228</v>
      </c>
      <c r="J390" s="13" t="s">
        <v>2219</v>
      </c>
      <c r="K390" s="13"/>
    </row>
    <row r="391" spans="1:11" ht="15.75" thickBot="1" x14ac:dyDescent="0.3">
      <c r="A391" s="103">
        <v>392</v>
      </c>
      <c r="B391" s="88" t="s">
        <v>2436</v>
      </c>
      <c r="C391" s="13" t="s">
        <v>2431</v>
      </c>
      <c r="D391" s="13" t="s">
        <v>66</v>
      </c>
      <c r="E391" s="13" t="s">
        <v>10</v>
      </c>
      <c r="F391" s="109">
        <v>42299</v>
      </c>
      <c r="G391" s="13" t="s">
        <v>2432</v>
      </c>
      <c r="H391" s="13" t="s">
        <v>2433</v>
      </c>
      <c r="I391" s="13" t="s">
        <v>3226</v>
      </c>
      <c r="J391" s="13" t="s">
        <v>2219</v>
      </c>
      <c r="K391" s="13"/>
    </row>
    <row r="392" spans="1:11" ht="15.75" thickBot="1" x14ac:dyDescent="0.3">
      <c r="A392" s="103">
        <v>393</v>
      </c>
      <c r="B392" s="87" t="s">
        <v>2469</v>
      </c>
      <c r="C392" s="13" t="s">
        <v>2431</v>
      </c>
      <c r="D392" s="13" t="s">
        <v>66</v>
      </c>
      <c r="E392" s="13" t="s">
        <v>10</v>
      </c>
      <c r="F392" s="109">
        <v>42299</v>
      </c>
      <c r="G392" s="13" t="s">
        <v>2466</v>
      </c>
      <c r="H392" s="13" t="s">
        <v>2467</v>
      </c>
      <c r="I392" s="13" t="s">
        <v>3231</v>
      </c>
      <c r="J392" s="13" t="s">
        <v>2219</v>
      </c>
      <c r="K392" s="13"/>
    </row>
    <row r="393" spans="1:11" ht="15.75" thickBot="1" x14ac:dyDescent="0.3">
      <c r="A393" s="103">
        <v>394</v>
      </c>
      <c r="B393" s="88" t="s">
        <v>2473</v>
      </c>
      <c r="C393" s="13" t="s">
        <v>354</v>
      </c>
      <c r="D393" s="13" t="s">
        <v>66</v>
      </c>
      <c r="E393" s="13" t="s">
        <v>2471</v>
      </c>
      <c r="F393" s="109">
        <v>42002</v>
      </c>
      <c r="G393" s="13" t="s">
        <v>2446</v>
      </c>
      <c r="H393" s="13" t="s">
        <v>2447</v>
      </c>
      <c r="I393" s="13" t="s">
        <v>3232</v>
      </c>
      <c r="J393" s="13" t="s">
        <v>2219</v>
      </c>
      <c r="K393" s="13"/>
    </row>
    <row r="394" spans="1:11" ht="15.75" thickBot="1" x14ac:dyDescent="0.3">
      <c r="A394" s="103">
        <v>395</v>
      </c>
      <c r="B394" s="87" t="s">
        <v>2477</v>
      </c>
      <c r="C394" s="13" t="s">
        <v>2400</v>
      </c>
      <c r="D394" s="13" t="s">
        <v>66</v>
      </c>
      <c r="E394" s="13" t="s">
        <v>28</v>
      </c>
      <c r="F394" s="109">
        <v>41433</v>
      </c>
      <c r="G394" s="13" t="s">
        <v>2401</v>
      </c>
      <c r="H394" s="13" t="s">
        <v>2402</v>
      </c>
      <c r="I394" s="13" t="s">
        <v>3233</v>
      </c>
      <c r="J394" s="13" t="s">
        <v>2219</v>
      </c>
      <c r="K394" s="13"/>
    </row>
    <row r="395" spans="1:11" ht="15.75" thickBot="1" x14ac:dyDescent="0.3">
      <c r="A395" s="103">
        <v>396</v>
      </c>
      <c r="B395" s="88" t="s">
        <v>2487</v>
      </c>
      <c r="C395" s="13" t="s">
        <v>2431</v>
      </c>
      <c r="D395" s="13" t="s">
        <v>66</v>
      </c>
      <c r="E395" s="13" t="s">
        <v>28</v>
      </c>
      <c r="F395" s="109">
        <v>42299</v>
      </c>
      <c r="G395" s="13" t="s">
        <v>2432</v>
      </c>
      <c r="H395" s="13" t="s">
        <v>2433</v>
      </c>
      <c r="I395" s="13" t="s">
        <v>3235</v>
      </c>
      <c r="J395" s="13" t="s">
        <v>2219</v>
      </c>
      <c r="K395" s="13"/>
    </row>
    <row r="396" spans="1:11" ht="15.75" thickBot="1" x14ac:dyDescent="0.3">
      <c r="A396" s="103">
        <v>397</v>
      </c>
      <c r="B396" s="87" t="s">
        <v>2501</v>
      </c>
      <c r="C396" s="13" t="s">
        <v>2496</v>
      </c>
      <c r="D396" s="13" t="s">
        <v>2</v>
      </c>
      <c r="E396" s="13" t="s">
        <v>28</v>
      </c>
      <c r="F396" s="109">
        <v>42553</v>
      </c>
      <c r="G396" s="13" t="s">
        <v>2497</v>
      </c>
      <c r="H396" s="13" t="s">
        <v>2498</v>
      </c>
      <c r="I396" s="13" t="s">
        <v>3237</v>
      </c>
      <c r="J396" s="13" t="s">
        <v>2219</v>
      </c>
      <c r="K396" s="13"/>
    </row>
    <row r="397" spans="1:11" ht="15.75" thickBot="1" x14ac:dyDescent="0.3">
      <c r="A397" s="103">
        <v>398</v>
      </c>
      <c r="B397" s="88" t="s">
        <v>2508</v>
      </c>
      <c r="C397" s="13" t="s">
        <v>2503</v>
      </c>
      <c r="D397" s="13" t="s">
        <v>66</v>
      </c>
      <c r="E397" s="13" t="s">
        <v>10</v>
      </c>
      <c r="F397" s="109">
        <v>42543</v>
      </c>
      <c r="G397" s="13" t="s">
        <v>2504</v>
      </c>
      <c r="H397" s="13" t="s">
        <v>2505</v>
      </c>
      <c r="I397" s="13" t="s">
        <v>3238</v>
      </c>
      <c r="J397" s="13" t="s">
        <v>2219</v>
      </c>
      <c r="K397" s="13"/>
    </row>
    <row r="398" spans="1:11" ht="15.75" thickBot="1" x14ac:dyDescent="0.3">
      <c r="A398" s="103">
        <v>399</v>
      </c>
      <c r="B398" s="87" t="s">
        <v>2519</v>
      </c>
      <c r="C398" s="13" t="s">
        <v>2431</v>
      </c>
      <c r="D398" s="13" t="s">
        <v>66</v>
      </c>
      <c r="E398" s="13" t="s">
        <v>2517</v>
      </c>
      <c r="F398" s="109">
        <v>42299</v>
      </c>
      <c r="G398" s="13" t="s">
        <v>2466</v>
      </c>
      <c r="H398" s="13" t="s">
        <v>2467</v>
      </c>
      <c r="I398" s="13" t="s">
        <v>3240</v>
      </c>
      <c r="J398" s="13" t="s">
        <v>2219</v>
      </c>
      <c r="K398" s="13"/>
    </row>
    <row r="399" spans="1:11" ht="15.75" thickBot="1" x14ac:dyDescent="0.3">
      <c r="A399" s="19">
        <v>399</v>
      </c>
      <c r="B399" s="88" t="s">
        <v>2526</v>
      </c>
      <c r="C399" s="13" t="s">
        <v>2521</v>
      </c>
      <c r="D399" s="13" t="s">
        <v>2</v>
      </c>
      <c r="E399" s="13" t="s">
        <v>10</v>
      </c>
      <c r="F399" s="109">
        <v>42788</v>
      </c>
      <c r="G399" s="13" t="s">
        <v>2522</v>
      </c>
      <c r="H399" s="13" t="s">
        <v>2523</v>
      </c>
      <c r="I399" s="13" t="s">
        <v>3241</v>
      </c>
      <c r="J399" s="13" t="s">
        <v>2219</v>
      </c>
      <c r="K399" s="13"/>
    </row>
    <row r="400" spans="1:11" ht="15.75" thickBot="1" x14ac:dyDescent="0.3">
      <c r="A400" s="103">
        <v>400</v>
      </c>
      <c r="B400" s="87" t="s">
        <v>2536</v>
      </c>
      <c r="C400" s="13" t="s">
        <v>354</v>
      </c>
      <c r="D400" s="13" t="s">
        <v>66</v>
      </c>
      <c r="E400" s="13" t="s">
        <v>1155</v>
      </c>
      <c r="F400" s="109">
        <v>42002</v>
      </c>
      <c r="G400" s="13" t="s">
        <v>2446</v>
      </c>
      <c r="H400" s="13" t="s">
        <v>2447</v>
      </c>
      <c r="I400" s="13" t="s">
        <v>3243</v>
      </c>
      <c r="J400" s="13" t="s">
        <v>2219</v>
      </c>
      <c r="K400" s="13"/>
    </row>
    <row r="401" spans="1:11" ht="15.75" thickBot="1" x14ac:dyDescent="0.3">
      <c r="A401" s="103">
        <v>401</v>
      </c>
      <c r="B401" s="88" t="s">
        <v>2543</v>
      </c>
      <c r="C401" s="13" t="s">
        <v>2538</v>
      </c>
      <c r="D401" s="13" t="s">
        <v>66</v>
      </c>
      <c r="E401" s="13" t="s">
        <v>10</v>
      </c>
      <c r="F401" s="109">
        <v>41967</v>
      </c>
      <c r="G401" s="13" t="s">
        <v>2539</v>
      </c>
      <c r="H401" s="13" t="s">
        <v>2540</v>
      </c>
      <c r="I401" s="13" t="s">
        <v>3244</v>
      </c>
      <c r="J401" s="13" t="s">
        <v>2219</v>
      </c>
      <c r="K401" s="13"/>
    </row>
    <row r="402" spans="1:11" ht="15.75" thickBot="1" x14ac:dyDescent="0.3">
      <c r="A402" s="103">
        <v>402</v>
      </c>
      <c r="B402" s="87" t="s">
        <v>2546</v>
      </c>
      <c r="C402" s="13" t="s">
        <v>2330</v>
      </c>
      <c r="D402" s="13" t="s">
        <v>66</v>
      </c>
      <c r="E402" s="13" t="s">
        <v>59</v>
      </c>
      <c r="F402" s="109">
        <v>42030</v>
      </c>
      <c r="G402" s="13" t="s">
        <v>2331</v>
      </c>
      <c r="H402" s="13" t="s">
        <v>2332</v>
      </c>
      <c r="I402" s="13" t="s">
        <v>3245</v>
      </c>
      <c r="J402" s="13" t="s">
        <v>2219</v>
      </c>
      <c r="K402" s="13"/>
    </row>
    <row r="403" spans="1:11" ht="15.75" thickBot="1" x14ac:dyDescent="0.3">
      <c r="A403" s="103">
        <v>403</v>
      </c>
      <c r="B403" s="88" t="s">
        <v>2599</v>
      </c>
      <c r="C403" s="13" t="s">
        <v>2594</v>
      </c>
      <c r="D403" s="13" t="s">
        <v>2</v>
      </c>
      <c r="E403" s="13" t="s">
        <v>10</v>
      </c>
      <c r="F403" s="109">
        <v>42281</v>
      </c>
      <c r="G403" s="13" t="s">
        <v>2595</v>
      </c>
      <c r="H403" s="13" t="s">
        <v>2596</v>
      </c>
      <c r="I403" s="13" t="s">
        <v>3252</v>
      </c>
      <c r="J403" s="13" t="s">
        <v>2219</v>
      </c>
      <c r="K403" s="13"/>
    </row>
    <row r="404" spans="1:11" ht="15.75" thickBot="1" x14ac:dyDescent="0.3">
      <c r="A404" s="103">
        <v>404</v>
      </c>
      <c r="B404" s="87" t="s">
        <v>2606</v>
      </c>
      <c r="C404" s="13" t="s">
        <v>2601</v>
      </c>
      <c r="D404" s="13" t="s">
        <v>66</v>
      </c>
      <c r="E404" s="13" t="s">
        <v>59</v>
      </c>
      <c r="F404" s="109">
        <v>41917</v>
      </c>
      <c r="G404" s="13" t="s">
        <v>2602</v>
      </c>
      <c r="H404" s="13" t="s">
        <v>2603</v>
      </c>
      <c r="I404" s="13" t="s">
        <v>3253</v>
      </c>
      <c r="J404" s="13" t="s">
        <v>2219</v>
      </c>
      <c r="K404" s="13"/>
    </row>
    <row r="405" spans="1:11" ht="15.75" thickBot="1" x14ac:dyDescent="0.3">
      <c r="A405" s="103">
        <v>405</v>
      </c>
      <c r="B405" s="88" t="s">
        <v>2613</v>
      </c>
      <c r="C405" s="13" t="s">
        <v>2608</v>
      </c>
      <c r="D405" s="13" t="s">
        <v>66</v>
      </c>
      <c r="E405" s="13" t="s">
        <v>10</v>
      </c>
      <c r="F405" s="109">
        <v>41925</v>
      </c>
      <c r="G405" s="13" t="s">
        <v>2609</v>
      </c>
      <c r="H405" s="13" t="s">
        <v>2610</v>
      </c>
      <c r="I405" s="13" t="s">
        <v>3254</v>
      </c>
      <c r="J405" s="13" t="s">
        <v>2219</v>
      </c>
      <c r="K405" s="13"/>
    </row>
    <row r="406" spans="1:11" ht="15.75" thickBot="1" x14ac:dyDescent="0.3">
      <c r="A406" s="103">
        <v>406</v>
      </c>
      <c r="B406" s="87" t="s">
        <v>2624</v>
      </c>
      <c r="C406" s="13" t="s">
        <v>2601</v>
      </c>
      <c r="D406" s="13" t="s">
        <v>66</v>
      </c>
      <c r="E406" s="13" t="s">
        <v>59</v>
      </c>
      <c r="F406" s="109">
        <v>41917</v>
      </c>
      <c r="G406" s="13" t="s">
        <v>2602</v>
      </c>
      <c r="H406" s="13" t="s">
        <v>2603</v>
      </c>
      <c r="I406" s="13" t="s">
        <v>3256</v>
      </c>
      <c r="J406" s="13" t="s">
        <v>2219</v>
      </c>
      <c r="K406" s="13"/>
    </row>
    <row r="407" spans="1:11" ht="15.75" thickBot="1" x14ac:dyDescent="0.3">
      <c r="A407" s="103">
        <v>407</v>
      </c>
      <c r="B407" s="88" t="s">
        <v>2636</v>
      </c>
      <c r="C407" s="13" t="s">
        <v>2294</v>
      </c>
      <c r="D407" s="13" t="s">
        <v>2</v>
      </c>
      <c r="E407" s="13" t="s">
        <v>2295</v>
      </c>
      <c r="F407" s="109">
        <v>41547</v>
      </c>
      <c r="G407" s="13" t="s">
        <v>2296</v>
      </c>
      <c r="H407" s="13" t="s">
        <v>2297</v>
      </c>
      <c r="I407" s="13" t="s">
        <v>3258</v>
      </c>
      <c r="J407" s="13" t="s">
        <v>2219</v>
      </c>
      <c r="K407" s="13"/>
    </row>
    <row r="408" spans="1:11" ht="15.75" thickBot="1" x14ac:dyDescent="0.3">
      <c r="A408" s="103">
        <v>408</v>
      </c>
      <c r="B408" s="87" t="s">
        <v>2645</v>
      </c>
      <c r="C408" s="13" t="s">
        <v>2594</v>
      </c>
      <c r="D408" s="13" t="s">
        <v>2</v>
      </c>
      <c r="E408" s="13" t="s">
        <v>10</v>
      </c>
      <c r="F408" s="109">
        <v>42281</v>
      </c>
      <c r="G408" s="13" t="s">
        <v>2595</v>
      </c>
      <c r="H408" s="13" t="s">
        <v>2596</v>
      </c>
      <c r="I408" s="13" t="s">
        <v>3260</v>
      </c>
      <c r="J408" s="13" t="s">
        <v>2219</v>
      </c>
      <c r="K408" s="13"/>
    </row>
    <row r="409" spans="1:11" ht="15.75" thickBot="1" x14ac:dyDescent="0.3">
      <c r="A409" s="103">
        <v>409</v>
      </c>
      <c r="B409" s="88" t="s">
        <v>2650</v>
      </c>
      <c r="C409" s="13" t="s">
        <v>2601</v>
      </c>
      <c r="D409" s="13" t="s">
        <v>66</v>
      </c>
      <c r="E409" s="13" t="s">
        <v>204</v>
      </c>
      <c r="F409" s="109">
        <v>41917</v>
      </c>
      <c r="G409" s="13" t="s">
        <v>2647</v>
      </c>
      <c r="H409" s="13" t="s">
        <v>2648</v>
      </c>
      <c r="I409" s="13" t="s">
        <v>3261</v>
      </c>
      <c r="J409" s="13" t="s">
        <v>2219</v>
      </c>
      <c r="K409" s="13"/>
    </row>
    <row r="410" spans="1:11" ht="15.75" thickBot="1" x14ac:dyDescent="0.3">
      <c r="A410" s="103">
        <v>410</v>
      </c>
      <c r="B410" s="87" t="s">
        <v>2657</v>
      </c>
      <c r="C410" s="13" t="s">
        <v>2652</v>
      </c>
      <c r="D410" s="13" t="s">
        <v>66</v>
      </c>
      <c r="E410" s="13" t="s">
        <v>10</v>
      </c>
      <c r="F410" s="109">
        <v>42170</v>
      </c>
      <c r="G410" s="13" t="s">
        <v>2653</v>
      </c>
      <c r="H410" s="13" t="s">
        <v>2654</v>
      </c>
      <c r="I410" s="13" t="s">
        <v>3262</v>
      </c>
      <c r="J410" s="13" t="s">
        <v>2219</v>
      </c>
      <c r="K410" s="13"/>
    </row>
    <row r="411" spans="1:11" ht="15.75" thickBot="1" x14ac:dyDescent="0.3">
      <c r="A411" s="103">
        <v>411</v>
      </c>
      <c r="B411" s="88" t="s">
        <v>2660</v>
      </c>
      <c r="C411" s="13" t="s">
        <v>2521</v>
      </c>
      <c r="D411" s="13" t="s">
        <v>2</v>
      </c>
      <c r="E411" s="13" t="s">
        <v>10</v>
      </c>
      <c r="F411" s="109">
        <v>42788</v>
      </c>
      <c r="G411" s="13" t="s">
        <v>2522</v>
      </c>
      <c r="H411" s="13" t="s">
        <v>2523</v>
      </c>
      <c r="I411" s="13" t="s">
        <v>3263</v>
      </c>
      <c r="J411" s="13" t="s">
        <v>2219</v>
      </c>
      <c r="K411" s="13"/>
    </row>
    <row r="412" spans="1:11" ht="15.75" thickBot="1" x14ac:dyDescent="0.3">
      <c r="A412" s="103">
        <v>412</v>
      </c>
      <c r="B412" s="87" t="s">
        <v>2670</v>
      </c>
      <c r="C412" s="13" t="s">
        <v>2594</v>
      </c>
      <c r="D412" s="13" t="s">
        <v>2</v>
      </c>
      <c r="E412" s="13" t="s">
        <v>10</v>
      </c>
      <c r="F412" s="109">
        <v>42281</v>
      </c>
      <c r="G412" s="13" t="s">
        <v>2595</v>
      </c>
      <c r="H412" s="13" t="s">
        <v>2596</v>
      </c>
      <c r="I412" s="13" t="s">
        <v>3265</v>
      </c>
      <c r="J412" s="13" t="s">
        <v>2219</v>
      </c>
      <c r="K412" s="13"/>
    </row>
    <row r="413" spans="1:11" ht="15.75" thickBot="1" x14ac:dyDescent="0.3">
      <c r="A413" s="103">
        <v>413</v>
      </c>
      <c r="B413" s="88" t="s">
        <v>2673</v>
      </c>
      <c r="C413" s="13" t="s">
        <v>2594</v>
      </c>
      <c r="D413" s="13" t="s">
        <v>2</v>
      </c>
      <c r="E413" s="13" t="s">
        <v>10</v>
      </c>
      <c r="F413" s="109">
        <v>42281</v>
      </c>
      <c r="G413" s="13" t="s">
        <v>2595</v>
      </c>
      <c r="H413" s="13" t="s">
        <v>2596</v>
      </c>
      <c r="I413" s="13" t="s">
        <v>3266</v>
      </c>
      <c r="J413" s="13" t="s">
        <v>2219</v>
      </c>
      <c r="K413" s="13"/>
    </row>
    <row r="414" spans="1:11" ht="15.75" thickBot="1" x14ac:dyDescent="0.3">
      <c r="A414" s="103">
        <v>414</v>
      </c>
      <c r="B414" s="87" t="s">
        <v>2686</v>
      </c>
      <c r="C414" s="13" t="s">
        <v>2681</v>
      </c>
      <c r="D414" s="13" t="s">
        <v>66</v>
      </c>
      <c r="E414" s="13" t="s">
        <v>28</v>
      </c>
      <c r="F414" s="109">
        <v>41906</v>
      </c>
      <c r="G414" s="13" t="s">
        <v>2682</v>
      </c>
      <c r="H414" s="13" t="s">
        <v>2683</v>
      </c>
      <c r="I414" s="13" t="s">
        <v>3268</v>
      </c>
      <c r="J414" s="13" t="s">
        <v>2219</v>
      </c>
      <c r="K414" s="13"/>
    </row>
    <row r="415" spans="1:11" ht="15.75" thickBot="1" x14ac:dyDescent="0.3">
      <c r="A415" s="103">
        <v>415</v>
      </c>
      <c r="B415" s="88" t="s">
        <v>2706</v>
      </c>
      <c r="C415" s="13" t="s">
        <v>2701</v>
      </c>
      <c r="D415" s="13" t="s">
        <v>66</v>
      </c>
      <c r="E415" s="13" t="s">
        <v>10</v>
      </c>
      <c r="F415" s="109">
        <v>41762</v>
      </c>
      <c r="G415" s="13" t="s">
        <v>2702</v>
      </c>
      <c r="H415" s="13" t="s">
        <v>2703</v>
      </c>
      <c r="I415" s="13" t="s">
        <v>3271</v>
      </c>
      <c r="J415" s="13" t="s">
        <v>2219</v>
      </c>
      <c r="K415" s="13"/>
    </row>
    <row r="416" spans="1:11" ht="15.75" thickBot="1" x14ac:dyDescent="0.3">
      <c r="A416" s="103">
        <v>416</v>
      </c>
      <c r="B416" s="87" t="s">
        <v>2716</v>
      </c>
      <c r="C416" s="13" t="s">
        <v>2681</v>
      </c>
      <c r="D416" s="13" t="s">
        <v>66</v>
      </c>
      <c r="E416" s="13" t="s">
        <v>28</v>
      </c>
      <c r="F416" s="109">
        <v>41906</v>
      </c>
      <c r="G416" s="13" t="s">
        <v>2682</v>
      </c>
      <c r="H416" s="13" t="s">
        <v>2683</v>
      </c>
      <c r="I416" s="13" t="s">
        <v>3273</v>
      </c>
      <c r="J416" s="13" t="s">
        <v>2219</v>
      </c>
      <c r="K416" s="13"/>
    </row>
    <row r="417" spans="1:11" ht="15.75" thickBot="1" x14ac:dyDescent="0.3">
      <c r="A417" s="103">
        <v>417</v>
      </c>
      <c r="B417" s="88" t="s">
        <v>2725</v>
      </c>
      <c r="C417" s="13" t="s">
        <v>2538</v>
      </c>
      <c r="D417" s="13" t="s">
        <v>66</v>
      </c>
      <c r="E417" s="13" t="s">
        <v>10</v>
      </c>
      <c r="F417" s="109">
        <v>41967</v>
      </c>
      <c r="G417" s="13" t="s">
        <v>2539</v>
      </c>
      <c r="H417" s="13" t="s">
        <v>2540</v>
      </c>
      <c r="I417" s="13" t="s">
        <v>3275</v>
      </c>
      <c r="J417" s="13" t="s">
        <v>2219</v>
      </c>
      <c r="K417" s="13"/>
    </row>
    <row r="418" spans="1:11" ht="15.75" thickBot="1" x14ac:dyDescent="0.3">
      <c r="A418" s="103">
        <v>418</v>
      </c>
      <c r="B418" s="87" t="s">
        <v>2744</v>
      </c>
      <c r="C418" s="13" t="s">
        <v>2738</v>
      </c>
      <c r="D418" s="13" t="s">
        <v>66</v>
      </c>
      <c r="E418" s="13" t="s">
        <v>2739</v>
      </c>
      <c r="F418" s="109">
        <v>41866</v>
      </c>
      <c r="G418" s="13" t="s">
        <v>2740</v>
      </c>
      <c r="H418" s="13" t="s">
        <v>2741</v>
      </c>
      <c r="I418" s="13" t="s">
        <v>3277</v>
      </c>
      <c r="J418" s="13" t="s">
        <v>2219</v>
      </c>
      <c r="K418" s="13"/>
    </row>
    <row r="419" spans="1:11" ht="15.75" thickBot="1" x14ac:dyDescent="0.3">
      <c r="A419" s="103">
        <v>419</v>
      </c>
      <c r="B419" s="88" t="s">
        <v>2760</v>
      </c>
      <c r="C419" s="13" t="s">
        <v>2738</v>
      </c>
      <c r="D419" s="13" t="s">
        <v>66</v>
      </c>
      <c r="E419" s="13" t="s">
        <v>2739</v>
      </c>
      <c r="F419" s="109">
        <v>41866</v>
      </c>
      <c r="G419" s="13" t="s">
        <v>2740</v>
      </c>
      <c r="H419" s="13" t="s">
        <v>2741</v>
      </c>
      <c r="I419" s="13" t="s">
        <v>3280</v>
      </c>
      <c r="J419" s="13" t="s">
        <v>2219</v>
      </c>
      <c r="K419" s="13"/>
    </row>
    <row r="420" spans="1:11" ht="15.75" thickBot="1" x14ac:dyDescent="0.3">
      <c r="A420" s="103">
        <v>420</v>
      </c>
      <c r="B420" s="87" t="s">
        <v>2830</v>
      </c>
      <c r="C420" s="13" t="s">
        <v>2825</v>
      </c>
      <c r="D420" s="13" t="s">
        <v>2</v>
      </c>
      <c r="E420" s="13" t="s">
        <v>315</v>
      </c>
      <c r="F420" s="109">
        <v>41394</v>
      </c>
      <c r="G420" s="13" t="s">
        <v>2826</v>
      </c>
      <c r="H420" s="13" t="s">
        <v>2827</v>
      </c>
      <c r="I420" s="13" t="s">
        <v>3292</v>
      </c>
      <c r="J420" s="13" t="s">
        <v>2219</v>
      </c>
      <c r="K420" s="13"/>
    </row>
    <row r="421" spans="1:11" ht="15.75" thickBot="1" x14ac:dyDescent="0.3">
      <c r="A421" s="103">
        <v>421</v>
      </c>
      <c r="B421" s="88" t="s">
        <v>3002</v>
      </c>
      <c r="C421" s="13" t="s">
        <v>3000</v>
      </c>
      <c r="D421" s="13" t="s">
        <v>2</v>
      </c>
      <c r="E421" s="13" t="s">
        <v>28</v>
      </c>
      <c r="F421" s="109">
        <v>42588</v>
      </c>
      <c r="G421" s="13" t="s">
        <v>2982</v>
      </c>
      <c r="H421" s="13" t="s">
        <v>2755</v>
      </c>
      <c r="I421" s="13" t="s">
        <v>3322</v>
      </c>
      <c r="J421" s="13" t="s">
        <v>2219</v>
      </c>
      <c r="K421" s="13"/>
    </row>
    <row r="422" spans="1:11" ht="15.75" thickBot="1" x14ac:dyDescent="0.3">
      <c r="A422" s="103">
        <v>422</v>
      </c>
      <c r="B422" s="87" t="s">
        <v>666</v>
      </c>
      <c r="C422" s="13" t="s">
        <v>667</v>
      </c>
      <c r="D422" s="13" t="s">
        <v>2</v>
      </c>
      <c r="E422" s="13" t="s">
        <v>28</v>
      </c>
      <c r="F422" s="109">
        <v>42464</v>
      </c>
      <c r="G422" s="13" t="s">
        <v>668</v>
      </c>
      <c r="H422" s="13" t="s">
        <v>669</v>
      </c>
      <c r="I422" s="13" t="s">
        <v>670</v>
      </c>
      <c r="J422" s="13" t="s">
        <v>671</v>
      </c>
      <c r="K422" s="13"/>
    </row>
    <row r="423" spans="1:11" ht="15.75" thickBot="1" x14ac:dyDescent="0.3">
      <c r="A423" s="103">
        <v>423</v>
      </c>
      <c r="B423" s="88" t="s">
        <v>338</v>
      </c>
      <c r="C423" s="13" t="s">
        <v>339</v>
      </c>
      <c r="D423" s="13" t="s">
        <v>66</v>
      </c>
      <c r="E423" s="13" t="s">
        <v>28</v>
      </c>
      <c r="F423" s="109">
        <v>41405</v>
      </c>
      <c r="G423" s="13" t="s">
        <v>1289</v>
      </c>
      <c r="H423" s="13" t="s">
        <v>340</v>
      </c>
      <c r="I423" s="13" t="s">
        <v>341</v>
      </c>
      <c r="J423" s="13" t="s">
        <v>342</v>
      </c>
      <c r="K423" s="13"/>
    </row>
    <row r="424" spans="1:11" ht="15.75" thickBot="1" x14ac:dyDescent="0.3">
      <c r="A424" s="103">
        <v>424</v>
      </c>
      <c r="B424" s="87" t="s">
        <v>855</v>
      </c>
      <c r="C424" s="13" t="s">
        <v>856</v>
      </c>
      <c r="D424" s="13" t="s">
        <v>2</v>
      </c>
      <c r="E424" s="13" t="s">
        <v>204</v>
      </c>
      <c r="F424" s="109">
        <v>42456</v>
      </c>
      <c r="G424" s="13" t="s">
        <v>857</v>
      </c>
      <c r="H424" s="13" t="s">
        <v>858</v>
      </c>
      <c r="I424" s="13" t="s">
        <v>859</v>
      </c>
      <c r="J424" s="13" t="s">
        <v>342</v>
      </c>
      <c r="K424" s="13"/>
    </row>
    <row r="425" spans="1:11" ht="15.75" thickBot="1" x14ac:dyDescent="0.3">
      <c r="A425" s="103">
        <v>425</v>
      </c>
      <c r="B425" s="88" t="s">
        <v>1991</v>
      </c>
      <c r="C425" s="13" t="s">
        <v>1986</v>
      </c>
      <c r="D425" s="13" t="s">
        <v>66</v>
      </c>
      <c r="E425" s="13" t="s">
        <v>10</v>
      </c>
      <c r="F425" s="109">
        <v>45992</v>
      </c>
      <c r="G425" s="13" t="s">
        <v>1987</v>
      </c>
      <c r="H425" s="13" t="s">
        <v>1988</v>
      </c>
      <c r="I425" s="13" t="s">
        <v>3166</v>
      </c>
      <c r="J425" s="13" t="s">
        <v>342</v>
      </c>
      <c r="K425" s="13"/>
    </row>
    <row r="426" spans="1:11" ht="15.75" thickBot="1" x14ac:dyDescent="0.3">
      <c r="A426" s="103">
        <v>426</v>
      </c>
      <c r="B426" s="87" t="s">
        <v>1999</v>
      </c>
      <c r="C426" s="13" t="s">
        <v>1228</v>
      </c>
      <c r="D426" s="13" t="s">
        <v>66</v>
      </c>
      <c r="E426" s="13" t="s">
        <v>10</v>
      </c>
      <c r="F426" s="109">
        <v>41618</v>
      </c>
      <c r="G426" s="13" t="s">
        <v>1987</v>
      </c>
      <c r="H426" s="13" t="s">
        <v>1988</v>
      </c>
      <c r="I426" s="13" t="s">
        <v>3168</v>
      </c>
      <c r="J426" s="13" t="s">
        <v>342</v>
      </c>
      <c r="K426" s="13"/>
    </row>
    <row r="427" spans="1:11" ht="15.75" thickBot="1" x14ac:dyDescent="0.3">
      <c r="A427" s="103">
        <v>427</v>
      </c>
      <c r="B427" s="88" t="s">
        <v>2006</v>
      </c>
      <c r="C427" s="13" t="s">
        <v>856</v>
      </c>
      <c r="D427" s="13" t="s">
        <v>2</v>
      </c>
      <c r="E427" s="13" t="s">
        <v>204</v>
      </c>
      <c r="F427" s="109">
        <v>42456</v>
      </c>
      <c r="G427" s="13" t="s">
        <v>857</v>
      </c>
      <c r="H427" s="13" t="s">
        <v>858</v>
      </c>
      <c r="I427" s="13" t="s">
        <v>3170</v>
      </c>
      <c r="J427" s="13" t="s">
        <v>342</v>
      </c>
      <c r="K427" s="13"/>
    </row>
    <row r="428" spans="1:11" ht="15.75" thickBot="1" x14ac:dyDescent="0.3">
      <c r="A428" s="103">
        <v>428</v>
      </c>
      <c r="B428" s="87" t="s">
        <v>485</v>
      </c>
      <c r="C428" s="13" t="s">
        <v>486</v>
      </c>
      <c r="D428" s="13" t="s">
        <v>2</v>
      </c>
      <c r="E428" s="13" t="s">
        <v>10</v>
      </c>
      <c r="F428" s="109">
        <v>42134</v>
      </c>
      <c r="G428" s="13" t="s">
        <v>487</v>
      </c>
      <c r="H428" s="13" t="s">
        <v>488</v>
      </c>
      <c r="I428" s="13" t="s">
        <v>489</v>
      </c>
      <c r="J428" s="13" t="s">
        <v>490</v>
      </c>
      <c r="K428" s="13"/>
    </row>
    <row r="429" spans="1:11" ht="15.75" thickBot="1" x14ac:dyDescent="0.3">
      <c r="A429" s="103">
        <v>429</v>
      </c>
      <c r="B429" s="88" t="s">
        <v>491</v>
      </c>
      <c r="C429" s="13" t="s">
        <v>492</v>
      </c>
      <c r="D429" s="13" t="s">
        <v>66</v>
      </c>
      <c r="E429" s="13" t="s">
        <v>10</v>
      </c>
      <c r="F429" s="109">
        <v>41917</v>
      </c>
      <c r="G429" s="13" t="s">
        <v>493</v>
      </c>
      <c r="H429" s="13" t="s">
        <v>494</v>
      </c>
      <c r="I429" s="13" t="s">
        <v>495</v>
      </c>
      <c r="J429" s="13" t="s">
        <v>490</v>
      </c>
      <c r="K429" s="13"/>
    </row>
    <row r="430" spans="1:11" ht="15.75" thickBot="1" x14ac:dyDescent="0.3">
      <c r="A430" s="103">
        <v>430</v>
      </c>
      <c r="B430" s="87" t="s">
        <v>501</v>
      </c>
      <c r="C430" s="13" t="s">
        <v>502</v>
      </c>
      <c r="D430" s="13" t="s">
        <v>66</v>
      </c>
      <c r="E430" s="13" t="s">
        <v>10</v>
      </c>
      <c r="F430" s="109">
        <v>41708</v>
      </c>
      <c r="G430" s="13" t="s">
        <v>503</v>
      </c>
      <c r="H430" s="13" t="s">
        <v>504</v>
      </c>
      <c r="I430" s="13" t="s">
        <v>505</v>
      </c>
      <c r="J430" s="13" t="s">
        <v>490</v>
      </c>
      <c r="K430" s="13"/>
    </row>
    <row r="431" spans="1:11" ht="15.75" thickBot="1" x14ac:dyDescent="0.3">
      <c r="A431" s="103">
        <v>431</v>
      </c>
      <c r="B431" s="88" t="s">
        <v>2979</v>
      </c>
      <c r="C431" s="13" t="s">
        <v>2974</v>
      </c>
      <c r="D431" s="13" t="s">
        <v>2</v>
      </c>
      <c r="E431" s="13" t="s">
        <v>28</v>
      </c>
      <c r="F431" s="109">
        <v>41965</v>
      </c>
      <c r="G431" s="13" t="s">
        <v>2975</v>
      </c>
      <c r="H431" s="13" t="s">
        <v>2976</v>
      </c>
      <c r="I431" s="13" t="s">
        <v>3317</v>
      </c>
      <c r="J431" s="13" t="s">
        <v>490</v>
      </c>
      <c r="K431" s="13"/>
    </row>
    <row r="432" spans="1:11" ht="15.75" thickBot="1" x14ac:dyDescent="0.3">
      <c r="A432" s="103">
        <v>432</v>
      </c>
      <c r="B432" s="87" t="s">
        <v>2988</v>
      </c>
      <c r="C432" s="13" t="s">
        <v>2974</v>
      </c>
      <c r="D432" s="13" t="s">
        <v>2</v>
      </c>
      <c r="E432" s="13" t="s">
        <v>28</v>
      </c>
      <c r="F432" s="109">
        <v>41965</v>
      </c>
      <c r="G432" s="13" t="s">
        <v>2975</v>
      </c>
      <c r="H432" s="13" t="s">
        <v>2976</v>
      </c>
      <c r="I432" s="13" t="s">
        <v>3319</v>
      </c>
      <c r="J432" s="13" t="s">
        <v>490</v>
      </c>
      <c r="K432" s="13"/>
    </row>
    <row r="433" spans="1:11" ht="15.75" thickBot="1" x14ac:dyDescent="0.3">
      <c r="A433" s="103">
        <v>433</v>
      </c>
      <c r="B433" s="88" t="s">
        <v>2998</v>
      </c>
      <c r="C433" s="13" t="s">
        <v>2974</v>
      </c>
      <c r="D433" s="13" t="s">
        <v>2</v>
      </c>
      <c r="E433" s="13" t="s">
        <v>28</v>
      </c>
      <c r="F433" s="109">
        <v>41965</v>
      </c>
      <c r="G433" s="13" t="s">
        <v>2975</v>
      </c>
      <c r="H433" s="13" t="s">
        <v>2976</v>
      </c>
      <c r="I433" s="13" t="s">
        <v>3321</v>
      </c>
      <c r="J433" s="13" t="s">
        <v>490</v>
      </c>
      <c r="K433" s="13"/>
    </row>
    <row r="434" spans="1:11" ht="15.75" thickBot="1" x14ac:dyDescent="0.3">
      <c r="A434" s="103">
        <v>434</v>
      </c>
      <c r="B434" s="87" t="s">
        <v>8</v>
      </c>
      <c r="C434" s="13" t="s">
        <v>9</v>
      </c>
      <c r="D434" s="13" t="s">
        <v>2</v>
      </c>
      <c r="E434" s="13" t="s">
        <v>10</v>
      </c>
      <c r="F434" s="109">
        <v>42501</v>
      </c>
      <c r="G434" s="13" t="s">
        <v>11</v>
      </c>
      <c r="H434" s="13" t="s">
        <v>12</v>
      </c>
      <c r="I434" s="13" t="s">
        <v>13</v>
      </c>
      <c r="J434" s="13" t="s">
        <v>14</v>
      </c>
      <c r="K434" s="13"/>
    </row>
    <row r="435" spans="1:11" ht="15.75" thickBot="1" x14ac:dyDescent="0.3">
      <c r="A435" s="103">
        <v>435</v>
      </c>
      <c r="B435" s="88" t="s">
        <v>15</v>
      </c>
      <c r="C435" s="13" t="s">
        <v>16</v>
      </c>
      <c r="D435" s="13" t="s">
        <v>2</v>
      </c>
      <c r="E435" s="13" t="s">
        <v>10</v>
      </c>
      <c r="F435" s="109">
        <v>41776</v>
      </c>
      <c r="G435" s="13" t="s">
        <v>17</v>
      </c>
      <c r="H435" s="13" t="s">
        <v>18</v>
      </c>
      <c r="I435" s="13" t="s">
        <v>19</v>
      </c>
      <c r="J435" s="13" t="s">
        <v>14</v>
      </c>
      <c r="K435" s="13"/>
    </row>
    <row r="436" spans="1:11" ht="15.75" thickBot="1" x14ac:dyDescent="0.3">
      <c r="A436" s="103">
        <v>436</v>
      </c>
      <c r="B436" s="87" t="s">
        <v>257</v>
      </c>
      <c r="C436" s="13" t="s">
        <v>258</v>
      </c>
      <c r="D436" s="13" t="s">
        <v>2</v>
      </c>
      <c r="E436" s="13" t="s">
        <v>259</v>
      </c>
      <c r="F436" s="109">
        <v>42162</v>
      </c>
      <c r="G436" s="13" t="s">
        <v>260</v>
      </c>
      <c r="H436" s="13" t="s">
        <v>261</v>
      </c>
      <c r="I436" s="13" t="s">
        <v>262</v>
      </c>
      <c r="J436" s="13" t="s">
        <v>14</v>
      </c>
      <c r="K436" s="13"/>
    </row>
    <row r="437" spans="1:11" ht="15.75" thickBot="1" x14ac:dyDescent="0.3">
      <c r="A437" s="103">
        <v>437</v>
      </c>
      <c r="B437" s="88" t="s">
        <v>279</v>
      </c>
      <c r="C437" s="13" t="s">
        <v>280</v>
      </c>
      <c r="D437" s="13" t="s">
        <v>66</v>
      </c>
      <c r="E437" s="13" t="s">
        <v>28</v>
      </c>
      <c r="F437" s="109">
        <v>42022</v>
      </c>
      <c r="G437" s="13" t="s">
        <v>281</v>
      </c>
      <c r="H437" s="13" t="s">
        <v>282</v>
      </c>
      <c r="I437" s="13" t="s">
        <v>283</v>
      </c>
      <c r="J437" s="13" t="s">
        <v>14</v>
      </c>
      <c r="K437" s="13"/>
    </row>
    <row r="438" spans="1:11" ht="15.75" thickBot="1" x14ac:dyDescent="0.3">
      <c r="A438" s="103">
        <v>438</v>
      </c>
      <c r="B438" s="87" t="s">
        <v>295</v>
      </c>
      <c r="C438" s="13" t="s">
        <v>296</v>
      </c>
      <c r="D438" s="13" t="s">
        <v>2</v>
      </c>
      <c r="E438" s="13" t="s">
        <v>10</v>
      </c>
      <c r="F438" s="109">
        <v>41644</v>
      </c>
      <c r="G438" s="13" t="s">
        <v>297</v>
      </c>
      <c r="H438" s="13" t="s">
        <v>298</v>
      </c>
      <c r="I438" s="13" t="s">
        <v>299</v>
      </c>
      <c r="J438" s="13" t="s">
        <v>14</v>
      </c>
      <c r="K438" s="13"/>
    </row>
    <row r="439" spans="1:11" ht="15.75" thickBot="1" x14ac:dyDescent="0.3">
      <c r="A439" s="103">
        <v>439</v>
      </c>
      <c r="B439" s="88" t="s">
        <v>300</v>
      </c>
      <c r="C439" s="13" t="s">
        <v>301</v>
      </c>
      <c r="D439" s="13" t="s">
        <v>2</v>
      </c>
      <c r="E439" s="13" t="s">
        <v>10</v>
      </c>
      <c r="F439" s="109">
        <v>42367</v>
      </c>
      <c r="G439" s="13" t="s">
        <v>302</v>
      </c>
      <c r="H439" s="13" t="s">
        <v>303</v>
      </c>
      <c r="I439" s="13" t="s">
        <v>304</v>
      </c>
      <c r="J439" s="13" t="s">
        <v>14</v>
      </c>
      <c r="K439" s="13"/>
    </row>
    <row r="440" spans="1:11" ht="15.75" thickBot="1" x14ac:dyDescent="0.3">
      <c r="A440" s="103">
        <v>440</v>
      </c>
      <c r="B440" s="87" t="s">
        <v>320</v>
      </c>
      <c r="C440" s="13" t="s">
        <v>321</v>
      </c>
      <c r="D440" s="13" t="s">
        <v>2</v>
      </c>
      <c r="E440" s="13" t="s">
        <v>322</v>
      </c>
      <c r="F440" s="109">
        <v>42501</v>
      </c>
      <c r="G440" s="13" t="s">
        <v>323</v>
      </c>
      <c r="H440" s="13" t="s">
        <v>324</v>
      </c>
      <c r="I440" s="13" t="s">
        <v>325</v>
      </c>
      <c r="J440" s="13" t="s">
        <v>14</v>
      </c>
      <c r="K440" s="13"/>
    </row>
    <row r="441" spans="1:11" ht="15.75" thickBot="1" x14ac:dyDescent="0.3">
      <c r="A441" s="103">
        <v>441</v>
      </c>
      <c r="B441" s="88" t="s">
        <v>333</v>
      </c>
      <c r="C441" s="13" t="s">
        <v>334</v>
      </c>
      <c r="D441" s="13" t="s">
        <v>66</v>
      </c>
      <c r="E441" s="13" t="s">
        <v>10</v>
      </c>
      <c r="F441" s="109">
        <v>42774</v>
      </c>
      <c r="G441" s="13" t="s">
        <v>335</v>
      </c>
      <c r="H441" s="13" t="s">
        <v>336</v>
      </c>
      <c r="I441" s="13" t="s">
        <v>337</v>
      </c>
      <c r="J441" s="13" t="s">
        <v>14</v>
      </c>
      <c r="K441" s="13"/>
    </row>
    <row r="442" spans="1:11" ht="15.75" thickBot="1" x14ac:dyDescent="0.3">
      <c r="A442" s="103">
        <v>442</v>
      </c>
      <c r="B442" s="87" t="s">
        <v>353</v>
      </c>
      <c r="C442" s="13" t="s">
        <v>354</v>
      </c>
      <c r="D442" s="13" t="s">
        <v>66</v>
      </c>
      <c r="E442" s="13" t="s">
        <v>10</v>
      </c>
      <c r="F442" s="109">
        <v>41756</v>
      </c>
      <c r="G442" s="13" t="s">
        <v>355</v>
      </c>
      <c r="H442" s="13" t="s">
        <v>356</v>
      </c>
      <c r="I442" s="13" t="s">
        <v>357</v>
      </c>
      <c r="J442" s="13" t="s">
        <v>14</v>
      </c>
      <c r="K442" s="13"/>
    </row>
    <row r="443" spans="1:11" ht="15.75" thickBot="1" x14ac:dyDescent="0.3">
      <c r="A443" s="103">
        <v>443</v>
      </c>
      <c r="B443" s="88" t="s">
        <v>391</v>
      </c>
      <c r="C443" s="13" t="s">
        <v>392</v>
      </c>
      <c r="D443" s="13" t="s">
        <v>2</v>
      </c>
      <c r="E443" s="13" t="s">
        <v>10</v>
      </c>
      <c r="F443" s="109">
        <v>41889</v>
      </c>
      <c r="G443" s="13" t="s">
        <v>393</v>
      </c>
      <c r="H443" s="13" t="s">
        <v>394</v>
      </c>
      <c r="I443" s="13" t="s">
        <v>395</v>
      </c>
      <c r="J443" s="13" t="s">
        <v>14</v>
      </c>
      <c r="K443" s="13"/>
    </row>
    <row r="444" spans="1:11" ht="15.75" thickBot="1" x14ac:dyDescent="0.3">
      <c r="A444" s="103">
        <v>444</v>
      </c>
      <c r="B444" s="87" t="s">
        <v>396</v>
      </c>
      <c r="C444" s="13" t="s">
        <v>397</v>
      </c>
      <c r="D444" s="13" t="s">
        <v>2</v>
      </c>
      <c r="E444" s="13" t="s">
        <v>10</v>
      </c>
      <c r="F444" s="109">
        <v>42591</v>
      </c>
      <c r="G444" s="13" t="s">
        <v>398</v>
      </c>
      <c r="H444" s="13" t="s">
        <v>399</v>
      </c>
      <c r="I444" s="13" t="s">
        <v>400</v>
      </c>
      <c r="J444" s="13" t="s">
        <v>14</v>
      </c>
      <c r="K444" s="13"/>
    </row>
    <row r="445" spans="1:11" ht="15.75" thickBot="1" x14ac:dyDescent="0.3">
      <c r="A445" s="103">
        <v>445</v>
      </c>
      <c r="B445" s="88" t="s">
        <v>401</v>
      </c>
      <c r="C445" s="13" t="s">
        <v>16</v>
      </c>
      <c r="D445" s="13" t="s">
        <v>2</v>
      </c>
      <c r="E445" s="13" t="s">
        <v>402</v>
      </c>
      <c r="F445" s="109">
        <v>41776</v>
      </c>
      <c r="G445" s="13" t="s">
        <v>403</v>
      </c>
      <c r="H445" s="13" t="s">
        <v>404</v>
      </c>
      <c r="I445" s="13" t="s">
        <v>405</v>
      </c>
      <c r="J445" s="13" t="s">
        <v>14</v>
      </c>
      <c r="K445" s="13"/>
    </row>
    <row r="446" spans="1:11" ht="15.75" thickBot="1" x14ac:dyDescent="0.3">
      <c r="A446" s="103">
        <v>446</v>
      </c>
      <c r="B446" s="87" t="s">
        <v>406</v>
      </c>
      <c r="C446" s="13" t="s">
        <v>407</v>
      </c>
      <c r="D446" s="13" t="s">
        <v>2</v>
      </c>
      <c r="E446" s="13" t="s">
        <v>10</v>
      </c>
      <c r="F446" s="109">
        <v>41776</v>
      </c>
      <c r="G446" s="13" t="s">
        <v>408</v>
      </c>
      <c r="H446" s="13" t="s">
        <v>409</v>
      </c>
      <c r="I446" s="13" t="s">
        <v>410</v>
      </c>
      <c r="J446" s="13" t="s">
        <v>14</v>
      </c>
      <c r="K446" s="13"/>
    </row>
    <row r="447" spans="1:11" ht="15.75" thickBot="1" x14ac:dyDescent="0.3">
      <c r="A447" s="103">
        <v>447</v>
      </c>
      <c r="B447" s="88" t="s">
        <v>411</v>
      </c>
      <c r="C447" s="13" t="s">
        <v>412</v>
      </c>
      <c r="D447" s="13" t="s">
        <v>2</v>
      </c>
      <c r="E447" s="13" t="s">
        <v>59</v>
      </c>
      <c r="F447" s="109">
        <v>41903</v>
      </c>
      <c r="G447" s="13" t="s">
        <v>413</v>
      </c>
      <c r="H447" s="13" t="s">
        <v>414</v>
      </c>
      <c r="I447" s="13" t="s">
        <v>415</v>
      </c>
      <c r="J447" s="13" t="s">
        <v>14</v>
      </c>
      <c r="K447" s="13"/>
    </row>
    <row r="448" spans="1:11" ht="15.75" thickBot="1" x14ac:dyDescent="0.3">
      <c r="A448" s="103">
        <v>448</v>
      </c>
      <c r="B448" s="87" t="s">
        <v>416</v>
      </c>
      <c r="C448" s="13" t="s">
        <v>417</v>
      </c>
      <c r="D448" s="13" t="s">
        <v>2</v>
      </c>
      <c r="E448" s="13" t="s">
        <v>28</v>
      </c>
      <c r="F448" s="109">
        <v>41702</v>
      </c>
      <c r="G448" s="13" t="s">
        <v>418</v>
      </c>
      <c r="H448" s="13" t="s">
        <v>419</v>
      </c>
      <c r="I448" s="13" t="s">
        <v>420</v>
      </c>
      <c r="J448" s="13" t="s">
        <v>14</v>
      </c>
      <c r="K448" s="13"/>
    </row>
    <row r="449" spans="1:11" ht="15.75" thickBot="1" x14ac:dyDescent="0.3">
      <c r="A449" s="103">
        <v>449</v>
      </c>
      <c r="B449" s="88" t="s">
        <v>421</v>
      </c>
      <c r="C449" s="13" t="s">
        <v>422</v>
      </c>
      <c r="D449" s="13" t="s">
        <v>2</v>
      </c>
      <c r="E449" s="13" t="s">
        <v>423</v>
      </c>
      <c r="F449" s="109">
        <v>41644</v>
      </c>
      <c r="G449" s="13" t="s">
        <v>297</v>
      </c>
      <c r="H449" s="13" t="s">
        <v>298</v>
      </c>
      <c r="I449" s="13" t="s">
        <v>424</v>
      </c>
      <c r="J449" s="13" t="s">
        <v>14</v>
      </c>
      <c r="K449" s="13"/>
    </row>
    <row r="450" spans="1:11" ht="15.75" thickBot="1" x14ac:dyDescent="0.3">
      <c r="A450" s="103">
        <v>450</v>
      </c>
      <c r="B450" s="87" t="s">
        <v>442</v>
      </c>
      <c r="C450" s="13" t="s">
        <v>443</v>
      </c>
      <c r="D450" s="13" t="s">
        <v>2</v>
      </c>
      <c r="E450" s="13" t="s">
        <v>315</v>
      </c>
      <c r="F450" s="109">
        <v>42181</v>
      </c>
      <c r="G450" s="13" t="s">
        <v>444</v>
      </c>
      <c r="H450" s="13" t="s">
        <v>194</v>
      </c>
      <c r="I450" s="13" t="s">
        <v>445</v>
      </c>
      <c r="J450" s="13" t="s">
        <v>14</v>
      </c>
      <c r="K450" s="13"/>
    </row>
    <row r="451" spans="1:11" ht="15.75" thickBot="1" x14ac:dyDescent="0.3">
      <c r="A451" s="103">
        <v>451</v>
      </c>
      <c r="B451" s="88" t="s">
        <v>458</v>
      </c>
      <c r="C451" s="13" t="s">
        <v>459</v>
      </c>
      <c r="D451" s="13" t="s">
        <v>2</v>
      </c>
      <c r="E451" s="13" t="s">
        <v>28</v>
      </c>
      <c r="F451" s="109">
        <v>41599</v>
      </c>
      <c r="G451" s="13" t="s">
        <v>460</v>
      </c>
      <c r="H451" s="13" t="s">
        <v>461</v>
      </c>
      <c r="I451" s="13" t="s">
        <v>462</v>
      </c>
      <c r="J451" s="13" t="s">
        <v>14</v>
      </c>
      <c r="K451" s="13"/>
    </row>
    <row r="452" spans="1:11" ht="15.75" thickBot="1" x14ac:dyDescent="0.3">
      <c r="A452" s="103">
        <v>452</v>
      </c>
      <c r="B452" s="87" t="s">
        <v>463</v>
      </c>
      <c r="C452" s="13" t="s">
        <v>464</v>
      </c>
      <c r="D452" s="13" t="s">
        <v>2</v>
      </c>
      <c r="E452" s="13" t="s">
        <v>28</v>
      </c>
      <c r="F452" s="109">
        <v>42256</v>
      </c>
      <c r="G452" s="13" t="s">
        <v>465</v>
      </c>
      <c r="H452" s="13" t="s">
        <v>466</v>
      </c>
      <c r="I452" s="13" t="s">
        <v>467</v>
      </c>
      <c r="J452" s="13" t="s">
        <v>14</v>
      </c>
      <c r="K452" s="13"/>
    </row>
    <row r="453" spans="1:11" ht="15.75" thickBot="1" x14ac:dyDescent="0.3">
      <c r="A453" s="103">
        <v>453</v>
      </c>
      <c r="B453" s="88" t="s">
        <v>2014</v>
      </c>
      <c r="C453" s="13" t="s">
        <v>2009</v>
      </c>
      <c r="D453" s="13" t="s">
        <v>2</v>
      </c>
      <c r="E453" s="13" t="s">
        <v>28</v>
      </c>
      <c r="F453" s="109">
        <v>42131</v>
      </c>
      <c r="G453" s="13" t="s">
        <v>2010</v>
      </c>
      <c r="H453" s="13" t="s">
        <v>2011</v>
      </c>
      <c r="I453" s="13" t="s">
        <v>3171</v>
      </c>
      <c r="J453" s="13" t="s">
        <v>2008</v>
      </c>
      <c r="K453" s="13"/>
    </row>
    <row r="454" spans="1:11" ht="15.75" thickBot="1" x14ac:dyDescent="0.3">
      <c r="A454" s="103">
        <v>454</v>
      </c>
      <c r="B454" s="87" t="s">
        <v>2835</v>
      </c>
      <c r="C454" s="13" t="s">
        <v>2832</v>
      </c>
      <c r="D454" s="13" t="s">
        <v>66</v>
      </c>
      <c r="E454" s="13" t="s">
        <v>28</v>
      </c>
      <c r="F454" s="109">
        <v>41818</v>
      </c>
      <c r="G454" s="13" t="s">
        <v>2833</v>
      </c>
      <c r="H454" s="13" t="s">
        <v>194</v>
      </c>
      <c r="I454" s="13" t="s">
        <v>3293</v>
      </c>
      <c r="J454" s="13" t="s">
        <v>2008</v>
      </c>
      <c r="K454" s="13"/>
    </row>
    <row r="455" spans="1:11" ht="15.75" thickBot="1" x14ac:dyDescent="0.3">
      <c r="A455" s="103">
        <v>455</v>
      </c>
      <c r="B455" s="88" t="s">
        <v>2841</v>
      </c>
      <c r="C455" s="13" t="s">
        <v>2837</v>
      </c>
      <c r="D455" s="13" t="s">
        <v>2</v>
      </c>
      <c r="E455" s="13" t="s">
        <v>28</v>
      </c>
      <c r="F455" s="109">
        <v>41926</v>
      </c>
      <c r="G455" s="13" t="s">
        <v>2838</v>
      </c>
      <c r="H455" s="13" t="s">
        <v>2839</v>
      </c>
      <c r="I455" s="13" t="s">
        <v>3294</v>
      </c>
      <c r="J455" s="13" t="s">
        <v>2008</v>
      </c>
      <c r="K455" s="13"/>
    </row>
    <row r="456" spans="1:11" ht="15.75" thickBot="1" x14ac:dyDescent="0.3">
      <c r="A456" s="103">
        <v>456</v>
      </c>
      <c r="B456" s="87" t="s">
        <v>2854</v>
      </c>
      <c r="C456" s="13" t="s">
        <v>2850</v>
      </c>
      <c r="D456" s="13" t="s">
        <v>66</v>
      </c>
      <c r="E456" s="13" t="s">
        <v>28</v>
      </c>
      <c r="F456" s="109">
        <v>42537</v>
      </c>
      <c r="G456" s="13" t="s">
        <v>2851</v>
      </c>
      <c r="H456" s="13" t="s">
        <v>2852</v>
      </c>
      <c r="I456" s="13" t="s">
        <v>3296</v>
      </c>
      <c r="J456" s="13" t="s">
        <v>2008</v>
      </c>
      <c r="K456" s="13"/>
    </row>
    <row r="457" spans="1:11" ht="15.75" thickBot="1" x14ac:dyDescent="0.3">
      <c r="A457" s="103">
        <v>457</v>
      </c>
      <c r="B457" s="88" t="s">
        <v>2888</v>
      </c>
      <c r="C457" s="13" t="s">
        <v>2009</v>
      </c>
      <c r="D457" s="13" t="s">
        <v>2</v>
      </c>
      <c r="E457" s="13" t="s">
        <v>28</v>
      </c>
      <c r="F457" s="109">
        <v>42131</v>
      </c>
      <c r="G457" s="13" t="s">
        <v>2010</v>
      </c>
      <c r="H457" s="13" t="s">
        <v>2011</v>
      </c>
      <c r="I457" s="13" t="s">
        <v>3303</v>
      </c>
      <c r="J457" s="13" t="s">
        <v>2008</v>
      </c>
      <c r="K457" s="13"/>
    </row>
    <row r="458" spans="1:11" ht="15.75" thickBot="1" x14ac:dyDescent="0.3">
      <c r="A458" s="103">
        <v>458</v>
      </c>
      <c r="B458" s="87" t="s">
        <v>430</v>
      </c>
      <c r="C458" s="13" t="s">
        <v>431</v>
      </c>
      <c r="D458" s="13" t="s">
        <v>66</v>
      </c>
      <c r="E458" s="13" t="s">
        <v>10</v>
      </c>
      <c r="F458" s="109">
        <v>41619</v>
      </c>
      <c r="G458" s="13" t="s">
        <v>432</v>
      </c>
      <c r="H458" s="13" t="s">
        <v>433</v>
      </c>
      <c r="I458" s="13" t="s">
        <v>434</v>
      </c>
      <c r="J458" s="13" t="s">
        <v>435</v>
      </c>
      <c r="K458" s="13"/>
    </row>
    <row r="459" spans="1:11" ht="15.75" thickBot="1" x14ac:dyDescent="0.3">
      <c r="A459" s="103">
        <v>459</v>
      </c>
      <c r="B459" s="88" t="s">
        <v>754</v>
      </c>
      <c r="C459" s="13" t="s">
        <v>755</v>
      </c>
      <c r="D459" s="13" t="s">
        <v>66</v>
      </c>
      <c r="E459" s="13" t="s">
        <v>10</v>
      </c>
      <c r="F459" s="109">
        <v>41860</v>
      </c>
      <c r="G459" s="13" t="s">
        <v>756</v>
      </c>
      <c r="H459" s="13" t="s">
        <v>757</v>
      </c>
      <c r="I459" s="13" t="s">
        <v>758</v>
      </c>
      <c r="J459" s="13" t="s">
        <v>435</v>
      </c>
      <c r="K459" s="13"/>
    </row>
    <row r="460" spans="1:11" ht="15.75" thickBot="1" x14ac:dyDescent="0.3">
      <c r="A460" s="103">
        <v>460</v>
      </c>
      <c r="B460" s="87" t="s">
        <v>759</v>
      </c>
      <c r="C460" s="13" t="s">
        <v>760</v>
      </c>
      <c r="D460" s="13" t="s">
        <v>2</v>
      </c>
      <c r="E460" s="13" t="s">
        <v>10</v>
      </c>
      <c r="F460" s="109">
        <v>42697</v>
      </c>
      <c r="G460" s="13" t="s">
        <v>761</v>
      </c>
      <c r="H460" s="13" t="s">
        <v>762</v>
      </c>
      <c r="I460" s="13" t="s">
        <v>763</v>
      </c>
      <c r="J460" s="13" t="s">
        <v>435</v>
      </c>
      <c r="K460" s="13"/>
    </row>
    <row r="461" spans="1:11" ht="15.75" thickBot="1" x14ac:dyDescent="0.3">
      <c r="A461" s="103">
        <v>461</v>
      </c>
      <c r="B461" s="88" t="s">
        <v>764</v>
      </c>
      <c r="C461" s="13" t="s">
        <v>765</v>
      </c>
      <c r="D461" s="13" t="s">
        <v>2</v>
      </c>
      <c r="E461" s="13" t="s">
        <v>10</v>
      </c>
      <c r="F461" s="109">
        <v>42049</v>
      </c>
      <c r="G461" s="13" t="s">
        <v>766</v>
      </c>
      <c r="H461" s="13" t="s">
        <v>767</v>
      </c>
      <c r="I461" s="13" t="s">
        <v>768</v>
      </c>
      <c r="J461" s="13" t="s">
        <v>435</v>
      </c>
      <c r="K461" s="13"/>
    </row>
    <row r="462" spans="1:11" ht="15.75" thickBot="1" x14ac:dyDescent="0.3">
      <c r="A462" s="103">
        <v>462</v>
      </c>
      <c r="B462" s="87" t="s">
        <v>769</v>
      </c>
      <c r="C462" s="13" t="s">
        <v>770</v>
      </c>
      <c r="D462" s="13" t="s">
        <v>2</v>
      </c>
      <c r="E462" s="13" t="s">
        <v>10</v>
      </c>
      <c r="F462" s="109">
        <v>41953</v>
      </c>
      <c r="G462" s="13" t="s">
        <v>771</v>
      </c>
      <c r="H462" s="13" t="s">
        <v>772</v>
      </c>
      <c r="I462" s="13" t="s">
        <v>773</v>
      </c>
      <c r="J462" s="13" t="s">
        <v>435</v>
      </c>
      <c r="K462" s="13"/>
    </row>
    <row r="463" spans="1:11" ht="15.75" thickBot="1" x14ac:dyDescent="0.3">
      <c r="A463" s="103">
        <v>463</v>
      </c>
      <c r="B463" s="88" t="s">
        <v>774</v>
      </c>
      <c r="C463" s="13" t="s">
        <v>775</v>
      </c>
      <c r="D463" s="13" t="s">
        <v>66</v>
      </c>
      <c r="E463" s="13" t="s">
        <v>10</v>
      </c>
      <c r="F463" s="109">
        <v>46000</v>
      </c>
      <c r="G463" s="13" t="s">
        <v>776</v>
      </c>
      <c r="H463" s="13" t="s">
        <v>777</v>
      </c>
      <c r="I463" s="13" t="s">
        <v>778</v>
      </c>
      <c r="J463" s="13" t="s">
        <v>435</v>
      </c>
      <c r="K463" s="13"/>
    </row>
    <row r="464" spans="1:11" ht="15.75" thickBot="1" x14ac:dyDescent="0.3">
      <c r="A464" s="103">
        <v>464</v>
      </c>
      <c r="B464" s="87" t="s">
        <v>784</v>
      </c>
      <c r="C464" s="13" t="s">
        <v>785</v>
      </c>
      <c r="D464" s="13" t="s">
        <v>66</v>
      </c>
      <c r="E464" s="13" t="s">
        <v>10</v>
      </c>
      <c r="F464" s="109">
        <v>41682</v>
      </c>
      <c r="G464" s="13" t="s">
        <v>786</v>
      </c>
      <c r="H464" s="13" t="s">
        <v>787</v>
      </c>
      <c r="I464" s="13" t="s">
        <v>788</v>
      </c>
      <c r="J464" s="13" t="s">
        <v>435</v>
      </c>
      <c r="K464" s="13"/>
    </row>
    <row r="465" spans="1:11" ht="15.75" thickBot="1" x14ac:dyDescent="0.3">
      <c r="A465" s="103">
        <v>465</v>
      </c>
      <c r="B465" s="88" t="s">
        <v>789</v>
      </c>
      <c r="C465" s="13" t="s">
        <v>790</v>
      </c>
      <c r="D465" s="13" t="s">
        <v>66</v>
      </c>
      <c r="E465" s="13" t="s">
        <v>10</v>
      </c>
      <c r="F465" s="109">
        <v>42228</v>
      </c>
      <c r="G465" s="13" t="s">
        <v>791</v>
      </c>
      <c r="H465" s="13" t="s">
        <v>792</v>
      </c>
      <c r="I465" s="13" t="s">
        <v>793</v>
      </c>
      <c r="J465" s="13" t="s">
        <v>435</v>
      </c>
      <c r="K465" s="13"/>
    </row>
    <row r="466" spans="1:11" ht="15.75" thickBot="1" x14ac:dyDescent="0.3">
      <c r="A466" s="103">
        <v>466</v>
      </c>
      <c r="B466" s="87" t="s">
        <v>799</v>
      </c>
      <c r="C466" s="13" t="s">
        <v>785</v>
      </c>
      <c r="D466" s="13" t="s">
        <v>66</v>
      </c>
      <c r="E466" s="13" t="s">
        <v>10</v>
      </c>
      <c r="F466" s="109">
        <v>41682</v>
      </c>
      <c r="G466" s="13" t="s">
        <v>786</v>
      </c>
      <c r="H466" s="13" t="s">
        <v>787</v>
      </c>
      <c r="I466" s="13" t="s">
        <v>800</v>
      </c>
      <c r="J466" s="13" t="s">
        <v>435</v>
      </c>
      <c r="K466" s="13"/>
    </row>
    <row r="467" spans="1:11" ht="15.75" thickBot="1" x14ac:dyDescent="0.3">
      <c r="A467" s="103">
        <v>467</v>
      </c>
      <c r="B467" s="88" t="s">
        <v>801</v>
      </c>
      <c r="C467" s="13" t="s">
        <v>790</v>
      </c>
      <c r="D467" s="13" t="s">
        <v>66</v>
      </c>
      <c r="E467" s="13" t="s">
        <v>10</v>
      </c>
      <c r="F467" s="109">
        <v>42228</v>
      </c>
      <c r="G467" s="13" t="s">
        <v>791</v>
      </c>
      <c r="H467" s="13" t="s">
        <v>792</v>
      </c>
      <c r="I467" s="13" t="s">
        <v>802</v>
      </c>
      <c r="J467" s="13" t="s">
        <v>435</v>
      </c>
      <c r="K467" s="13"/>
    </row>
    <row r="468" spans="1:11" ht="15.75" thickBot="1" x14ac:dyDescent="0.3">
      <c r="A468" s="103">
        <v>468</v>
      </c>
      <c r="B468" s="87" t="s">
        <v>803</v>
      </c>
      <c r="C468" s="13" t="s">
        <v>804</v>
      </c>
      <c r="D468" s="13" t="s">
        <v>2</v>
      </c>
      <c r="E468" s="13" t="s">
        <v>10</v>
      </c>
      <c r="F468" s="109">
        <v>41602</v>
      </c>
      <c r="G468" s="13" t="s">
        <v>805</v>
      </c>
      <c r="H468" s="13" t="s">
        <v>806</v>
      </c>
      <c r="I468" s="13" t="s">
        <v>807</v>
      </c>
      <c r="J468" s="13" t="s">
        <v>435</v>
      </c>
      <c r="K468" s="13"/>
    </row>
    <row r="469" spans="1:11" ht="15.75" thickBot="1" x14ac:dyDescent="0.3">
      <c r="A469" s="103">
        <v>469</v>
      </c>
      <c r="B469" s="88" t="s">
        <v>819</v>
      </c>
      <c r="C469" s="13" t="s">
        <v>820</v>
      </c>
      <c r="D469" s="13" t="s">
        <v>2</v>
      </c>
      <c r="E469" s="13" t="s">
        <v>10</v>
      </c>
      <c r="F469" s="109">
        <v>42102</v>
      </c>
      <c r="G469" s="13" t="s">
        <v>821</v>
      </c>
      <c r="H469" s="13" t="s">
        <v>822</v>
      </c>
      <c r="I469" s="13" t="s">
        <v>823</v>
      </c>
      <c r="J469" s="13" t="s">
        <v>435</v>
      </c>
      <c r="K469" s="13"/>
    </row>
    <row r="470" spans="1:11" ht="15.75" thickBot="1" x14ac:dyDescent="0.3">
      <c r="A470" s="103">
        <v>470</v>
      </c>
      <c r="B470" s="87" t="s">
        <v>829</v>
      </c>
      <c r="C470" s="13" t="s">
        <v>830</v>
      </c>
      <c r="D470" s="13" t="s">
        <v>2</v>
      </c>
      <c r="E470" s="13" t="s">
        <v>402</v>
      </c>
      <c r="F470" s="109">
        <v>42101</v>
      </c>
      <c r="G470" s="13" t="s">
        <v>831</v>
      </c>
      <c r="H470" s="13" t="s">
        <v>832</v>
      </c>
      <c r="I470" s="13" t="s">
        <v>833</v>
      </c>
      <c r="J470" s="13" t="s">
        <v>435</v>
      </c>
      <c r="K470" s="13"/>
    </row>
    <row r="471" spans="1:11" ht="15.75" thickBot="1" x14ac:dyDescent="0.3">
      <c r="A471" s="103">
        <v>471</v>
      </c>
      <c r="B471" s="88" t="s">
        <v>834</v>
      </c>
      <c r="C471" s="13" t="s">
        <v>835</v>
      </c>
      <c r="D471" s="13" t="s">
        <v>2</v>
      </c>
      <c r="E471" s="13" t="s">
        <v>10</v>
      </c>
      <c r="F471" s="109">
        <v>42233</v>
      </c>
      <c r="G471" s="13" t="s">
        <v>836</v>
      </c>
      <c r="H471" s="13" t="s">
        <v>837</v>
      </c>
      <c r="I471" s="13" t="s">
        <v>838</v>
      </c>
      <c r="J471" s="13" t="s">
        <v>435</v>
      </c>
      <c r="K471" s="13"/>
    </row>
    <row r="472" spans="1:11" ht="15.75" thickBot="1" x14ac:dyDescent="0.3">
      <c r="A472" s="103">
        <v>472</v>
      </c>
      <c r="B472" s="87" t="s">
        <v>839</v>
      </c>
      <c r="C472" s="13" t="s">
        <v>840</v>
      </c>
      <c r="D472" s="13" t="s">
        <v>2</v>
      </c>
      <c r="E472" s="13" t="s">
        <v>10</v>
      </c>
      <c r="F472" s="109">
        <v>42101</v>
      </c>
      <c r="G472" s="13" t="s">
        <v>841</v>
      </c>
      <c r="H472" s="13" t="s">
        <v>842</v>
      </c>
      <c r="I472" s="13" t="s">
        <v>843</v>
      </c>
      <c r="J472" s="13" t="s">
        <v>435</v>
      </c>
      <c r="K472" s="13"/>
    </row>
    <row r="473" spans="1:11" ht="15.75" thickBot="1" x14ac:dyDescent="0.3">
      <c r="A473" s="103">
        <v>473</v>
      </c>
      <c r="B473" s="88" t="s">
        <v>860</v>
      </c>
      <c r="C473" s="13" t="s">
        <v>861</v>
      </c>
      <c r="D473" s="13" t="s">
        <v>66</v>
      </c>
      <c r="E473" s="13" t="s">
        <v>28</v>
      </c>
      <c r="F473" s="109">
        <v>42220</v>
      </c>
      <c r="G473" s="13" t="s">
        <v>862</v>
      </c>
      <c r="H473" s="13" t="s">
        <v>863</v>
      </c>
      <c r="I473" s="13" t="s">
        <v>864</v>
      </c>
      <c r="J473" s="13" t="s">
        <v>435</v>
      </c>
      <c r="K473" s="13"/>
    </row>
    <row r="474" spans="1:11" ht="15.75" thickBot="1" x14ac:dyDescent="0.3">
      <c r="A474" s="103">
        <v>474</v>
      </c>
      <c r="B474" s="87" t="s">
        <v>865</v>
      </c>
      <c r="C474" s="13" t="s">
        <v>866</v>
      </c>
      <c r="D474" s="13" t="s">
        <v>2</v>
      </c>
      <c r="E474" s="13" t="s">
        <v>10</v>
      </c>
      <c r="F474" s="109">
        <v>42267</v>
      </c>
      <c r="G474" s="13" t="s">
        <v>867</v>
      </c>
      <c r="H474" s="13" t="s">
        <v>868</v>
      </c>
      <c r="I474" s="13" t="s">
        <v>869</v>
      </c>
      <c r="J474" s="13" t="s">
        <v>435</v>
      </c>
      <c r="K474" s="13"/>
    </row>
    <row r="475" spans="1:11" ht="15.75" thickBot="1" x14ac:dyDescent="0.3">
      <c r="A475" s="103">
        <v>475</v>
      </c>
      <c r="B475" s="88" t="s">
        <v>897</v>
      </c>
      <c r="C475" s="13" t="s">
        <v>898</v>
      </c>
      <c r="D475" s="13" t="s">
        <v>66</v>
      </c>
      <c r="E475" s="13" t="s">
        <v>28</v>
      </c>
      <c r="F475" s="109">
        <v>42228</v>
      </c>
      <c r="G475" s="13" t="s">
        <v>899</v>
      </c>
      <c r="H475" s="13" t="s">
        <v>900</v>
      </c>
      <c r="I475" s="13" t="s">
        <v>901</v>
      </c>
      <c r="J475" s="13" t="s">
        <v>435</v>
      </c>
      <c r="K475" s="13"/>
    </row>
    <row r="476" spans="1:11" ht="15.75" thickBot="1" x14ac:dyDescent="0.3">
      <c r="A476" s="103">
        <v>476</v>
      </c>
      <c r="B476" s="87" t="s">
        <v>2003</v>
      </c>
      <c r="C476" s="13" t="s">
        <v>898</v>
      </c>
      <c r="D476" s="13" t="s">
        <v>66</v>
      </c>
      <c r="E476" s="13" t="s">
        <v>28</v>
      </c>
      <c r="F476" s="109">
        <v>42346</v>
      </c>
      <c r="G476" s="13" t="s">
        <v>899</v>
      </c>
      <c r="H476" s="13" t="s">
        <v>900</v>
      </c>
      <c r="I476" s="13" t="s">
        <v>3169</v>
      </c>
      <c r="J476" s="13" t="s">
        <v>435</v>
      </c>
      <c r="K476" s="13"/>
    </row>
    <row r="477" spans="1:11" ht="15.75" thickBot="1" x14ac:dyDescent="0.3">
      <c r="A477" s="103">
        <v>477</v>
      </c>
      <c r="B477" s="88" t="s">
        <v>2515</v>
      </c>
      <c r="C477" s="13" t="s">
        <v>2510</v>
      </c>
      <c r="D477" s="13" t="s">
        <v>2</v>
      </c>
      <c r="E477" s="13" t="s">
        <v>10</v>
      </c>
      <c r="F477" s="109">
        <v>42481</v>
      </c>
      <c r="G477" s="13" t="s">
        <v>2511</v>
      </c>
      <c r="H477" s="13" t="s">
        <v>2512</v>
      </c>
      <c r="I477" s="13" t="s">
        <v>3239</v>
      </c>
      <c r="J477" s="13" t="s">
        <v>435</v>
      </c>
      <c r="K477" s="13"/>
    </row>
    <row r="478" spans="1:11" ht="15.75" thickBot="1" x14ac:dyDescent="0.3">
      <c r="A478" s="103">
        <v>478</v>
      </c>
      <c r="B478" s="87" t="s">
        <v>2578</v>
      </c>
      <c r="C478" s="13" t="s">
        <v>2573</v>
      </c>
      <c r="D478" s="13" t="s">
        <v>2</v>
      </c>
      <c r="E478" s="13" t="s">
        <v>10</v>
      </c>
      <c r="F478" s="109">
        <v>42404</v>
      </c>
      <c r="G478" s="13" t="s">
        <v>2574</v>
      </c>
      <c r="H478" s="13" t="s">
        <v>2575</v>
      </c>
      <c r="I478" s="13" t="s">
        <v>3249</v>
      </c>
      <c r="J478" s="13" t="s">
        <v>435</v>
      </c>
      <c r="K478" s="13"/>
    </row>
    <row r="479" spans="1:11" ht="15.75" thickBot="1" x14ac:dyDescent="0.3">
      <c r="A479" s="103">
        <v>479</v>
      </c>
      <c r="B479" s="88" t="s">
        <v>2693</v>
      </c>
      <c r="C479" s="13" t="s">
        <v>2688</v>
      </c>
      <c r="D479" s="13" t="s">
        <v>2</v>
      </c>
      <c r="E479" s="13" t="s">
        <v>10</v>
      </c>
      <c r="F479" s="109">
        <v>41840</v>
      </c>
      <c r="G479" s="13" t="s">
        <v>2689</v>
      </c>
      <c r="H479" s="13" t="s">
        <v>2690</v>
      </c>
      <c r="I479" s="13" t="s">
        <v>3269</v>
      </c>
      <c r="J479" s="13" t="s">
        <v>435</v>
      </c>
      <c r="K479" s="13"/>
    </row>
    <row r="480" spans="1:11" ht="15.75" thickBot="1" x14ac:dyDescent="0.3">
      <c r="A480" s="103">
        <v>480</v>
      </c>
      <c r="B480" s="87" t="s">
        <v>2864</v>
      </c>
      <c r="C480" s="13" t="s">
        <v>2843</v>
      </c>
      <c r="D480" s="13" t="s">
        <v>2</v>
      </c>
      <c r="E480" s="13" t="s">
        <v>116</v>
      </c>
      <c r="F480" s="109">
        <v>42040</v>
      </c>
      <c r="G480" s="13" t="s">
        <v>2844</v>
      </c>
      <c r="H480" s="13" t="s">
        <v>2845</v>
      </c>
      <c r="I480" s="13" t="s">
        <v>3298</v>
      </c>
      <c r="J480" s="13" t="s">
        <v>435</v>
      </c>
      <c r="K480" s="13"/>
    </row>
    <row r="481" spans="1:11" ht="15.75" thickBot="1" x14ac:dyDescent="0.3">
      <c r="A481" s="103">
        <v>481</v>
      </c>
      <c r="B481" s="88" t="s">
        <v>2848</v>
      </c>
      <c r="C481" s="13" t="s">
        <v>2843</v>
      </c>
      <c r="D481" s="13" t="s">
        <v>2</v>
      </c>
      <c r="E481" s="13" t="s">
        <v>116</v>
      </c>
      <c r="F481" s="109">
        <v>42040</v>
      </c>
      <c r="G481" s="13" t="s">
        <v>2844</v>
      </c>
      <c r="H481" s="13" t="s">
        <v>2845</v>
      </c>
      <c r="I481" s="13" t="s">
        <v>3295</v>
      </c>
      <c r="J481" s="13" t="s">
        <v>435</v>
      </c>
      <c r="K481" s="13"/>
    </row>
    <row r="482" spans="1:11" ht="15.75" thickBot="1" x14ac:dyDescent="0.3">
      <c r="A482" s="103">
        <v>482</v>
      </c>
      <c r="B482" s="87" t="s">
        <v>2875</v>
      </c>
      <c r="C482" s="13" t="s">
        <v>2843</v>
      </c>
      <c r="D482" s="13" t="s">
        <v>2</v>
      </c>
      <c r="E482" s="13" t="s">
        <v>116</v>
      </c>
      <c r="F482" s="109">
        <v>42040</v>
      </c>
      <c r="G482" s="13" t="s">
        <v>2844</v>
      </c>
      <c r="H482" s="13" t="s">
        <v>2845</v>
      </c>
      <c r="I482" s="13" t="s">
        <v>3300</v>
      </c>
      <c r="J482" s="13" t="s">
        <v>435</v>
      </c>
      <c r="K482" s="13"/>
    </row>
    <row r="483" spans="1:11" ht="15.75" thickBot="1" x14ac:dyDescent="0.3">
      <c r="A483" s="103">
        <v>483</v>
      </c>
      <c r="B483" s="88" t="s">
        <v>2861</v>
      </c>
      <c r="C483" s="13" t="s">
        <v>2856</v>
      </c>
      <c r="D483" s="13" t="s">
        <v>2</v>
      </c>
      <c r="E483" s="13" t="s">
        <v>402</v>
      </c>
      <c r="F483" s="109">
        <v>42344</v>
      </c>
      <c r="G483" s="13" t="s">
        <v>2857</v>
      </c>
      <c r="H483" s="13" t="s">
        <v>2858</v>
      </c>
      <c r="I483" s="13" t="s">
        <v>3297</v>
      </c>
      <c r="J483" s="13" t="s">
        <v>435</v>
      </c>
      <c r="K483" s="13"/>
    </row>
    <row r="484" spans="1:11" ht="15.75" thickBot="1" x14ac:dyDescent="0.3">
      <c r="A484" s="103">
        <v>484</v>
      </c>
      <c r="B484" s="87" t="s">
        <v>2878</v>
      </c>
      <c r="C484" s="13" t="s">
        <v>2843</v>
      </c>
      <c r="D484" s="13" t="s">
        <v>2</v>
      </c>
      <c r="E484" s="13" t="s">
        <v>116</v>
      </c>
      <c r="F484" s="109">
        <v>42040</v>
      </c>
      <c r="G484" s="13" t="s">
        <v>2844</v>
      </c>
      <c r="H484" s="13" t="s">
        <v>2845</v>
      </c>
      <c r="I484" s="13" t="s">
        <v>3301</v>
      </c>
      <c r="J484" s="13" t="s">
        <v>435</v>
      </c>
      <c r="K484" s="13"/>
    </row>
    <row r="485" spans="1:11" ht="15.75" thickBot="1" x14ac:dyDescent="0.3">
      <c r="A485" s="103">
        <v>485</v>
      </c>
      <c r="B485" s="88" t="s">
        <v>2895</v>
      </c>
      <c r="C485" s="13" t="s">
        <v>2890</v>
      </c>
      <c r="D485" s="13" t="s">
        <v>66</v>
      </c>
      <c r="E485" s="13" t="s">
        <v>10</v>
      </c>
      <c r="F485" s="109">
        <v>42313</v>
      </c>
      <c r="G485" s="13" t="s">
        <v>2891</v>
      </c>
      <c r="H485" s="13" t="s">
        <v>2892</v>
      </c>
      <c r="I485" s="13" t="s">
        <v>3304</v>
      </c>
      <c r="J485" s="13" t="s">
        <v>435</v>
      </c>
      <c r="K485" s="13"/>
    </row>
    <row r="486" spans="1:11" ht="15.75" thickBot="1" x14ac:dyDescent="0.3">
      <c r="A486" s="103">
        <v>486</v>
      </c>
      <c r="B486" s="87" t="s">
        <v>2899</v>
      </c>
      <c r="C486" s="13" t="s">
        <v>2843</v>
      </c>
      <c r="D486" s="13" t="s">
        <v>2</v>
      </c>
      <c r="E486" s="13" t="s">
        <v>116</v>
      </c>
      <c r="F486" s="109">
        <v>42040</v>
      </c>
      <c r="G486" s="13" t="s">
        <v>2844</v>
      </c>
      <c r="H486" s="13" t="s">
        <v>2845</v>
      </c>
      <c r="I486" s="13" t="s">
        <v>3305</v>
      </c>
      <c r="J486" s="13" t="s">
        <v>435</v>
      </c>
      <c r="K486" s="13"/>
    </row>
    <row r="487" spans="1:11" ht="15.75" thickBot="1" x14ac:dyDescent="0.3">
      <c r="A487" s="103">
        <v>487</v>
      </c>
      <c r="B487" s="88" t="s">
        <v>2902</v>
      </c>
      <c r="C487" s="13" t="s">
        <v>2890</v>
      </c>
      <c r="D487" s="13" t="s">
        <v>66</v>
      </c>
      <c r="E487" s="13" t="s">
        <v>10</v>
      </c>
      <c r="F487" s="109">
        <v>42313</v>
      </c>
      <c r="G487" s="13" t="s">
        <v>2891</v>
      </c>
      <c r="H487" s="13" t="s">
        <v>2892</v>
      </c>
      <c r="I487" s="13" t="s">
        <v>3306</v>
      </c>
      <c r="J487" s="13" t="s">
        <v>435</v>
      </c>
      <c r="K487" s="13"/>
    </row>
    <row r="488" spans="1:11" ht="15.75" thickBot="1" x14ac:dyDescent="0.3">
      <c r="A488" s="103">
        <v>488</v>
      </c>
      <c r="B488" s="87" t="s">
        <v>2910</v>
      </c>
      <c r="C488" s="13" t="s">
        <v>2843</v>
      </c>
      <c r="D488" s="13" t="s">
        <v>2</v>
      </c>
      <c r="E488" s="13" t="s">
        <v>116</v>
      </c>
      <c r="F488" s="109">
        <v>42040</v>
      </c>
      <c r="G488" s="13" t="s">
        <v>2844</v>
      </c>
      <c r="H488" s="13" t="s">
        <v>2845</v>
      </c>
      <c r="I488" s="13" t="s">
        <v>3307</v>
      </c>
      <c r="J488" s="13" t="s">
        <v>435</v>
      </c>
      <c r="K488" s="13"/>
    </row>
    <row r="489" spans="1:11" ht="15.75" thickBot="1" x14ac:dyDescent="0.3">
      <c r="A489" s="103">
        <v>489</v>
      </c>
      <c r="B489" s="88" t="s">
        <v>2913</v>
      </c>
      <c r="C489" s="13" t="s">
        <v>2890</v>
      </c>
      <c r="D489" s="13" t="s">
        <v>66</v>
      </c>
      <c r="E489" s="13" t="s">
        <v>10</v>
      </c>
      <c r="F489" s="109">
        <v>42313</v>
      </c>
      <c r="G489" s="13" t="s">
        <v>2891</v>
      </c>
      <c r="H489" s="13" t="s">
        <v>2892</v>
      </c>
      <c r="I489" s="13" t="s">
        <v>3308</v>
      </c>
      <c r="J489" s="13" t="s">
        <v>435</v>
      </c>
      <c r="K489" s="13"/>
    </row>
    <row r="490" spans="1:11" ht="15.75" thickBot="1" x14ac:dyDescent="0.3">
      <c r="A490" s="103">
        <v>490</v>
      </c>
      <c r="B490" s="87" t="s">
        <v>451</v>
      </c>
      <c r="C490" s="13" t="s">
        <v>452</v>
      </c>
      <c r="D490" s="13" t="s">
        <v>2</v>
      </c>
      <c r="E490" s="13" t="s">
        <v>453</v>
      </c>
      <c r="F490" s="109">
        <v>42703</v>
      </c>
      <c r="G490" s="13" t="s">
        <v>454</v>
      </c>
      <c r="H490" s="13" t="s">
        <v>455</v>
      </c>
      <c r="I490" s="13" t="s">
        <v>456</v>
      </c>
      <c r="J490" s="13" t="s">
        <v>457</v>
      </c>
      <c r="K490" s="13"/>
    </row>
    <row r="491" spans="1:11" ht="15.75" thickBot="1" x14ac:dyDescent="0.3">
      <c r="A491" s="103">
        <v>491</v>
      </c>
      <c r="B491" s="88" t="s">
        <v>2787</v>
      </c>
      <c r="C491" s="13" t="s">
        <v>2782</v>
      </c>
      <c r="D491" s="13" t="s">
        <v>66</v>
      </c>
      <c r="E491" s="103">
        <v>42287</v>
      </c>
      <c r="F491" s="109">
        <v>42287</v>
      </c>
      <c r="G491" s="13" t="s">
        <v>2783</v>
      </c>
      <c r="H491" s="13" t="s">
        <v>2784</v>
      </c>
      <c r="I491" s="13" t="s">
        <v>3284</v>
      </c>
      <c r="J491" s="13" t="s">
        <v>2781</v>
      </c>
      <c r="K491" s="13"/>
    </row>
    <row r="492" spans="1:11" ht="15.75" thickBot="1" x14ac:dyDescent="0.3">
      <c r="A492" s="103">
        <v>492</v>
      </c>
      <c r="B492" s="87" t="s">
        <v>2632</v>
      </c>
      <c r="C492" s="13" t="s">
        <v>2627</v>
      </c>
      <c r="D492" s="13" t="s">
        <v>2</v>
      </c>
      <c r="E492" s="13" t="s">
        <v>10</v>
      </c>
      <c r="F492" s="109">
        <v>42272</v>
      </c>
      <c r="G492" s="13" t="s">
        <v>2628</v>
      </c>
      <c r="H492" s="13" t="s">
        <v>2629</v>
      </c>
      <c r="I492" s="13" t="s">
        <v>3257</v>
      </c>
      <c r="J492" s="13" t="s">
        <v>2626</v>
      </c>
      <c r="K492" s="13"/>
    </row>
    <row r="493" spans="1:11" ht="15.75" thickBot="1" x14ac:dyDescent="0.3">
      <c r="A493" s="103">
        <v>493</v>
      </c>
      <c r="B493" s="88" t="s">
        <v>2699</v>
      </c>
      <c r="C493" s="13" t="s">
        <v>2695</v>
      </c>
      <c r="D493" s="13" t="s">
        <v>2</v>
      </c>
      <c r="E493" s="13" t="s">
        <v>10</v>
      </c>
      <c r="F493" s="109">
        <v>42563</v>
      </c>
      <c r="G493" s="13" t="s">
        <v>2696</v>
      </c>
      <c r="H493" s="13" t="s">
        <v>2697</v>
      </c>
      <c r="I493" s="13" t="s">
        <v>3270</v>
      </c>
      <c r="J493" s="13" t="s">
        <v>2626</v>
      </c>
      <c r="K493" s="13"/>
    </row>
    <row r="494" spans="1:11" ht="15.75" thickBot="1" x14ac:dyDescent="0.3">
      <c r="A494" s="103">
        <v>494</v>
      </c>
      <c r="B494" s="87" t="s">
        <v>2713</v>
      </c>
      <c r="C494" s="13" t="s">
        <v>2708</v>
      </c>
      <c r="D494" s="13" t="s">
        <v>2</v>
      </c>
      <c r="E494" s="13" t="s">
        <v>2709</v>
      </c>
      <c r="F494" s="109">
        <v>42614</v>
      </c>
      <c r="G494" s="13" t="s">
        <v>2710</v>
      </c>
      <c r="H494" s="13" t="s">
        <v>2711</v>
      </c>
      <c r="I494" s="13" t="s">
        <v>3272</v>
      </c>
      <c r="J494" s="13" t="s">
        <v>2626</v>
      </c>
      <c r="K494" s="13"/>
    </row>
    <row r="495" spans="1:11" ht="15.75" thickBot="1" x14ac:dyDescent="0.3">
      <c r="A495" s="103">
        <v>495</v>
      </c>
      <c r="B495" s="88" t="s">
        <v>251</v>
      </c>
      <c r="C495" s="13" t="s">
        <v>252</v>
      </c>
      <c r="D495" s="13" t="s">
        <v>2</v>
      </c>
      <c r="E495" s="13" t="s">
        <v>10</v>
      </c>
      <c r="F495" s="109">
        <v>41692</v>
      </c>
      <c r="G495" s="13" t="s">
        <v>253</v>
      </c>
      <c r="H495" s="13" t="s">
        <v>254</v>
      </c>
      <c r="I495" s="13" t="s">
        <v>255</v>
      </c>
      <c r="J495" s="13" t="s">
        <v>256</v>
      </c>
      <c r="K495" s="13"/>
    </row>
    <row r="496" spans="1:11" ht="15.75" thickBot="1" x14ac:dyDescent="0.3">
      <c r="A496" s="103">
        <v>496</v>
      </c>
      <c r="B496" s="87" t="s">
        <v>849</v>
      </c>
      <c r="C496" s="13" t="s">
        <v>850</v>
      </c>
      <c r="D496" s="13" t="s">
        <v>2</v>
      </c>
      <c r="E496" s="13" t="s">
        <v>10</v>
      </c>
      <c r="F496" s="109">
        <v>41531</v>
      </c>
      <c r="G496" s="13" t="s">
        <v>851</v>
      </c>
      <c r="H496" s="13" t="s">
        <v>852</v>
      </c>
      <c r="I496" s="13" t="s">
        <v>853</v>
      </c>
      <c r="J496" s="13" t="s">
        <v>854</v>
      </c>
      <c r="K496" s="13"/>
    </row>
    <row r="497" spans="1:11" ht="15.75" thickBot="1" x14ac:dyDescent="0.3">
      <c r="A497" s="103">
        <v>497</v>
      </c>
      <c r="B497" s="88" t="s">
        <v>479</v>
      </c>
      <c r="C497" s="13" t="s">
        <v>480</v>
      </c>
      <c r="D497" s="13" t="s">
        <v>66</v>
      </c>
      <c r="E497" s="13" t="s">
        <v>10</v>
      </c>
      <c r="F497" s="109">
        <v>41779</v>
      </c>
      <c r="G497" s="13" t="s">
        <v>481</v>
      </c>
      <c r="H497" s="13" t="s">
        <v>482</v>
      </c>
      <c r="I497" s="13" t="s">
        <v>483</v>
      </c>
      <c r="J497" s="13" t="s">
        <v>484</v>
      </c>
      <c r="K497" s="13"/>
    </row>
    <row r="498" spans="1:11" ht="15.75" thickBot="1" x14ac:dyDescent="0.3">
      <c r="A498" s="103">
        <v>498</v>
      </c>
      <c r="B498" s="87" t="s">
        <v>844</v>
      </c>
      <c r="C498" s="13" t="s">
        <v>845</v>
      </c>
      <c r="D498" s="13" t="s">
        <v>2</v>
      </c>
      <c r="E498" s="13" t="s">
        <v>10</v>
      </c>
      <c r="F498" s="109">
        <v>41548</v>
      </c>
      <c r="G498" s="13" t="s">
        <v>846</v>
      </c>
      <c r="H498" s="13" t="s">
        <v>847</v>
      </c>
      <c r="I498" s="13" t="s">
        <v>848</v>
      </c>
      <c r="J498" s="13" t="s">
        <v>484</v>
      </c>
      <c r="K498" s="13"/>
    </row>
    <row r="499" spans="1:11" ht="15.75" thickBot="1" x14ac:dyDescent="0.3">
      <c r="A499" s="103">
        <v>499</v>
      </c>
      <c r="B499" s="88" t="s">
        <v>875</v>
      </c>
      <c r="C499" s="13" t="s">
        <v>876</v>
      </c>
      <c r="D499" s="13" t="s">
        <v>2</v>
      </c>
      <c r="E499" s="13" t="s">
        <v>10</v>
      </c>
      <c r="F499" s="109">
        <v>45935</v>
      </c>
      <c r="G499" s="13" t="s">
        <v>877</v>
      </c>
      <c r="H499" s="13" t="s">
        <v>878</v>
      </c>
      <c r="I499" s="13" t="s">
        <v>879</v>
      </c>
      <c r="J499" s="13" t="s">
        <v>484</v>
      </c>
      <c r="K499" s="13"/>
    </row>
    <row r="500" spans="1:11" ht="15.75" thickBot="1" x14ac:dyDescent="0.3">
      <c r="A500" s="103">
        <v>500</v>
      </c>
      <c r="B500" s="87" t="s">
        <v>885</v>
      </c>
      <c r="C500" s="13" t="s">
        <v>886</v>
      </c>
      <c r="D500" s="13" t="s">
        <v>2</v>
      </c>
      <c r="E500" s="13" t="s">
        <v>10</v>
      </c>
      <c r="F500" s="109">
        <v>41552</v>
      </c>
      <c r="G500" s="13" t="s">
        <v>887</v>
      </c>
      <c r="H500" s="13" t="s">
        <v>878</v>
      </c>
      <c r="I500" s="13" t="s">
        <v>888</v>
      </c>
      <c r="J500" s="13" t="s">
        <v>484</v>
      </c>
      <c r="K500" s="13"/>
    </row>
    <row r="501" spans="1:11" ht="15.75" thickBot="1" x14ac:dyDescent="0.3">
      <c r="A501" s="103">
        <v>501</v>
      </c>
      <c r="B501" s="88" t="s">
        <v>889</v>
      </c>
      <c r="C501" s="13" t="s">
        <v>890</v>
      </c>
      <c r="D501" s="13" t="s">
        <v>66</v>
      </c>
      <c r="E501" s="13" t="s">
        <v>10</v>
      </c>
      <c r="F501" s="109">
        <v>41752</v>
      </c>
      <c r="G501" s="13" t="s">
        <v>891</v>
      </c>
      <c r="H501" s="13" t="s">
        <v>892</v>
      </c>
      <c r="I501" s="13" t="s">
        <v>893</v>
      </c>
      <c r="J501" s="13" t="s">
        <v>484</v>
      </c>
      <c r="K501" s="13"/>
    </row>
    <row r="502" spans="1:11" ht="15.75" thickBot="1" x14ac:dyDescent="0.3">
      <c r="A502" s="103">
        <v>502</v>
      </c>
      <c r="B502" s="87" t="s">
        <v>894</v>
      </c>
      <c r="C502" s="13" t="s">
        <v>890</v>
      </c>
      <c r="D502" s="13" t="s">
        <v>66</v>
      </c>
      <c r="E502" s="13" t="s">
        <v>10</v>
      </c>
      <c r="F502" s="109">
        <v>41752</v>
      </c>
      <c r="G502" s="13" t="s">
        <v>891</v>
      </c>
      <c r="H502" s="13" t="s">
        <v>895</v>
      </c>
      <c r="I502" s="13" t="s">
        <v>896</v>
      </c>
      <c r="J502" s="13" t="s">
        <v>484</v>
      </c>
      <c r="K502" s="13"/>
    </row>
    <row r="503" spans="1:11" ht="15.75" thickBot="1" x14ac:dyDescent="0.3">
      <c r="A503" s="103">
        <v>503</v>
      </c>
      <c r="B503" s="88" t="s">
        <v>2039</v>
      </c>
      <c r="C503" s="13" t="s">
        <v>2036</v>
      </c>
      <c r="D503" s="13" t="s">
        <v>2</v>
      </c>
      <c r="E503" s="13" t="s">
        <v>2037</v>
      </c>
      <c r="F503" s="109">
        <v>46017</v>
      </c>
      <c r="G503" s="13" t="s">
        <v>1964</v>
      </c>
      <c r="H503" s="13" t="s">
        <v>1965</v>
      </c>
      <c r="I503" s="13" t="s">
        <v>3175</v>
      </c>
      <c r="J503" s="13" t="s">
        <v>484</v>
      </c>
      <c r="K503" s="13"/>
    </row>
    <row r="504" spans="1:11" ht="15.75" thickBot="1" x14ac:dyDescent="0.3">
      <c r="A504" s="103">
        <v>504</v>
      </c>
      <c r="B504" s="87" t="s">
        <v>2060</v>
      </c>
      <c r="C504" s="13" t="s">
        <v>2036</v>
      </c>
      <c r="D504" s="13" t="s">
        <v>2</v>
      </c>
      <c r="E504" s="13" t="s">
        <v>10</v>
      </c>
      <c r="F504" s="109">
        <v>46017</v>
      </c>
      <c r="G504" s="13" t="s">
        <v>1964</v>
      </c>
      <c r="H504" s="13" t="s">
        <v>1965</v>
      </c>
      <c r="I504" s="13" t="s">
        <v>3178</v>
      </c>
      <c r="J504" s="13" t="s">
        <v>484</v>
      </c>
      <c r="K504" s="13"/>
    </row>
    <row r="505" spans="1:11" ht="15.75" thickBot="1" x14ac:dyDescent="0.3">
      <c r="A505" s="103">
        <v>505</v>
      </c>
      <c r="B505" s="88" t="s">
        <v>2068</v>
      </c>
      <c r="C505" s="13" t="s">
        <v>2036</v>
      </c>
      <c r="D505" s="13" t="s">
        <v>2</v>
      </c>
      <c r="E505" s="13" t="s">
        <v>10</v>
      </c>
      <c r="F505" s="109">
        <v>46017</v>
      </c>
      <c r="G505" s="13" t="s">
        <v>1964</v>
      </c>
      <c r="H505" s="13" t="s">
        <v>1965</v>
      </c>
      <c r="I505" s="13" t="s">
        <v>3179</v>
      </c>
      <c r="J505" s="13" t="s">
        <v>484</v>
      </c>
      <c r="K505" s="13"/>
    </row>
    <row r="506" spans="1:11" ht="15.75" thickBot="1" x14ac:dyDescent="0.3">
      <c r="A506" s="103">
        <v>506</v>
      </c>
      <c r="B506" s="87" t="s">
        <v>2071</v>
      </c>
      <c r="C506" s="13" t="s">
        <v>2036</v>
      </c>
      <c r="D506" s="13" t="s">
        <v>2</v>
      </c>
      <c r="E506" s="13" t="s">
        <v>10</v>
      </c>
      <c r="F506" s="109">
        <v>46017</v>
      </c>
      <c r="G506" s="13" t="s">
        <v>1964</v>
      </c>
      <c r="H506" s="13" t="s">
        <v>1965</v>
      </c>
      <c r="I506" s="13" t="s">
        <v>3180</v>
      </c>
      <c r="J506" s="13" t="s">
        <v>484</v>
      </c>
      <c r="K506" s="13"/>
    </row>
    <row r="507" spans="1:11" ht="15.75" thickBot="1" x14ac:dyDescent="0.3">
      <c r="A507" s="103">
        <v>507</v>
      </c>
      <c r="B507" s="88" t="s">
        <v>2078</v>
      </c>
      <c r="C507" s="13" t="s">
        <v>2036</v>
      </c>
      <c r="D507" s="13" t="s">
        <v>2</v>
      </c>
      <c r="E507" s="13" t="s">
        <v>10</v>
      </c>
      <c r="F507" s="109">
        <v>46017</v>
      </c>
      <c r="G507" s="13" t="s">
        <v>1964</v>
      </c>
      <c r="H507" s="13" t="s">
        <v>1965</v>
      </c>
      <c r="I507" s="13" t="s">
        <v>3182</v>
      </c>
      <c r="J507" s="13" t="s">
        <v>484</v>
      </c>
      <c r="K507" s="13"/>
    </row>
    <row r="508" spans="1:11" ht="15.75" thickBot="1" x14ac:dyDescent="0.3">
      <c r="A508" s="103">
        <v>508</v>
      </c>
      <c r="B508" s="87" t="s">
        <v>2096</v>
      </c>
      <c r="C508" s="13" t="s">
        <v>2091</v>
      </c>
      <c r="D508" s="13" t="s">
        <v>2</v>
      </c>
      <c r="E508" s="13" t="s">
        <v>2092</v>
      </c>
      <c r="F508" s="109">
        <v>41604</v>
      </c>
      <c r="G508" s="13" t="s">
        <v>2093</v>
      </c>
      <c r="H508" s="13" t="s">
        <v>2094</v>
      </c>
      <c r="I508" s="13" t="s">
        <v>3183</v>
      </c>
      <c r="J508" s="13" t="s">
        <v>484</v>
      </c>
      <c r="K508" s="13"/>
    </row>
    <row r="509" spans="1:11" ht="15.75" thickBot="1" x14ac:dyDescent="0.3">
      <c r="A509" s="103">
        <v>509</v>
      </c>
      <c r="B509" s="88" t="s">
        <v>2129</v>
      </c>
      <c r="C509" s="13" t="s">
        <v>2126</v>
      </c>
      <c r="D509" s="13" t="s">
        <v>2</v>
      </c>
      <c r="E509" s="13" t="s">
        <v>10</v>
      </c>
      <c r="F509" s="109">
        <v>41604</v>
      </c>
      <c r="G509" s="13" t="s">
        <v>2127</v>
      </c>
      <c r="H509" s="13" t="s">
        <v>1965</v>
      </c>
      <c r="I509" s="13" t="s">
        <v>3188</v>
      </c>
      <c r="J509" s="13" t="s">
        <v>484</v>
      </c>
      <c r="K509" s="13"/>
    </row>
    <row r="510" spans="1:11" ht="15.75" thickBot="1" x14ac:dyDescent="0.3">
      <c r="A510" s="103">
        <v>510</v>
      </c>
      <c r="B510" s="87" t="s">
        <v>737</v>
      </c>
      <c r="C510" s="13" t="s">
        <v>738</v>
      </c>
      <c r="D510" s="13" t="s">
        <v>66</v>
      </c>
      <c r="E510" s="13" t="s">
        <v>10</v>
      </c>
      <c r="F510" s="109">
        <v>43228</v>
      </c>
      <c r="G510" s="13" t="s">
        <v>739</v>
      </c>
      <c r="H510" s="13" t="s">
        <v>740</v>
      </c>
      <c r="I510" s="13" t="s">
        <v>741</v>
      </c>
      <c r="J510" s="13" t="s">
        <v>742</v>
      </c>
      <c r="K510" s="13"/>
    </row>
    <row r="511" spans="1:11" ht="15.75" thickBot="1" x14ac:dyDescent="0.3">
      <c r="A511" s="103">
        <v>511</v>
      </c>
      <c r="B511" s="88" t="s">
        <v>2444</v>
      </c>
      <c r="C511" s="13" t="s">
        <v>2439</v>
      </c>
      <c r="D511" s="13" t="s">
        <v>2</v>
      </c>
      <c r="E511" s="13" t="s">
        <v>28</v>
      </c>
      <c r="F511" s="109">
        <v>42388</v>
      </c>
      <c r="G511" s="13" t="s">
        <v>2440</v>
      </c>
      <c r="H511" s="13" t="s">
        <v>2441</v>
      </c>
      <c r="I511" s="13" t="s">
        <v>3227</v>
      </c>
      <c r="J511" s="13" t="s">
        <v>2438</v>
      </c>
      <c r="K511" s="13"/>
    </row>
    <row r="512" spans="1:11" ht="15.75" thickBot="1" x14ac:dyDescent="0.3">
      <c r="A512" s="103">
        <v>512</v>
      </c>
      <c r="B512" s="87" t="s">
        <v>587</v>
      </c>
      <c r="C512" s="13" t="s">
        <v>588</v>
      </c>
      <c r="D512" s="13" t="s">
        <v>66</v>
      </c>
      <c r="E512" s="13" t="s">
        <v>589</v>
      </c>
      <c r="F512" s="109">
        <v>41607</v>
      </c>
      <c r="G512" s="13" t="s">
        <v>590</v>
      </c>
      <c r="H512" s="13" t="s">
        <v>591</v>
      </c>
      <c r="I512" s="13" t="s">
        <v>592</v>
      </c>
      <c r="J512" s="13" t="s">
        <v>593</v>
      </c>
      <c r="K512" s="13"/>
    </row>
    <row r="513" spans="1:11" ht="15.75" thickBot="1" x14ac:dyDescent="0.3">
      <c r="A513" s="103">
        <v>513</v>
      </c>
      <c r="B513" s="88" t="s">
        <v>506</v>
      </c>
      <c r="C513" s="13" t="s">
        <v>507</v>
      </c>
      <c r="D513" s="13" t="s">
        <v>2</v>
      </c>
      <c r="E513" s="13" t="s">
        <v>116</v>
      </c>
      <c r="F513" s="109">
        <v>42541</v>
      </c>
      <c r="G513" s="13" t="s">
        <v>508</v>
      </c>
      <c r="H513" s="13" t="s">
        <v>509</v>
      </c>
      <c r="I513" s="13" t="s">
        <v>510</v>
      </c>
      <c r="J513" s="13" t="s">
        <v>511</v>
      </c>
      <c r="K513" s="13"/>
    </row>
    <row r="514" spans="1:11" ht="15.75" thickBot="1" x14ac:dyDescent="0.3">
      <c r="A514" s="103">
        <v>514</v>
      </c>
      <c r="B514" s="87" t="s">
        <v>468</v>
      </c>
      <c r="C514" s="13" t="s">
        <v>469</v>
      </c>
      <c r="D514" s="13" t="s">
        <v>2</v>
      </c>
      <c r="E514" s="13" t="s">
        <v>28</v>
      </c>
      <c r="F514" s="109">
        <v>41513</v>
      </c>
      <c r="G514" s="13" t="s">
        <v>470</v>
      </c>
      <c r="H514" s="13" t="s">
        <v>471</v>
      </c>
      <c r="I514" s="13" t="s">
        <v>472</v>
      </c>
      <c r="J514" s="13" t="s">
        <v>473</v>
      </c>
      <c r="K514" s="13"/>
    </row>
    <row r="515" spans="1:11" ht="15.75" thickBot="1" x14ac:dyDescent="0.3">
      <c r="A515" s="103">
        <v>515</v>
      </c>
      <c r="B515" s="88" t="s">
        <v>313</v>
      </c>
      <c r="C515" s="13" t="s">
        <v>314</v>
      </c>
      <c r="D515" s="13" t="s">
        <v>66</v>
      </c>
      <c r="E515" s="13" t="s">
        <v>315</v>
      </c>
      <c r="F515" s="109">
        <v>40393</v>
      </c>
      <c r="G515" s="13" t="s">
        <v>316</v>
      </c>
      <c r="H515" s="13" t="s">
        <v>317</v>
      </c>
      <c r="I515" s="13" t="s">
        <v>318</v>
      </c>
      <c r="J515" s="13" t="s">
        <v>319</v>
      </c>
      <c r="K515" s="13"/>
    </row>
    <row r="516" spans="1:11" ht="15.75" thickBot="1" x14ac:dyDescent="0.3">
      <c r="A516" s="103">
        <v>516</v>
      </c>
      <c r="B516" s="87" t="s">
        <v>594</v>
      </c>
      <c r="C516" s="13" t="s">
        <v>595</v>
      </c>
      <c r="D516" s="13" t="s">
        <v>66</v>
      </c>
      <c r="E516" s="13" t="s">
        <v>10</v>
      </c>
      <c r="F516" s="109">
        <v>40625</v>
      </c>
      <c r="G516" s="13" t="s">
        <v>596</v>
      </c>
      <c r="H516" s="13" t="s">
        <v>597</v>
      </c>
      <c r="I516" s="13" t="s">
        <v>598</v>
      </c>
      <c r="J516" s="13" t="s">
        <v>319</v>
      </c>
      <c r="K516" s="13"/>
    </row>
    <row r="517" spans="1:11" ht="15.75" thickBot="1" x14ac:dyDescent="0.3">
      <c r="A517" s="103">
        <v>517</v>
      </c>
      <c r="B517" s="88" t="s">
        <v>209</v>
      </c>
      <c r="C517" s="13" t="s">
        <v>210</v>
      </c>
      <c r="D517" s="13" t="s">
        <v>2</v>
      </c>
      <c r="E517" s="13" t="s">
        <v>10</v>
      </c>
      <c r="F517" s="109">
        <v>42114</v>
      </c>
      <c r="G517" s="13" t="s">
        <v>211</v>
      </c>
      <c r="H517" s="13" t="s">
        <v>212</v>
      </c>
      <c r="I517" s="13" t="s">
        <v>213</v>
      </c>
      <c r="J517" s="13" t="s">
        <v>214</v>
      </c>
      <c r="K517" s="13"/>
    </row>
    <row r="518" spans="1:11" ht="15.75" thickBot="1" x14ac:dyDescent="0.3">
      <c r="A518" s="103">
        <v>518</v>
      </c>
      <c r="B518" s="87" t="s">
        <v>215</v>
      </c>
      <c r="C518" s="13" t="s">
        <v>216</v>
      </c>
      <c r="D518" s="13" t="s">
        <v>2</v>
      </c>
      <c r="E518" s="13" t="s">
        <v>204</v>
      </c>
      <c r="F518" s="109">
        <v>42354</v>
      </c>
      <c r="G518" s="13" t="s">
        <v>217</v>
      </c>
      <c r="H518" s="13" t="s">
        <v>218</v>
      </c>
      <c r="I518" s="13" t="s">
        <v>219</v>
      </c>
      <c r="J518" s="13" t="s">
        <v>214</v>
      </c>
      <c r="K518" s="13"/>
    </row>
    <row r="519" spans="1:11" ht="15.75" thickBot="1" x14ac:dyDescent="0.3">
      <c r="A519" s="103">
        <v>519</v>
      </c>
      <c r="B519" s="88" t="s">
        <v>220</v>
      </c>
      <c r="C519" s="13" t="s">
        <v>221</v>
      </c>
      <c r="D519" s="13" t="s">
        <v>66</v>
      </c>
      <c r="E519" s="13" t="s">
        <v>10</v>
      </c>
      <c r="F519" s="109">
        <v>42259</v>
      </c>
      <c r="G519" s="13" t="s">
        <v>222</v>
      </c>
      <c r="H519" s="13" t="s">
        <v>223</v>
      </c>
      <c r="I519" s="13" t="s">
        <v>224</v>
      </c>
      <c r="J519" s="13" t="s">
        <v>214</v>
      </c>
      <c r="K519" s="13"/>
    </row>
    <row r="520" spans="1:11" ht="15.75" thickBot="1" x14ac:dyDescent="0.3">
      <c r="A520" s="103">
        <v>520</v>
      </c>
      <c r="B520" s="87" t="s">
        <v>233</v>
      </c>
      <c r="C520" s="13" t="s">
        <v>234</v>
      </c>
      <c r="D520" s="13" t="s">
        <v>66</v>
      </c>
      <c r="E520" s="13" t="s">
        <v>10</v>
      </c>
      <c r="F520" s="109">
        <v>42259</v>
      </c>
      <c r="G520" s="13" t="s">
        <v>222</v>
      </c>
      <c r="H520" s="13" t="s">
        <v>235</v>
      </c>
      <c r="I520" s="13" t="s">
        <v>236</v>
      </c>
      <c r="J520" s="13" t="s">
        <v>214</v>
      </c>
      <c r="K520" s="13"/>
    </row>
    <row r="521" spans="1:11" ht="15.75" thickBot="1" x14ac:dyDescent="0.3">
      <c r="A521" s="103">
        <v>521</v>
      </c>
      <c r="B521" s="88" t="s">
        <v>237</v>
      </c>
      <c r="C521" s="13" t="s">
        <v>238</v>
      </c>
      <c r="D521" s="13" t="s">
        <v>66</v>
      </c>
      <c r="E521" s="13" t="s">
        <v>28</v>
      </c>
      <c r="F521" s="109">
        <v>42347</v>
      </c>
      <c r="G521" s="13" t="s">
        <v>239</v>
      </c>
      <c r="H521" s="13" t="s">
        <v>240</v>
      </c>
      <c r="I521" s="13" t="s">
        <v>241</v>
      </c>
      <c r="J521" s="13" t="s">
        <v>214</v>
      </c>
      <c r="K521" s="13"/>
    </row>
    <row r="522" spans="1:11" ht="15.75" thickBot="1" x14ac:dyDescent="0.3">
      <c r="A522" s="103">
        <v>522</v>
      </c>
      <c r="B522" s="87" t="s">
        <v>242</v>
      </c>
      <c r="C522" s="13" t="s">
        <v>243</v>
      </c>
      <c r="D522" s="13" t="s">
        <v>66</v>
      </c>
      <c r="E522" s="13" t="s">
        <v>10</v>
      </c>
      <c r="F522" s="109">
        <v>42347</v>
      </c>
      <c r="G522" s="13" t="s">
        <v>222</v>
      </c>
      <c r="H522" s="13" t="s">
        <v>244</v>
      </c>
      <c r="I522" s="13" t="s">
        <v>245</v>
      </c>
      <c r="J522" s="13" t="s">
        <v>214</v>
      </c>
      <c r="K522" s="13"/>
    </row>
    <row r="523" spans="1:11" ht="15.75" thickBot="1" x14ac:dyDescent="0.3">
      <c r="A523" s="103">
        <v>523</v>
      </c>
      <c r="B523" s="88" t="s">
        <v>246</v>
      </c>
      <c r="C523" s="13" t="s">
        <v>247</v>
      </c>
      <c r="D523" s="13" t="s">
        <v>66</v>
      </c>
      <c r="E523" s="13" t="s">
        <v>10</v>
      </c>
      <c r="F523" s="109">
        <v>42217</v>
      </c>
      <c r="G523" s="13" t="s">
        <v>248</v>
      </c>
      <c r="H523" s="13" t="s">
        <v>249</v>
      </c>
      <c r="I523" s="13" t="s">
        <v>250</v>
      </c>
      <c r="J523" s="13" t="s">
        <v>214</v>
      </c>
      <c r="K523" s="13"/>
    </row>
    <row r="524" spans="1:11" ht="15.75" thickBot="1" x14ac:dyDescent="0.3">
      <c r="A524" s="103">
        <v>524</v>
      </c>
      <c r="B524" s="87" t="s">
        <v>496</v>
      </c>
      <c r="C524" s="13" t="s">
        <v>497</v>
      </c>
      <c r="D524" s="13" t="s">
        <v>66</v>
      </c>
      <c r="E524" s="13" t="s">
        <v>365</v>
      </c>
      <c r="F524" s="109">
        <v>41407</v>
      </c>
      <c r="G524" s="13" t="s">
        <v>498</v>
      </c>
      <c r="H524" s="13" t="s">
        <v>499</v>
      </c>
      <c r="I524" s="13" t="s">
        <v>500</v>
      </c>
      <c r="J524" s="13" t="s">
        <v>902</v>
      </c>
      <c r="K524" s="13"/>
    </row>
    <row r="525" spans="1:11" ht="15.75" thickBot="1" x14ac:dyDescent="0.3">
      <c r="A525" s="103">
        <v>525</v>
      </c>
      <c r="B525" s="88" t="s">
        <v>557</v>
      </c>
      <c r="C525" s="13" t="s">
        <v>558</v>
      </c>
      <c r="D525" s="13" t="s">
        <v>2</v>
      </c>
      <c r="E525" s="13" t="s">
        <v>10</v>
      </c>
      <c r="F525" s="109">
        <v>42141</v>
      </c>
      <c r="G525" s="13" t="s">
        <v>559</v>
      </c>
      <c r="H525" s="13" t="s">
        <v>560</v>
      </c>
      <c r="I525" s="13" t="s">
        <v>561</v>
      </c>
      <c r="J525" s="13" t="s">
        <v>902</v>
      </c>
      <c r="K525" s="13"/>
    </row>
    <row r="526" spans="1:11" ht="15.75" thickBot="1" x14ac:dyDescent="0.3">
      <c r="A526" s="103">
        <v>526</v>
      </c>
      <c r="B526" s="87" t="s">
        <v>551</v>
      </c>
      <c r="C526" s="13" t="s">
        <v>552</v>
      </c>
      <c r="D526" s="13" t="s">
        <v>66</v>
      </c>
      <c r="E526" s="13" t="s">
        <v>553</v>
      </c>
      <c r="F526" s="109">
        <v>41574</v>
      </c>
      <c r="G526" s="13" t="s">
        <v>554</v>
      </c>
      <c r="H526" s="13" t="s">
        <v>555</v>
      </c>
      <c r="I526" s="13" t="s">
        <v>556</v>
      </c>
      <c r="J526" s="13" t="s">
        <v>902</v>
      </c>
      <c r="K526" s="13"/>
    </row>
    <row r="527" spans="1:11" ht="15.75" thickBot="1" x14ac:dyDescent="0.3">
      <c r="A527" s="103">
        <v>527</v>
      </c>
      <c r="B527" s="88" t="s">
        <v>615</v>
      </c>
      <c r="C527" s="13" t="s">
        <v>616</v>
      </c>
      <c r="D527" s="13" t="s">
        <v>66</v>
      </c>
      <c r="E527" s="13" t="s">
        <v>28</v>
      </c>
      <c r="F527" s="109">
        <v>41586</v>
      </c>
      <c r="G527" s="13" t="s">
        <v>376</v>
      </c>
      <c r="H527" s="13" t="s">
        <v>377</v>
      </c>
      <c r="I527" s="13" t="s">
        <v>617</v>
      </c>
      <c r="J527" s="13" t="s">
        <v>902</v>
      </c>
      <c r="K527" s="13"/>
    </row>
    <row r="528" spans="1:11" ht="15.75" thickBot="1" x14ac:dyDescent="0.3">
      <c r="A528" s="103">
        <v>528</v>
      </c>
      <c r="B528" s="87" t="s">
        <v>202</v>
      </c>
      <c r="C528" s="13" t="s">
        <v>203</v>
      </c>
      <c r="D528" s="13" t="s">
        <v>2</v>
      </c>
      <c r="E528" s="13" t="s">
        <v>204</v>
      </c>
      <c r="F528" s="109">
        <v>41794</v>
      </c>
      <c r="G528" s="13" t="s">
        <v>205</v>
      </c>
      <c r="H528" s="13" t="s">
        <v>206</v>
      </c>
      <c r="I528" s="13" t="s">
        <v>207</v>
      </c>
      <c r="J528" s="13" t="s">
        <v>208</v>
      </c>
      <c r="K528" s="13"/>
    </row>
    <row r="529" spans="1:11" ht="15.75" thickBot="1" x14ac:dyDescent="0.3">
      <c r="A529" s="103">
        <v>529</v>
      </c>
      <c r="B529" s="88" t="s">
        <v>512</v>
      </c>
      <c r="C529" s="13" t="s">
        <v>513</v>
      </c>
      <c r="D529" s="13" t="s">
        <v>66</v>
      </c>
      <c r="E529" s="13" t="s">
        <v>204</v>
      </c>
      <c r="F529" s="109">
        <v>41841</v>
      </c>
      <c r="G529" s="13" t="s">
        <v>514</v>
      </c>
      <c r="H529" s="13" t="s">
        <v>515</v>
      </c>
      <c r="I529" s="13" t="s">
        <v>516</v>
      </c>
      <c r="J529" s="13" t="s">
        <v>902</v>
      </c>
      <c r="K529" s="13"/>
    </row>
    <row r="530" spans="1:11" ht="15.75" thickBot="1" x14ac:dyDescent="0.3">
      <c r="A530" s="103">
        <v>530</v>
      </c>
      <c r="B530" s="87" t="s">
        <v>517</v>
      </c>
      <c r="C530" s="13" t="s">
        <v>518</v>
      </c>
      <c r="D530" s="13" t="s">
        <v>66</v>
      </c>
      <c r="E530" s="13" t="s">
        <v>10</v>
      </c>
      <c r="F530" s="109">
        <v>41762</v>
      </c>
      <c r="G530" s="13" t="s">
        <v>519</v>
      </c>
      <c r="H530" s="13" t="s">
        <v>520</v>
      </c>
      <c r="I530" s="13" t="s">
        <v>521</v>
      </c>
      <c r="J530" s="13" t="s">
        <v>902</v>
      </c>
      <c r="K530" s="13"/>
    </row>
    <row r="531" spans="1:11" ht="15.75" thickBot="1" x14ac:dyDescent="0.3">
      <c r="A531" s="103">
        <v>531</v>
      </c>
      <c r="B531" s="88" t="s">
        <v>527</v>
      </c>
      <c r="C531" s="13" t="s">
        <v>528</v>
      </c>
      <c r="D531" s="13" t="s">
        <v>66</v>
      </c>
      <c r="E531" s="13" t="s">
        <v>28</v>
      </c>
      <c r="F531" s="109">
        <v>42087</v>
      </c>
      <c r="G531" s="13" t="s">
        <v>529</v>
      </c>
      <c r="H531" s="13" t="s">
        <v>530</v>
      </c>
      <c r="I531" s="13" t="s">
        <v>531</v>
      </c>
      <c r="J531" s="13" t="s">
        <v>902</v>
      </c>
      <c r="K531" s="13"/>
    </row>
    <row r="532" spans="1:11" ht="15.75" thickBot="1" x14ac:dyDescent="0.3">
      <c r="A532" s="103">
        <v>532</v>
      </c>
      <c r="B532" s="87" t="s">
        <v>349</v>
      </c>
      <c r="C532" s="13" t="s">
        <v>350</v>
      </c>
      <c r="D532" s="13" t="s">
        <v>2</v>
      </c>
      <c r="E532" s="13" t="s">
        <v>10</v>
      </c>
      <c r="F532" s="109">
        <v>41951</v>
      </c>
      <c r="G532" s="13" t="s">
        <v>351</v>
      </c>
      <c r="H532" s="13" t="s">
        <v>184</v>
      </c>
      <c r="I532" s="13" t="s">
        <v>352</v>
      </c>
      <c r="J532" s="13" t="s">
        <v>902</v>
      </c>
      <c r="K532" s="13"/>
    </row>
    <row r="533" spans="1:11" ht="15.75" thickBot="1" x14ac:dyDescent="0.3">
      <c r="A533" s="103">
        <v>533</v>
      </c>
      <c r="B533" s="88" t="s">
        <v>358</v>
      </c>
      <c r="C533" s="13" t="s">
        <v>359</v>
      </c>
      <c r="D533" s="13" t="s">
        <v>2</v>
      </c>
      <c r="E533" s="13" t="s">
        <v>28</v>
      </c>
      <c r="F533" s="109">
        <v>42489</v>
      </c>
      <c r="G533" s="13" t="s">
        <v>360</v>
      </c>
      <c r="H533" s="13" t="s">
        <v>361</v>
      </c>
      <c r="I533" s="13" t="s">
        <v>362</v>
      </c>
      <c r="J533" s="13" t="s">
        <v>902</v>
      </c>
      <c r="K533" s="13"/>
    </row>
    <row r="534" spans="1:11" ht="15.75" thickBot="1" x14ac:dyDescent="0.3">
      <c r="A534" s="103">
        <v>534</v>
      </c>
      <c r="B534" s="87" t="s">
        <v>363</v>
      </c>
      <c r="C534" s="13" t="s">
        <v>364</v>
      </c>
      <c r="D534" s="13" t="s">
        <v>2</v>
      </c>
      <c r="E534" s="13" t="s">
        <v>365</v>
      </c>
      <c r="F534" s="109">
        <v>42382</v>
      </c>
      <c r="G534" s="13" t="s">
        <v>366</v>
      </c>
      <c r="H534" s="13" t="s">
        <v>367</v>
      </c>
      <c r="I534" s="13" t="s">
        <v>368</v>
      </c>
      <c r="J534" s="13" t="s">
        <v>902</v>
      </c>
      <c r="K534" s="13"/>
    </row>
    <row r="535" spans="1:11" ht="15.75" thickBot="1" x14ac:dyDescent="0.3">
      <c r="A535" s="103">
        <v>535</v>
      </c>
      <c r="B535" s="88" t="s">
        <v>369</v>
      </c>
      <c r="C535" s="13" t="s">
        <v>370</v>
      </c>
      <c r="D535" s="13" t="s">
        <v>2</v>
      </c>
      <c r="E535" s="13" t="s">
        <v>28</v>
      </c>
      <c r="F535" s="109">
        <v>41019</v>
      </c>
      <c r="G535" s="13" t="s">
        <v>371</v>
      </c>
      <c r="H535" s="13" t="s">
        <v>372</v>
      </c>
      <c r="I535" s="13" t="s">
        <v>373</v>
      </c>
      <c r="J535" s="13" t="s">
        <v>902</v>
      </c>
      <c r="K535" s="13"/>
    </row>
    <row r="536" spans="1:11" ht="15.75" thickBot="1" x14ac:dyDescent="0.3">
      <c r="A536" s="103">
        <v>536</v>
      </c>
      <c r="B536" s="87" t="s">
        <v>374</v>
      </c>
      <c r="C536" s="13" t="s">
        <v>375</v>
      </c>
      <c r="D536" s="13" t="s">
        <v>2</v>
      </c>
      <c r="E536" s="13" t="s">
        <v>28</v>
      </c>
      <c r="F536" s="109">
        <v>42161</v>
      </c>
      <c r="G536" s="13" t="s">
        <v>376</v>
      </c>
      <c r="H536" s="13" t="s">
        <v>377</v>
      </c>
      <c r="I536" s="13" t="s">
        <v>378</v>
      </c>
      <c r="J536" s="13" t="s">
        <v>902</v>
      </c>
      <c r="K536" s="13"/>
    </row>
    <row r="537" spans="1:11" ht="15.75" thickBot="1" x14ac:dyDescent="0.3">
      <c r="A537" s="103">
        <v>537</v>
      </c>
      <c r="B537" s="88" t="s">
        <v>379</v>
      </c>
      <c r="C537" s="13" t="s">
        <v>380</v>
      </c>
      <c r="D537" s="13" t="s">
        <v>2</v>
      </c>
      <c r="E537" s="13" t="s">
        <v>28</v>
      </c>
      <c r="F537" s="109">
        <v>41601</v>
      </c>
      <c r="G537" s="13" t="s">
        <v>381</v>
      </c>
      <c r="H537" s="13" t="s">
        <v>382</v>
      </c>
      <c r="I537" s="13" t="s">
        <v>383</v>
      </c>
      <c r="J537" s="13" t="s">
        <v>902</v>
      </c>
      <c r="K537" s="13"/>
    </row>
    <row r="538" spans="1:11" ht="15.75" thickBot="1" x14ac:dyDescent="0.3">
      <c r="A538" s="103">
        <v>538</v>
      </c>
      <c r="B538" s="87" t="s">
        <v>384</v>
      </c>
      <c r="C538" s="13" t="s">
        <v>385</v>
      </c>
      <c r="D538" s="13" t="s">
        <v>2</v>
      </c>
      <c r="E538" s="13" t="s">
        <v>28</v>
      </c>
      <c r="F538" s="109">
        <v>41616</v>
      </c>
      <c r="G538" s="13" t="s">
        <v>386</v>
      </c>
      <c r="H538" s="13" t="s">
        <v>387</v>
      </c>
      <c r="I538" s="13" t="s">
        <v>388</v>
      </c>
      <c r="J538" s="13" t="s">
        <v>902</v>
      </c>
      <c r="K538" s="13"/>
    </row>
    <row r="539" spans="1:11" ht="15.75" thickBot="1" x14ac:dyDescent="0.3">
      <c r="A539" s="103">
        <v>539</v>
      </c>
      <c r="B539" s="88" t="s">
        <v>425</v>
      </c>
      <c r="C539" s="13" t="s">
        <v>426</v>
      </c>
      <c r="D539" s="13" t="s">
        <v>66</v>
      </c>
      <c r="E539" s="13" t="s">
        <v>28</v>
      </c>
      <c r="F539" s="109">
        <v>41634</v>
      </c>
      <c r="G539" s="13" t="s">
        <v>427</v>
      </c>
      <c r="H539" s="13" t="s">
        <v>428</v>
      </c>
      <c r="I539" s="13" t="s">
        <v>429</v>
      </c>
      <c r="J539" s="13" t="s">
        <v>902</v>
      </c>
      <c r="K539" s="13"/>
    </row>
    <row r="540" spans="1:11" ht="15.75" thickBot="1" x14ac:dyDescent="0.3">
      <c r="A540" s="103">
        <v>540</v>
      </c>
      <c r="B540" s="87" t="s">
        <v>532</v>
      </c>
      <c r="C540" s="13" t="s">
        <v>533</v>
      </c>
      <c r="D540" s="13" t="s">
        <v>2</v>
      </c>
      <c r="E540" s="13" t="s">
        <v>204</v>
      </c>
      <c r="F540" s="109">
        <v>41871</v>
      </c>
      <c r="G540" s="13" t="s">
        <v>534</v>
      </c>
      <c r="H540" s="13" t="s">
        <v>535</v>
      </c>
      <c r="I540" s="13" t="s">
        <v>536</v>
      </c>
      <c r="J540" s="13" t="s">
        <v>902</v>
      </c>
      <c r="K540" s="13"/>
    </row>
    <row r="541" spans="1:11" ht="15.75" thickBot="1" x14ac:dyDescent="0.3">
      <c r="A541" s="103">
        <v>541</v>
      </c>
      <c r="B541" s="88" t="s">
        <v>537</v>
      </c>
      <c r="C541" s="13" t="s">
        <v>538</v>
      </c>
      <c r="D541" s="13" t="s">
        <v>66</v>
      </c>
      <c r="E541" s="13" t="s">
        <v>28</v>
      </c>
      <c r="F541" s="109">
        <v>41895</v>
      </c>
      <c r="G541" s="13" t="s">
        <v>539</v>
      </c>
      <c r="H541" s="13" t="s">
        <v>540</v>
      </c>
      <c r="I541" s="13" t="s">
        <v>541</v>
      </c>
      <c r="J541" s="13" t="s">
        <v>902</v>
      </c>
      <c r="K541" s="13"/>
    </row>
    <row r="542" spans="1:11" ht="15.75" thickBot="1" x14ac:dyDescent="0.3">
      <c r="A542" s="103">
        <v>542</v>
      </c>
      <c r="B542" s="87" t="s">
        <v>343</v>
      </c>
      <c r="C542" s="13" t="s">
        <v>344</v>
      </c>
      <c r="D542" s="13" t="s">
        <v>66</v>
      </c>
      <c r="E542" s="13" t="s">
        <v>10</v>
      </c>
      <c r="F542" s="109">
        <v>43448</v>
      </c>
      <c r="G542" s="13" t="s">
        <v>345</v>
      </c>
      <c r="H542" s="13" t="s">
        <v>346</v>
      </c>
      <c r="I542" s="13" t="s">
        <v>347</v>
      </c>
      <c r="J542" s="13" t="s">
        <v>348</v>
      </c>
      <c r="K542" s="13"/>
    </row>
    <row r="543" spans="1:11" ht="15.75" thickBot="1" x14ac:dyDescent="0.3">
      <c r="A543" s="103">
        <v>543</v>
      </c>
      <c r="B543" s="88" t="s">
        <v>4481</v>
      </c>
      <c r="C543" s="13" t="s">
        <v>1347</v>
      </c>
      <c r="D543" s="13" t="s">
        <v>2</v>
      </c>
      <c r="E543" s="13" t="s">
        <v>10</v>
      </c>
      <c r="F543" s="109">
        <v>42540</v>
      </c>
      <c r="G543" s="13" t="s">
        <v>1348</v>
      </c>
      <c r="H543" s="13" t="s">
        <v>1349</v>
      </c>
      <c r="I543" s="110" t="e">
        <v>#N/A</v>
      </c>
      <c r="J543" s="13" t="s">
        <v>1534</v>
      </c>
      <c r="K543" s="13"/>
    </row>
    <row r="544" spans="1:11" ht="15.75" thickBot="1" x14ac:dyDescent="0.3">
      <c r="A544" s="103">
        <v>544</v>
      </c>
      <c r="B544" s="87" t="s">
        <v>3040</v>
      </c>
      <c r="C544" s="13" t="s">
        <v>1666</v>
      </c>
      <c r="D544" s="13" t="s">
        <v>2</v>
      </c>
      <c r="E544" s="13" t="s">
        <v>28</v>
      </c>
      <c r="F544" s="109">
        <v>41545</v>
      </c>
      <c r="G544" s="13" t="s">
        <v>1667</v>
      </c>
      <c r="H544" s="13" t="s">
        <v>1668</v>
      </c>
      <c r="I544" s="110" t="e">
        <v>#N/A</v>
      </c>
      <c r="J544" s="13" t="s">
        <v>1665</v>
      </c>
      <c r="K544" s="13"/>
    </row>
    <row r="545" spans="1:11" ht="15.75" thickBot="1" x14ac:dyDescent="0.3">
      <c r="A545" s="103">
        <v>545</v>
      </c>
      <c r="B545" s="88" t="s">
        <v>3042</v>
      </c>
      <c r="C545" s="13" t="s">
        <v>1676</v>
      </c>
      <c r="D545" s="13" t="s">
        <v>66</v>
      </c>
      <c r="E545" s="13" t="s">
        <v>28</v>
      </c>
      <c r="F545" s="109">
        <v>42087</v>
      </c>
      <c r="G545" s="13" t="s">
        <v>1677</v>
      </c>
      <c r="H545" s="13" t="s">
        <v>1678</v>
      </c>
      <c r="I545" s="110" t="e">
        <v>#N/A</v>
      </c>
      <c r="J545" s="13" t="s">
        <v>1665</v>
      </c>
      <c r="K545" s="13"/>
    </row>
    <row r="546" spans="1:11" ht="15.75" thickBot="1" x14ac:dyDescent="0.3">
      <c r="A546" s="103">
        <v>546</v>
      </c>
      <c r="B546" s="87" t="s">
        <v>3043</v>
      </c>
      <c r="C546" s="13" t="s">
        <v>1701</v>
      </c>
      <c r="D546" s="13" t="s">
        <v>2</v>
      </c>
      <c r="E546" s="13" t="s">
        <v>28</v>
      </c>
      <c r="F546" s="109">
        <v>42748</v>
      </c>
      <c r="G546" s="13" t="s">
        <v>1702</v>
      </c>
      <c r="H546" s="13" t="s">
        <v>1703</v>
      </c>
      <c r="I546" s="110" t="e">
        <v>#N/A</v>
      </c>
      <c r="J546" s="13" t="s">
        <v>1665</v>
      </c>
      <c r="K546" s="13"/>
    </row>
    <row r="547" spans="1:11" ht="15.75" thickBot="1" x14ac:dyDescent="0.3">
      <c r="A547" s="103">
        <v>547</v>
      </c>
      <c r="B547" s="88" t="s">
        <v>3044</v>
      </c>
      <c r="C547" s="13" t="s">
        <v>1714</v>
      </c>
      <c r="D547" s="13" t="s">
        <v>2</v>
      </c>
      <c r="E547" s="13" t="s">
        <v>10</v>
      </c>
      <c r="F547" s="109">
        <v>42239</v>
      </c>
      <c r="G547" s="13" t="s">
        <v>1715</v>
      </c>
      <c r="H547" s="13" t="s">
        <v>1716</v>
      </c>
      <c r="I547" s="110" t="e">
        <v>#N/A</v>
      </c>
      <c r="J547" s="13" t="s">
        <v>1665</v>
      </c>
      <c r="K547" s="13"/>
    </row>
    <row r="548" spans="1:11" ht="15.75" thickBot="1" x14ac:dyDescent="0.3">
      <c r="A548" s="103">
        <v>548</v>
      </c>
      <c r="B548" s="87" t="s">
        <v>3037</v>
      </c>
      <c r="C548" s="13" t="s">
        <v>1535</v>
      </c>
      <c r="D548" s="13" t="s">
        <v>2</v>
      </c>
      <c r="E548" s="13" t="s">
        <v>10</v>
      </c>
      <c r="F548" s="109">
        <v>42118</v>
      </c>
      <c r="G548" s="13" t="s">
        <v>1536</v>
      </c>
      <c r="H548" s="13" t="s">
        <v>1537</v>
      </c>
      <c r="I548" s="110" t="e">
        <v>#N/A</v>
      </c>
      <c r="J548" s="13" t="s">
        <v>1534</v>
      </c>
      <c r="K548" s="13"/>
    </row>
    <row r="549" spans="1:11" ht="15.75" thickBot="1" x14ac:dyDescent="0.3">
      <c r="A549" s="103">
        <v>549</v>
      </c>
      <c r="B549" s="88" t="s">
        <v>3038</v>
      </c>
      <c r="C549" s="13" t="s">
        <v>1540</v>
      </c>
      <c r="D549" s="13" t="s">
        <v>66</v>
      </c>
      <c r="E549" s="13" t="s">
        <v>10</v>
      </c>
      <c r="F549" s="109">
        <v>41609</v>
      </c>
      <c r="G549" s="13" t="s">
        <v>1541</v>
      </c>
      <c r="H549" s="13" t="s">
        <v>1542</v>
      </c>
      <c r="I549" s="110" t="e">
        <v>#N/A</v>
      </c>
      <c r="J549" s="13" t="s">
        <v>1534</v>
      </c>
      <c r="K549" s="13"/>
    </row>
    <row r="550" spans="1:11" ht="15.75" thickBot="1" x14ac:dyDescent="0.3">
      <c r="A550" s="103">
        <v>550</v>
      </c>
      <c r="B550" s="87" t="s">
        <v>3039</v>
      </c>
      <c r="C550" s="13" t="s">
        <v>1545</v>
      </c>
      <c r="D550" s="13" t="s">
        <v>2</v>
      </c>
      <c r="E550" s="13" t="s">
        <v>10</v>
      </c>
      <c r="F550" s="109">
        <v>42137</v>
      </c>
      <c r="G550" s="13" t="s">
        <v>1546</v>
      </c>
      <c r="H550" s="13" t="s">
        <v>1547</v>
      </c>
      <c r="I550" s="110" t="e">
        <v>#N/A</v>
      </c>
      <c r="J550" s="13" t="s">
        <v>1534</v>
      </c>
      <c r="K550" s="13"/>
    </row>
    <row r="551" spans="1:11" ht="15.75" thickBot="1" x14ac:dyDescent="0.3">
      <c r="A551" s="103">
        <v>551</v>
      </c>
      <c r="B551" s="88" t="s">
        <v>3041</v>
      </c>
      <c r="C551" s="13" t="s">
        <v>1671</v>
      </c>
      <c r="D551" s="13" t="s">
        <v>2</v>
      </c>
      <c r="E551" s="13" t="s">
        <v>10</v>
      </c>
      <c r="F551" s="109">
        <v>41436</v>
      </c>
      <c r="G551" s="13" t="s">
        <v>1672</v>
      </c>
      <c r="H551" s="13" t="s">
        <v>1673</v>
      </c>
      <c r="I551" s="110" t="e">
        <v>#N/A</v>
      </c>
      <c r="J551" s="13" t="s">
        <v>1534</v>
      </c>
      <c r="K551" s="13"/>
    </row>
    <row r="552" spans="1:11" ht="15.75" thickBot="1" x14ac:dyDescent="0.3">
      <c r="A552" s="103">
        <v>552</v>
      </c>
      <c r="B552" s="87" t="s">
        <v>3045</v>
      </c>
      <c r="C552" s="13" t="s">
        <v>1816</v>
      </c>
      <c r="D552" s="13" t="s">
        <v>2</v>
      </c>
      <c r="E552" s="13" t="s">
        <v>10</v>
      </c>
      <c r="F552" s="109">
        <v>43085</v>
      </c>
      <c r="G552" s="13" t="s">
        <v>1536</v>
      </c>
      <c r="H552" s="13" t="s">
        <v>1537</v>
      </c>
      <c r="I552" s="110" t="e">
        <v>#N/A</v>
      </c>
      <c r="J552" s="13" t="s">
        <v>1534</v>
      </c>
      <c r="K552" s="13"/>
    </row>
    <row r="553" spans="1:11" ht="15.75" thickBot="1" x14ac:dyDescent="0.3">
      <c r="A553" s="103">
        <v>553</v>
      </c>
      <c r="B553" s="88" t="s">
        <v>3046</v>
      </c>
      <c r="C553" s="13" t="s">
        <v>1822</v>
      </c>
      <c r="D553" s="13" t="s">
        <v>2</v>
      </c>
      <c r="E553" s="13" t="s">
        <v>10</v>
      </c>
      <c r="F553" s="109">
        <v>42055</v>
      </c>
      <c r="G553" s="13" t="s">
        <v>1823</v>
      </c>
      <c r="H553" s="13" t="s">
        <v>1824</v>
      </c>
      <c r="I553" s="110" t="e">
        <v>#N/A</v>
      </c>
      <c r="J553" s="13" t="s">
        <v>1534</v>
      </c>
      <c r="K553" s="13"/>
    </row>
    <row r="554" spans="1:11" ht="15.75" thickBot="1" x14ac:dyDescent="0.3">
      <c r="A554" s="103">
        <v>554</v>
      </c>
      <c r="B554" s="87" t="s">
        <v>3047</v>
      </c>
      <c r="C554" s="13" t="s">
        <v>1840</v>
      </c>
      <c r="D554" s="13" t="s">
        <v>66</v>
      </c>
      <c r="E554" s="13" t="s">
        <v>10</v>
      </c>
      <c r="F554" s="109">
        <v>42420</v>
      </c>
      <c r="G554" s="13" t="s">
        <v>1541</v>
      </c>
      <c r="H554" s="13" t="s">
        <v>1542</v>
      </c>
      <c r="I554" s="110" t="e">
        <v>#N/A</v>
      </c>
      <c r="J554" s="13" t="s">
        <v>1534</v>
      </c>
      <c r="K554" s="13"/>
    </row>
    <row r="555" spans="1:11" ht="15.75" thickBot="1" x14ac:dyDescent="0.3">
      <c r="A555" s="103">
        <v>555</v>
      </c>
      <c r="B555" s="88" t="s">
        <v>3048</v>
      </c>
      <c r="C555" s="13" t="s">
        <v>1861</v>
      </c>
      <c r="D555" s="13" t="s">
        <v>2</v>
      </c>
      <c r="E555" s="13" t="s">
        <v>116</v>
      </c>
      <c r="F555" s="109">
        <v>42864</v>
      </c>
      <c r="G555" s="13" t="s">
        <v>1862</v>
      </c>
      <c r="H555" s="13" t="s">
        <v>1863</v>
      </c>
      <c r="I555" s="110" t="e">
        <v>#N/A</v>
      </c>
      <c r="J555" s="13" t="s">
        <v>1534</v>
      </c>
      <c r="K555" s="13"/>
    </row>
    <row r="556" spans="1:11" ht="15.75" thickBot="1" x14ac:dyDescent="0.3">
      <c r="A556" s="103">
        <v>556</v>
      </c>
      <c r="B556" s="87" t="s">
        <v>4482</v>
      </c>
      <c r="C556" s="13" t="s">
        <v>1191</v>
      </c>
      <c r="D556" s="13" t="s">
        <v>66</v>
      </c>
      <c r="E556" s="13" t="s">
        <v>28</v>
      </c>
      <c r="F556" s="109">
        <v>41633</v>
      </c>
      <c r="G556" s="13" t="s">
        <v>1192</v>
      </c>
      <c r="H556" s="13" t="s">
        <v>1193</v>
      </c>
      <c r="I556" s="110" t="e">
        <v>#N/A</v>
      </c>
      <c r="J556" s="13" t="s">
        <v>1190</v>
      </c>
      <c r="K556" s="13"/>
    </row>
    <row r="557" spans="1:11" ht="15.75" thickBot="1" x14ac:dyDescent="0.3">
      <c r="A557" s="103">
        <v>557</v>
      </c>
      <c r="B557" s="88" t="s">
        <v>4483</v>
      </c>
      <c r="C557" s="13" t="s">
        <v>1196</v>
      </c>
      <c r="D557" s="13" t="s">
        <v>2</v>
      </c>
      <c r="E557" s="13" t="s">
        <v>28</v>
      </c>
      <c r="F557" s="109">
        <v>40962</v>
      </c>
      <c r="G557" s="13" t="s">
        <v>1197</v>
      </c>
      <c r="H557" s="13" t="s">
        <v>1198</v>
      </c>
      <c r="I557" s="110" t="e">
        <v>#N/A</v>
      </c>
      <c r="J557" s="13" t="s">
        <v>1190</v>
      </c>
      <c r="K557" s="13"/>
    </row>
    <row r="558" spans="1:11" ht="15.75" thickBot="1" x14ac:dyDescent="0.3">
      <c r="A558" s="103">
        <v>558</v>
      </c>
      <c r="B558" s="87" t="s">
        <v>4484</v>
      </c>
      <c r="C558" s="13" t="s">
        <v>1207</v>
      </c>
      <c r="D558" s="13" t="s">
        <v>2</v>
      </c>
      <c r="E558" s="13" t="s">
        <v>28</v>
      </c>
      <c r="F558" s="109">
        <v>41907</v>
      </c>
      <c r="G558" s="13" t="s">
        <v>1208</v>
      </c>
      <c r="H558" s="13" t="s">
        <v>1209</v>
      </c>
      <c r="I558" s="110" t="e">
        <v>#N/A</v>
      </c>
      <c r="J558" s="13" t="s">
        <v>1190</v>
      </c>
      <c r="K558" s="13"/>
    </row>
    <row r="559" spans="1:11" ht="15.75" thickBot="1" x14ac:dyDescent="0.3">
      <c r="A559" s="103">
        <v>559</v>
      </c>
      <c r="B559" s="88" t="s">
        <v>4485</v>
      </c>
      <c r="C559" s="13" t="s">
        <v>1212</v>
      </c>
      <c r="D559" s="13" t="s">
        <v>2</v>
      </c>
      <c r="E559" s="13" t="s">
        <v>28</v>
      </c>
      <c r="F559" s="109">
        <v>41674</v>
      </c>
      <c r="G559" s="13" t="s">
        <v>1213</v>
      </c>
      <c r="H559" s="13" t="s">
        <v>1214</v>
      </c>
      <c r="I559" s="110" t="e">
        <v>#N/A</v>
      </c>
      <c r="J559" s="13" t="s">
        <v>1190</v>
      </c>
      <c r="K559" s="13"/>
    </row>
    <row r="560" spans="1:11" ht="15.75" thickBot="1" x14ac:dyDescent="0.3">
      <c r="A560" s="103">
        <v>560</v>
      </c>
      <c r="B560" s="87" t="s">
        <v>4486</v>
      </c>
      <c r="C560" s="13" t="s">
        <v>1217</v>
      </c>
      <c r="D560" s="13" t="s">
        <v>2</v>
      </c>
      <c r="E560" s="13" t="s">
        <v>28</v>
      </c>
      <c r="F560" s="109">
        <v>41481</v>
      </c>
      <c r="G560" s="13" t="s">
        <v>1218</v>
      </c>
      <c r="H560" s="13" t="s">
        <v>1219</v>
      </c>
      <c r="I560" s="110" t="e">
        <v>#N/A</v>
      </c>
      <c r="J560" s="13" t="s">
        <v>1190</v>
      </c>
      <c r="K560" s="13"/>
    </row>
    <row r="561" spans="1:11" ht="15.75" thickBot="1" x14ac:dyDescent="0.3">
      <c r="A561" s="103">
        <v>561</v>
      </c>
      <c r="B561" s="88" t="s">
        <v>4487</v>
      </c>
      <c r="C561" s="13" t="s">
        <v>1222</v>
      </c>
      <c r="D561" s="13" t="s">
        <v>2</v>
      </c>
      <c r="E561" s="13" t="s">
        <v>28</v>
      </c>
      <c r="F561" s="109">
        <v>41783</v>
      </c>
      <c r="G561" s="13" t="s">
        <v>1223</v>
      </c>
      <c r="H561" s="13" t="s">
        <v>1224</v>
      </c>
      <c r="I561" s="110" t="e">
        <v>#N/A</v>
      </c>
      <c r="J561" s="13" t="s">
        <v>1190</v>
      </c>
      <c r="K561" s="13"/>
    </row>
    <row r="562" spans="1:11" ht="15.75" thickBot="1" x14ac:dyDescent="0.3">
      <c r="A562" s="103">
        <v>562</v>
      </c>
      <c r="B562" s="87" t="s">
        <v>4488</v>
      </c>
      <c r="C562" s="13" t="s">
        <v>1239</v>
      </c>
      <c r="D562" s="13" t="s">
        <v>66</v>
      </c>
      <c r="E562" s="13" t="s">
        <v>10</v>
      </c>
      <c r="F562" s="109">
        <v>42043</v>
      </c>
      <c r="G562" s="13" t="s">
        <v>1240</v>
      </c>
      <c r="H562" s="13" t="s">
        <v>1241</v>
      </c>
      <c r="I562" s="110" t="e">
        <v>#N/A</v>
      </c>
      <c r="J562" s="13" t="s">
        <v>1238</v>
      </c>
      <c r="K562" s="13"/>
    </row>
    <row r="563" spans="1:11" ht="15.75" thickBot="1" x14ac:dyDescent="0.3">
      <c r="A563" s="103">
        <v>563</v>
      </c>
      <c r="B563" s="88" t="s">
        <v>3152</v>
      </c>
      <c r="C563" s="13" t="s">
        <v>1154</v>
      </c>
      <c r="D563" s="13" t="s">
        <v>2</v>
      </c>
      <c r="E563" s="13" t="s">
        <v>1155</v>
      </c>
      <c r="F563" s="109">
        <v>42269</v>
      </c>
      <c r="G563" s="13" t="s">
        <v>1156</v>
      </c>
      <c r="H563" s="13" t="s">
        <v>1157</v>
      </c>
      <c r="I563" s="110" t="e">
        <v>#N/A</v>
      </c>
      <c r="J563" s="13" t="s">
        <v>256</v>
      </c>
      <c r="K563" s="13"/>
    </row>
    <row r="564" spans="1:11" ht="15.75" thickBot="1" x14ac:dyDescent="0.3">
      <c r="A564" s="103">
        <v>564</v>
      </c>
      <c r="B564" s="87" t="s">
        <v>4489</v>
      </c>
      <c r="C564" s="13" t="s">
        <v>1341</v>
      </c>
      <c r="D564" s="13" t="s">
        <v>66</v>
      </c>
      <c r="E564" s="13" t="s">
        <v>1342</v>
      </c>
      <c r="F564" s="109">
        <v>40962</v>
      </c>
      <c r="G564" s="13" t="s">
        <v>1343</v>
      </c>
      <c r="H564" s="13" t="s">
        <v>1344</v>
      </c>
      <c r="I564" s="110" t="e">
        <v>#N/A</v>
      </c>
      <c r="J564" s="13" t="s">
        <v>256</v>
      </c>
      <c r="K564" s="13"/>
    </row>
    <row r="565" spans="1:11" ht="15.75" thickBot="1" x14ac:dyDescent="0.3">
      <c r="A565" s="103">
        <v>565</v>
      </c>
      <c r="B565" s="88" t="s">
        <v>4490</v>
      </c>
      <c r="C565" s="13" t="s">
        <v>1352</v>
      </c>
      <c r="D565" s="13" t="s">
        <v>2</v>
      </c>
      <c r="E565" s="13" t="s">
        <v>1353</v>
      </c>
      <c r="F565" s="109">
        <v>41984</v>
      </c>
      <c r="G565" s="13" t="s">
        <v>1354</v>
      </c>
      <c r="H565" s="13" t="s">
        <v>1355</v>
      </c>
      <c r="I565" s="110" t="e">
        <v>#N/A</v>
      </c>
      <c r="J565" s="13" t="s">
        <v>256</v>
      </c>
      <c r="K565" s="13"/>
    </row>
    <row r="566" spans="1:11" ht="15.75" thickBot="1" x14ac:dyDescent="0.3">
      <c r="A566" s="103">
        <v>566</v>
      </c>
      <c r="B566" s="87" t="s">
        <v>4491</v>
      </c>
      <c r="C566" s="13" t="s">
        <v>1385</v>
      </c>
      <c r="D566" s="13" t="s">
        <v>66</v>
      </c>
      <c r="E566" s="13" t="s">
        <v>10</v>
      </c>
      <c r="F566" s="109">
        <v>43194</v>
      </c>
      <c r="G566" s="13" t="s">
        <v>1386</v>
      </c>
      <c r="H566" s="13" t="s">
        <v>1387</v>
      </c>
      <c r="I566" s="110" t="e">
        <v>#N/A</v>
      </c>
      <c r="J566" s="13" t="s">
        <v>256</v>
      </c>
      <c r="K566" s="13"/>
    </row>
    <row r="567" spans="1:11" ht="15.75" thickBot="1" x14ac:dyDescent="0.3">
      <c r="A567" s="103">
        <v>567</v>
      </c>
      <c r="B567" s="88" t="s">
        <v>4492</v>
      </c>
      <c r="C567" s="13" t="s">
        <v>1390</v>
      </c>
      <c r="D567" s="13" t="s">
        <v>66</v>
      </c>
      <c r="E567" s="13" t="s">
        <v>10</v>
      </c>
      <c r="F567" s="109">
        <v>41884</v>
      </c>
      <c r="G567" s="13" t="s">
        <v>1391</v>
      </c>
      <c r="H567" s="13" t="s">
        <v>1392</v>
      </c>
      <c r="I567" s="110" t="e">
        <v>#N/A</v>
      </c>
      <c r="J567" s="13" t="s">
        <v>256</v>
      </c>
      <c r="K567" s="13"/>
    </row>
    <row r="568" spans="1:11" ht="15.75" thickBot="1" x14ac:dyDescent="0.3">
      <c r="A568" s="103">
        <v>568</v>
      </c>
      <c r="B568" s="87" t="s">
        <v>4493</v>
      </c>
      <c r="C568" s="13" t="s">
        <v>1395</v>
      </c>
      <c r="D568" s="13" t="s">
        <v>2</v>
      </c>
      <c r="E568" s="13" t="s">
        <v>10</v>
      </c>
      <c r="F568" s="109">
        <v>41789</v>
      </c>
      <c r="G568" s="13" t="s">
        <v>1396</v>
      </c>
      <c r="H568" s="13" t="s">
        <v>1397</v>
      </c>
      <c r="I568" s="110" t="e">
        <v>#N/A</v>
      </c>
      <c r="J568" s="13" t="s">
        <v>256</v>
      </c>
      <c r="K568" s="13"/>
    </row>
    <row r="569" spans="1:11" ht="15.75" thickBot="1" x14ac:dyDescent="0.3">
      <c r="A569" s="103">
        <v>569</v>
      </c>
      <c r="B569" s="88" t="s">
        <v>3035</v>
      </c>
      <c r="C569" s="13" t="s">
        <v>1154</v>
      </c>
      <c r="D569" s="13" t="s">
        <v>2</v>
      </c>
      <c r="E569" s="13" t="s">
        <v>1155</v>
      </c>
      <c r="F569" s="109">
        <v>42269</v>
      </c>
      <c r="G569" s="13" t="s">
        <v>1156</v>
      </c>
      <c r="H569" s="13" t="s">
        <v>1157</v>
      </c>
      <c r="I569" s="110" t="e">
        <v>#N/A</v>
      </c>
      <c r="J569" s="13" t="s">
        <v>256</v>
      </c>
      <c r="K569" s="13"/>
    </row>
    <row r="570" spans="1:11" ht="15.75" thickBot="1" x14ac:dyDescent="0.3">
      <c r="A570" s="103">
        <v>570</v>
      </c>
      <c r="B570" s="87" t="s">
        <v>3036</v>
      </c>
      <c r="C570" s="13" t="s">
        <v>1518</v>
      </c>
      <c r="D570" s="13" t="s">
        <v>2</v>
      </c>
      <c r="E570" s="13" t="s">
        <v>10</v>
      </c>
      <c r="F570" s="109">
        <v>42323</v>
      </c>
      <c r="G570" s="13" t="s">
        <v>1519</v>
      </c>
      <c r="H570" s="13" t="s">
        <v>1520</v>
      </c>
      <c r="I570" s="110" t="e">
        <v>#N/A</v>
      </c>
      <c r="J570" s="13" t="s">
        <v>256</v>
      </c>
      <c r="K570" s="13"/>
    </row>
    <row r="571" spans="1:11" ht="15.75" thickBot="1" x14ac:dyDescent="0.3">
      <c r="A571" s="103">
        <v>571</v>
      </c>
      <c r="B571" s="88" t="s">
        <v>3049</v>
      </c>
      <c r="C571" s="13" t="s">
        <v>1892</v>
      </c>
      <c r="D571" s="13" t="s">
        <v>2</v>
      </c>
      <c r="E571" s="13" t="s">
        <v>1893</v>
      </c>
      <c r="F571" s="109">
        <v>42609</v>
      </c>
      <c r="G571" s="13" t="s">
        <v>1894</v>
      </c>
      <c r="H571" s="13" t="s">
        <v>1895</v>
      </c>
      <c r="I571" s="110" t="e">
        <v>#N/A</v>
      </c>
      <c r="J571" s="13" t="s">
        <v>256</v>
      </c>
      <c r="K571" s="13"/>
    </row>
    <row r="572" spans="1:11" ht="15.75" thickBot="1" x14ac:dyDescent="0.3">
      <c r="A572" s="103">
        <v>572</v>
      </c>
      <c r="B572" s="87" t="s">
        <v>4494</v>
      </c>
      <c r="C572" s="13" t="s">
        <v>1261</v>
      </c>
      <c r="D572" s="13" t="s">
        <v>66</v>
      </c>
      <c r="E572" s="13" t="s">
        <v>10</v>
      </c>
      <c r="F572" s="109">
        <v>43233</v>
      </c>
      <c r="G572" s="13" t="s">
        <v>1262</v>
      </c>
      <c r="H572" s="13" t="s">
        <v>1263</v>
      </c>
      <c r="I572" s="110" t="e">
        <v>#N/A</v>
      </c>
      <c r="J572" s="13" t="s">
        <v>1260</v>
      </c>
      <c r="K572" s="13"/>
    </row>
    <row r="573" spans="1:11" ht="15.75" thickBot="1" x14ac:dyDescent="0.3">
      <c r="A573" s="103">
        <v>573</v>
      </c>
      <c r="B573" s="88" t="s">
        <v>4495</v>
      </c>
      <c r="C573" s="13" t="s">
        <v>1271</v>
      </c>
      <c r="D573" s="13" t="s">
        <v>2</v>
      </c>
      <c r="E573" s="13" t="s">
        <v>10</v>
      </c>
      <c r="F573" s="109">
        <v>43587</v>
      </c>
      <c r="G573" s="13" t="s">
        <v>1272</v>
      </c>
      <c r="H573" s="13" t="s">
        <v>1273</v>
      </c>
      <c r="I573" s="110" t="e">
        <v>#N/A</v>
      </c>
      <c r="J573" s="13" t="s">
        <v>1260</v>
      </c>
      <c r="K573" s="13"/>
    </row>
    <row r="574" spans="1:11" ht="15.75" thickBot="1" x14ac:dyDescent="0.3">
      <c r="A574" s="13"/>
      <c r="B574" s="87" t="s">
        <v>4496</v>
      </c>
      <c r="C574" s="13" t="s">
        <v>1279</v>
      </c>
      <c r="D574" s="13" t="s">
        <v>2</v>
      </c>
      <c r="E574" s="13" t="s">
        <v>10</v>
      </c>
      <c r="F574" s="109">
        <v>43543</v>
      </c>
      <c r="G574" s="13" t="s">
        <v>1280</v>
      </c>
      <c r="H574" s="13" t="s">
        <v>1281</v>
      </c>
      <c r="I574" s="110" t="e">
        <v>#N/A</v>
      </c>
      <c r="J574" s="13" t="s">
        <v>1260</v>
      </c>
      <c r="K574" s="13"/>
    </row>
    <row r="575" spans="1:11" ht="15.75" thickBot="1" x14ac:dyDescent="0.3">
      <c r="A575" s="13"/>
      <c r="B575" s="88" t="s">
        <v>4497</v>
      </c>
      <c r="C575" s="13" t="s">
        <v>1284</v>
      </c>
      <c r="D575" s="13" t="s">
        <v>2</v>
      </c>
      <c r="E575" s="13" t="s">
        <v>28</v>
      </c>
      <c r="F575" s="109">
        <v>43663</v>
      </c>
      <c r="G575" s="13" t="s">
        <v>1285</v>
      </c>
      <c r="H575" s="13" t="s">
        <v>1286</v>
      </c>
      <c r="I575" s="110" t="e">
        <v>#N/A</v>
      </c>
      <c r="J575" s="13" t="s">
        <v>1260</v>
      </c>
      <c r="K575" s="13"/>
    </row>
    <row r="576" spans="1:11" ht="15.75" thickBot="1" x14ac:dyDescent="0.3">
      <c r="A576" s="13"/>
      <c r="B576" s="87" t="s">
        <v>4498</v>
      </c>
      <c r="C576" s="13" t="s">
        <v>1418</v>
      </c>
      <c r="D576" s="13" t="s">
        <v>2</v>
      </c>
      <c r="E576" s="13" t="s">
        <v>328</v>
      </c>
      <c r="F576" s="109">
        <v>43922</v>
      </c>
      <c r="G576" s="13" t="s">
        <v>1419</v>
      </c>
      <c r="H576" s="13" t="s">
        <v>1420</v>
      </c>
      <c r="I576" s="110" t="e">
        <v>#N/A</v>
      </c>
      <c r="J576" s="13" t="s">
        <v>1260</v>
      </c>
      <c r="K576" s="13"/>
    </row>
    <row r="577" spans="1:11" ht="15.75" thickBot="1" x14ac:dyDescent="0.3">
      <c r="A577" s="13"/>
      <c r="B577" s="88" t="s">
        <v>3113</v>
      </c>
      <c r="C577" s="13" t="s">
        <v>2904</v>
      </c>
      <c r="D577" s="13" t="s">
        <v>2</v>
      </c>
      <c r="E577" s="13" t="s">
        <v>116</v>
      </c>
      <c r="F577" s="109">
        <v>42171</v>
      </c>
      <c r="G577" s="13" t="s">
        <v>2905</v>
      </c>
      <c r="H577" s="13" t="s">
        <v>2906</v>
      </c>
      <c r="I577" s="110" t="e">
        <v>#N/A</v>
      </c>
      <c r="J577" s="13" t="s">
        <v>854</v>
      </c>
      <c r="K577" s="13"/>
    </row>
    <row r="578" spans="1:11" ht="15.75" thickBot="1" x14ac:dyDescent="0.3">
      <c r="A578" s="13"/>
      <c r="B578" s="87" t="s">
        <v>3115</v>
      </c>
      <c r="C578" s="13" t="s">
        <v>2918</v>
      </c>
      <c r="D578" s="13" t="s">
        <v>66</v>
      </c>
      <c r="E578" s="13" t="s">
        <v>10</v>
      </c>
      <c r="F578" s="109">
        <v>42187</v>
      </c>
      <c r="G578" s="13" t="s">
        <v>2919</v>
      </c>
      <c r="H578" s="13" t="s">
        <v>2920</v>
      </c>
      <c r="I578" s="110" t="e">
        <v>#N/A</v>
      </c>
      <c r="J578" s="13" t="s">
        <v>854</v>
      </c>
      <c r="K578" s="13"/>
    </row>
    <row r="579" spans="1:11" ht="15.75" thickBot="1" x14ac:dyDescent="0.3">
      <c r="A579" s="13"/>
      <c r="B579" s="88" t="s">
        <v>3052</v>
      </c>
      <c r="C579" s="13" t="s">
        <v>1423</v>
      </c>
      <c r="D579" s="13" t="s">
        <v>66</v>
      </c>
      <c r="E579" s="13" t="s">
        <v>28</v>
      </c>
      <c r="F579" s="109">
        <v>41621</v>
      </c>
      <c r="G579" s="13" t="s">
        <v>1424</v>
      </c>
      <c r="H579" s="13" t="s">
        <v>1425</v>
      </c>
      <c r="I579" s="110" t="e">
        <v>#N/A</v>
      </c>
      <c r="J579" s="13" t="s">
        <v>484</v>
      </c>
      <c r="K579" s="13"/>
    </row>
    <row r="580" spans="1:11" ht="15.75" thickBot="1" x14ac:dyDescent="0.3">
      <c r="A580" s="13"/>
      <c r="B580" s="87" t="s">
        <v>3055</v>
      </c>
      <c r="C580" s="13" t="s">
        <v>1501</v>
      </c>
      <c r="D580" s="13" t="s">
        <v>66</v>
      </c>
      <c r="E580" s="13" t="s">
        <v>1502</v>
      </c>
      <c r="F580" s="109">
        <v>45722</v>
      </c>
      <c r="G580" s="13" t="s">
        <v>1503</v>
      </c>
      <c r="H580" s="13" t="s">
        <v>1504</v>
      </c>
      <c r="I580" s="110" t="e">
        <v>#N/A</v>
      </c>
      <c r="J580" s="13" t="s">
        <v>484</v>
      </c>
      <c r="K580" s="13"/>
    </row>
    <row r="581" spans="1:11" ht="15.75" thickBot="1" x14ac:dyDescent="0.3">
      <c r="A581" s="13"/>
      <c r="B581" s="88" t="s">
        <v>3081</v>
      </c>
      <c r="C581" s="13" t="s">
        <v>1835</v>
      </c>
      <c r="D581" s="13" t="s">
        <v>66</v>
      </c>
      <c r="E581" s="13" t="s">
        <v>10</v>
      </c>
      <c r="F581" s="109">
        <v>41629</v>
      </c>
      <c r="G581" s="13" t="s">
        <v>1836</v>
      </c>
      <c r="H581" s="13" t="s">
        <v>1837</v>
      </c>
      <c r="I581" s="110" t="e">
        <v>#N/A</v>
      </c>
      <c r="J581" s="13" t="s">
        <v>484</v>
      </c>
      <c r="K581" s="13"/>
    </row>
    <row r="582" spans="1:11" ht="15.75" thickBot="1" x14ac:dyDescent="0.3">
      <c r="A582" s="13"/>
      <c r="B582" s="87" t="s">
        <v>3093</v>
      </c>
      <c r="C582" s="13" t="s">
        <v>1941</v>
      </c>
      <c r="D582" s="13" t="s">
        <v>2</v>
      </c>
      <c r="E582" s="13" t="s">
        <v>10</v>
      </c>
      <c r="F582" s="109">
        <v>41515</v>
      </c>
      <c r="G582" s="13" t="s">
        <v>1942</v>
      </c>
      <c r="H582" s="13" t="s">
        <v>1943</v>
      </c>
      <c r="I582" s="110" t="e">
        <v>#N/A</v>
      </c>
      <c r="J582" s="13" t="s">
        <v>484</v>
      </c>
      <c r="K582" s="13"/>
    </row>
    <row r="583" spans="1:11" ht="15.75" thickBot="1" x14ac:dyDescent="0.3">
      <c r="A583" s="13"/>
      <c r="B583" s="88" t="s">
        <v>3095</v>
      </c>
      <c r="C583" s="13" t="s">
        <v>1963</v>
      </c>
      <c r="D583" s="13" t="s">
        <v>2</v>
      </c>
      <c r="E583" s="13" t="s">
        <v>10</v>
      </c>
      <c r="F583" s="109">
        <v>46017</v>
      </c>
      <c r="G583" s="13" t="s">
        <v>1964</v>
      </c>
      <c r="H583" s="13" t="s">
        <v>1965</v>
      </c>
      <c r="I583" s="110" t="e">
        <v>#N/A</v>
      </c>
      <c r="J583" s="13" t="s">
        <v>484</v>
      </c>
      <c r="K583" s="13"/>
    </row>
    <row r="584" spans="1:11" ht="15.75" thickBot="1" x14ac:dyDescent="0.3">
      <c r="A584" s="13"/>
      <c r="B584" s="87" t="s">
        <v>3096</v>
      </c>
      <c r="C584" s="13" t="s">
        <v>1974</v>
      </c>
      <c r="D584" s="13" t="s">
        <v>66</v>
      </c>
      <c r="E584" s="13" t="s">
        <v>28</v>
      </c>
      <c r="F584" s="109">
        <v>41704</v>
      </c>
      <c r="G584" s="13" t="s">
        <v>1503</v>
      </c>
      <c r="H584" s="13" t="s">
        <v>1504</v>
      </c>
      <c r="I584" s="110" t="e">
        <v>#N/A</v>
      </c>
      <c r="J584" s="13" t="s">
        <v>484</v>
      </c>
      <c r="K584" s="13"/>
    </row>
    <row r="585" spans="1:11" ht="15.75" thickBot="1" x14ac:dyDescent="0.3">
      <c r="A585" s="13"/>
      <c r="B585" s="88" t="s">
        <v>3097</v>
      </c>
      <c r="C585" s="13" t="s">
        <v>1501</v>
      </c>
      <c r="D585" s="13" t="s">
        <v>66</v>
      </c>
      <c r="E585" s="13" t="s">
        <v>28</v>
      </c>
      <c r="F585" s="109">
        <v>41704</v>
      </c>
      <c r="G585" s="13" t="s">
        <v>1503</v>
      </c>
      <c r="H585" s="13" t="s">
        <v>1504</v>
      </c>
      <c r="I585" s="110" t="e">
        <v>#N/A</v>
      </c>
      <c r="J585" s="13" t="s">
        <v>484</v>
      </c>
      <c r="K585" s="13"/>
    </row>
    <row r="586" spans="1:11" ht="15.75" thickBot="1" x14ac:dyDescent="0.3">
      <c r="A586" s="13"/>
      <c r="B586" s="87" t="s">
        <v>3099</v>
      </c>
      <c r="C586" s="13" t="s">
        <v>1501</v>
      </c>
      <c r="D586" s="13" t="s">
        <v>66</v>
      </c>
      <c r="E586" s="13" t="s">
        <v>28</v>
      </c>
      <c r="F586" s="109">
        <v>41704</v>
      </c>
      <c r="G586" s="13" t="s">
        <v>1503</v>
      </c>
      <c r="H586" s="13" t="s">
        <v>1504</v>
      </c>
      <c r="I586" s="110" t="e">
        <v>#N/A</v>
      </c>
      <c r="J586" s="13" t="s">
        <v>484</v>
      </c>
      <c r="K586" s="13"/>
    </row>
    <row r="587" spans="1:11" ht="15.75" thickBot="1" x14ac:dyDescent="0.3">
      <c r="A587" s="13"/>
      <c r="B587" s="88" t="s">
        <v>3100</v>
      </c>
      <c r="C587" s="13" t="s">
        <v>2062</v>
      </c>
      <c r="D587" s="13" t="s">
        <v>2</v>
      </c>
      <c r="E587" s="13" t="s">
        <v>10</v>
      </c>
      <c r="F587" s="109">
        <v>41792</v>
      </c>
      <c r="G587" s="13" t="s">
        <v>2063</v>
      </c>
      <c r="H587" s="13" t="s">
        <v>2064</v>
      </c>
      <c r="I587" s="110" t="e">
        <v>#N/A</v>
      </c>
      <c r="J587" s="13" t="s">
        <v>484</v>
      </c>
      <c r="K587" s="13"/>
    </row>
    <row r="588" spans="1:11" ht="15.75" thickBot="1" x14ac:dyDescent="0.3">
      <c r="A588" s="13"/>
      <c r="B588" s="87" t="s">
        <v>3103</v>
      </c>
      <c r="C588" s="13" t="s">
        <v>2036</v>
      </c>
      <c r="D588" s="13" t="s">
        <v>2</v>
      </c>
      <c r="E588" s="13" t="s">
        <v>10</v>
      </c>
      <c r="F588" s="109">
        <v>41604</v>
      </c>
      <c r="G588" s="13" t="s">
        <v>2093</v>
      </c>
      <c r="H588" s="13" t="s">
        <v>2094</v>
      </c>
      <c r="I588" s="110" t="e">
        <v>#N/A</v>
      </c>
      <c r="J588" s="13" t="s">
        <v>484</v>
      </c>
      <c r="K588" s="13"/>
    </row>
    <row r="589" spans="1:11" ht="15.75" thickBot="1" x14ac:dyDescent="0.3">
      <c r="A589" s="13"/>
      <c r="B589" s="88" t="s">
        <v>3104</v>
      </c>
      <c r="C589" s="13" t="s">
        <v>2091</v>
      </c>
      <c r="D589" s="13" t="s">
        <v>2</v>
      </c>
      <c r="E589" s="13" t="s">
        <v>28</v>
      </c>
      <c r="F589" s="109">
        <v>41604</v>
      </c>
      <c r="G589" s="13" t="s">
        <v>2093</v>
      </c>
      <c r="H589" s="13" t="s">
        <v>2094</v>
      </c>
      <c r="I589" s="110" t="e">
        <v>#N/A</v>
      </c>
      <c r="J589" s="13" t="s">
        <v>484</v>
      </c>
      <c r="K589" s="13"/>
    </row>
    <row r="590" spans="1:11" ht="15.75" thickBot="1" x14ac:dyDescent="0.3">
      <c r="A590" s="13"/>
      <c r="B590" s="87" t="s">
        <v>3105</v>
      </c>
      <c r="C590" s="13" t="s">
        <v>2091</v>
      </c>
      <c r="D590" s="13" t="s">
        <v>2</v>
      </c>
      <c r="E590" s="13" t="s">
        <v>28</v>
      </c>
      <c r="F590" s="109">
        <v>41604</v>
      </c>
      <c r="G590" s="13" t="s">
        <v>2093</v>
      </c>
      <c r="H590" s="13" t="s">
        <v>2094</v>
      </c>
      <c r="I590" s="110" t="e">
        <v>#N/A</v>
      </c>
      <c r="J590" s="13" t="s">
        <v>484</v>
      </c>
      <c r="K590" s="13"/>
    </row>
    <row r="591" spans="1:11" ht="15.75" thickBot="1" x14ac:dyDescent="0.3">
      <c r="A591" s="13"/>
      <c r="B591" s="88" t="s">
        <v>3106</v>
      </c>
      <c r="C591" s="13" t="s">
        <v>1501</v>
      </c>
      <c r="D591" s="13" t="s">
        <v>66</v>
      </c>
      <c r="E591" s="13" t="s">
        <v>28</v>
      </c>
      <c r="F591" s="109">
        <v>41704</v>
      </c>
      <c r="G591" s="13" t="s">
        <v>1503</v>
      </c>
      <c r="H591" s="13" t="s">
        <v>1504</v>
      </c>
      <c r="I591" s="110" t="e">
        <v>#N/A</v>
      </c>
      <c r="J591" s="13" t="s">
        <v>484</v>
      </c>
      <c r="K591" s="13"/>
    </row>
    <row r="592" spans="1:11" ht="15.75" thickBot="1" x14ac:dyDescent="0.3">
      <c r="A592" s="13"/>
      <c r="B592" s="87" t="s">
        <v>3062</v>
      </c>
      <c r="C592" s="13" t="s">
        <v>1622</v>
      </c>
      <c r="D592" s="13" t="s">
        <v>2</v>
      </c>
      <c r="E592" s="13" t="s">
        <v>10</v>
      </c>
      <c r="F592" s="109">
        <v>41982</v>
      </c>
      <c r="G592" s="13" t="s">
        <v>1623</v>
      </c>
      <c r="H592" s="13" t="s">
        <v>1624</v>
      </c>
      <c r="I592" s="110" t="e">
        <v>#N/A</v>
      </c>
      <c r="J592" s="13" t="s">
        <v>742</v>
      </c>
      <c r="K592" s="13"/>
    </row>
    <row r="593" spans="1:11" ht="15.75" thickBot="1" x14ac:dyDescent="0.3">
      <c r="A593" s="13"/>
      <c r="B593" s="88" t="s">
        <v>3064</v>
      </c>
      <c r="C593" s="13" t="s">
        <v>1660</v>
      </c>
      <c r="D593" s="13" t="s">
        <v>2</v>
      </c>
      <c r="E593" s="13" t="s">
        <v>10</v>
      </c>
      <c r="F593" s="109">
        <v>41537</v>
      </c>
      <c r="G593" s="13" t="s">
        <v>1661</v>
      </c>
      <c r="H593" s="13" t="s">
        <v>1662</v>
      </c>
      <c r="I593" s="110" t="e">
        <v>#N/A</v>
      </c>
      <c r="J593" s="13" t="s">
        <v>742</v>
      </c>
      <c r="K593" s="13"/>
    </row>
    <row r="594" spans="1:11" ht="15.75" thickBot="1" x14ac:dyDescent="0.3">
      <c r="A594" s="13"/>
      <c r="B594" s="87" t="s">
        <v>3065</v>
      </c>
      <c r="C594" s="13" t="s">
        <v>1684</v>
      </c>
      <c r="D594" s="13" t="s">
        <v>2</v>
      </c>
      <c r="E594" s="13" t="s">
        <v>10</v>
      </c>
      <c r="F594" s="109">
        <v>41739</v>
      </c>
      <c r="G594" s="13" t="s">
        <v>1685</v>
      </c>
      <c r="H594" s="13" t="s">
        <v>1686</v>
      </c>
      <c r="I594" s="110" t="e">
        <v>#N/A</v>
      </c>
      <c r="J594" s="13" t="s">
        <v>742</v>
      </c>
      <c r="K594" s="13"/>
    </row>
    <row r="595" spans="1:11" ht="15.75" thickBot="1" x14ac:dyDescent="0.3">
      <c r="A595" s="13"/>
      <c r="B595" s="88" t="s">
        <v>3066</v>
      </c>
      <c r="C595" s="13" t="s">
        <v>1709</v>
      </c>
      <c r="D595" s="13" t="s">
        <v>2</v>
      </c>
      <c r="E595" s="13" t="s">
        <v>10</v>
      </c>
      <c r="F595" s="109">
        <v>42708</v>
      </c>
      <c r="G595" s="13" t="s">
        <v>1710</v>
      </c>
      <c r="H595" s="13" t="s">
        <v>1711</v>
      </c>
      <c r="I595" s="110" t="e">
        <v>#N/A</v>
      </c>
      <c r="J595" s="13" t="s">
        <v>742</v>
      </c>
      <c r="K595" s="13"/>
    </row>
    <row r="596" spans="1:11" ht="15.75" thickBot="1" x14ac:dyDescent="0.3">
      <c r="A596" s="13"/>
      <c r="B596" s="87" t="s">
        <v>3067</v>
      </c>
      <c r="C596" s="13" t="s">
        <v>1719</v>
      </c>
      <c r="D596" s="13" t="s">
        <v>2</v>
      </c>
      <c r="E596" s="13" t="s">
        <v>116</v>
      </c>
      <c r="F596" s="109">
        <v>42374</v>
      </c>
      <c r="G596" s="13" t="s">
        <v>1720</v>
      </c>
      <c r="H596" s="13" t="s">
        <v>1721</v>
      </c>
      <c r="I596" s="110" t="e">
        <v>#N/A</v>
      </c>
      <c r="J596" s="13" t="s">
        <v>742</v>
      </c>
      <c r="K596" s="13"/>
    </row>
    <row r="597" spans="1:11" ht="15.75" thickBot="1" x14ac:dyDescent="0.3">
      <c r="A597" s="13"/>
      <c r="B597" s="88" t="s">
        <v>3068</v>
      </c>
      <c r="C597" s="13" t="s">
        <v>1724</v>
      </c>
      <c r="D597" s="13" t="s">
        <v>2</v>
      </c>
      <c r="E597" s="13" t="s">
        <v>10</v>
      </c>
      <c r="F597" s="109">
        <v>42152</v>
      </c>
      <c r="G597" s="13" t="s">
        <v>1725</v>
      </c>
      <c r="H597" s="13" t="s">
        <v>1726</v>
      </c>
      <c r="I597" s="110" t="e">
        <v>#N/A</v>
      </c>
      <c r="J597" s="13" t="s">
        <v>742</v>
      </c>
      <c r="K597" s="13"/>
    </row>
    <row r="598" spans="1:11" ht="15.75" thickBot="1" x14ac:dyDescent="0.3">
      <c r="A598" s="13"/>
      <c r="B598" s="87" t="s">
        <v>3069</v>
      </c>
      <c r="C598" s="13" t="s">
        <v>1729</v>
      </c>
      <c r="D598" s="13" t="s">
        <v>2</v>
      </c>
      <c r="E598" s="13" t="s">
        <v>116</v>
      </c>
      <c r="F598" s="109">
        <v>42437</v>
      </c>
      <c r="G598" s="13" t="s">
        <v>1730</v>
      </c>
      <c r="H598" s="13" t="s">
        <v>1731</v>
      </c>
      <c r="I598" s="110" t="e">
        <v>#N/A</v>
      </c>
      <c r="J598" s="13" t="s">
        <v>742</v>
      </c>
      <c r="K598" s="13"/>
    </row>
    <row r="599" spans="1:11" ht="15.75" thickBot="1" x14ac:dyDescent="0.3">
      <c r="A599" s="13"/>
      <c r="B599" s="88" t="s">
        <v>3070</v>
      </c>
      <c r="C599" s="13" t="s">
        <v>1734</v>
      </c>
      <c r="D599" s="13" t="s">
        <v>66</v>
      </c>
      <c r="E599" s="13" t="s">
        <v>10</v>
      </c>
      <c r="F599" s="109">
        <v>42007</v>
      </c>
      <c r="G599" s="13" t="s">
        <v>1735</v>
      </c>
      <c r="H599" s="13" t="s">
        <v>1736</v>
      </c>
      <c r="I599" s="110" t="e">
        <v>#N/A</v>
      </c>
      <c r="J599" s="13" t="s">
        <v>742</v>
      </c>
      <c r="K599" s="13"/>
    </row>
    <row r="600" spans="1:11" ht="15.75" thickBot="1" x14ac:dyDescent="0.3">
      <c r="A600" s="13"/>
      <c r="B600" s="87" t="s">
        <v>3071</v>
      </c>
      <c r="C600" s="13" t="s">
        <v>1742</v>
      </c>
      <c r="D600" s="13" t="s">
        <v>2</v>
      </c>
      <c r="E600" s="13" t="s">
        <v>10</v>
      </c>
      <c r="F600" s="109">
        <v>42613</v>
      </c>
      <c r="G600" s="13" t="s">
        <v>1743</v>
      </c>
      <c r="H600" s="13" t="s">
        <v>1744</v>
      </c>
      <c r="I600" s="110" t="e">
        <v>#N/A</v>
      </c>
      <c r="J600" s="13" t="s">
        <v>742</v>
      </c>
      <c r="K600" s="13"/>
    </row>
    <row r="601" spans="1:11" ht="15.75" thickBot="1" x14ac:dyDescent="0.3">
      <c r="A601" s="13"/>
      <c r="B601" s="88" t="s">
        <v>3072</v>
      </c>
      <c r="C601" s="13" t="s">
        <v>1747</v>
      </c>
      <c r="D601" s="13" t="s">
        <v>66</v>
      </c>
      <c r="E601" s="13" t="s">
        <v>10</v>
      </c>
      <c r="F601" s="109">
        <v>42007</v>
      </c>
      <c r="G601" s="13" t="s">
        <v>1735</v>
      </c>
      <c r="H601" s="13" t="s">
        <v>1736</v>
      </c>
      <c r="I601" s="110" t="e">
        <v>#N/A</v>
      </c>
      <c r="J601" s="13" t="s">
        <v>742</v>
      </c>
      <c r="K601" s="13"/>
    </row>
    <row r="602" spans="1:11" ht="15.75" thickBot="1" x14ac:dyDescent="0.3">
      <c r="A602" s="13"/>
      <c r="B602" s="87" t="s">
        <v>3073</v>
      </c>
      <c r="C602" s="13" t="s">
        <v>1753</v>
      </c>
      <c r="D602" s="13" t="s">
        <v>66</v>
      </c>
      <c r="E602" s="13" t="s">
        <v>10</v>
      </c>
      <c r="F602" s="109">
        <v>41774</v>
      </c>
      <c r="G602" s="13" t="s">
        <v>1754</v>
      </c>
      <c r="H602" s="13" t="s">
        <v>1755</v>
      </c>
      <c r="I602" s="110" t="e">
        <v>#N/A</v>
      </c>
      <c r="J602" s="13" t="s">
        <v>742</v>
      </c>
      <c r="K602" s="13"/>
    </row>
    <row r="603" spans="1:11" ht="15.75" thickBot="1" x14ac:dyDescent="0.3">
      <c r="A603" s="13"/>
      <c r="B603" s="88" t="s">
        <v>3078</v>
      </c>
      <c r="C603" s="13" t="s">
        <v>667</v>
      </c>
      <c r="D603" s="13" t="s">
        <v>2</v>
      </c>
      <c r="E603" s="13" t="s">
        <v>28</v>
      </c>
      <c r="F603" s="109">
        <v>42464</v>
      </c>
      <c r="G603" s="13" t="s">
        <v>668</v>
      </c>
      <c r="H603" s="13" t="s">
        <v>669</v>
      </c>
      <c r="I603" s="110" t="e">
        <v>#N/A</v>
      </c>
      <c r="J603" s="13" t="s">
        <v>742</v>
      </c>
      <c r="K603" s="13"/>
    </row>
    <row r="604" spans="1:11" ht="15.75" thickBot="1" x14ac:dyDescent="0.3">
      <c r="A604" s="13"/>
      <c r="B604" s="87" t="s">
        <v>3090</v>
      </c>
      <c r="C604" s="13" t="s">
        <v>1926</v>
      </c>
      <c r="D604" s="13" t="s">
        <v>2</v>
      </c>
      <c r="E604" s="13" t="s">
        <v>10</v>
      </c>
      <c r="F604" s="109">
        <v>42839</v>
      </c>
      <c r="G604" s="13" t="s">
        <v>1927</v>
      </c>
      <c r="H604" s="13" t="s">
        <v>1928</v>
      </c>
      <c r="I604" s="110" t="e">
        <v>#N/A</v>
      </c>
      <c r="J604" s="13" t="s">
        <v>742</v>
      </c>
      <c r="K604" s="13"/>
    </row>
    <row r="605" spans="1:11" ht="15.75" thickBot="1" x14ac:dyDescent="0.3">
      <c r="A605" s="13"/>
      <c r="B605" s="88" t="s">
        <v>3102</v>
      </c>
      <c r="C605" s="13" t="s">
        <v>2085</v>
      </c>
      <c r="D605" s="13" t="s">
        <v>66</v>
      </c>
      <c r="E605" s="13" t="s">
        <v>2086</v>
      </c>
      <c r="F605" s="109">
        <v>42148</v>
      </c>
      <c r="G605" s="13" t="s">
        <v>2087</v>
      </c>
      <c r="H605" s="13" t="s">
        <v>2088</v>
      </c>
      <c r="I605" s="110" t="e">
        <v>#N/A</v>
      </c>
      <c r="J605" s="13" t="s">
        <v>742</v>
      </c>
      <c r="K605" s="13"/>
    </row>
    <row r="606" spans="1:11" ht="15.75" thickBot="1" x14ac:dyDescent="0.3">
      <c r="A606" s="13"/>
      <c r="B606" s="87" t="s">
        <v>3050</v>
      </c>
      <c r="C606" s="13" t="s">
        <v>1318</v>
      </c>
      <c r="D606" s="13" t="s">
        <v>66</v>
      </c>
      <c r="E606" s="13" t="s">
        <v>10</v>
      </c>
      <c r="F606" s="109">
        <v>42281</v>
      </c>
      <c r="G606" s="13" t="s">
        <v>1319</v>
      </c>
      <c r="H606" s="13" t="s">
        <v>1320</v>
      </c>
      <c r="I606" s="110" t="e">
        <v>#N/A</v>
      </c>
      <c r="J606" s="13" t="s">
        <v>593</v>
      </c>
      <c r="K606" s="13"/>
    </row>
    <row r="607" spans="1:11" ht="15.75" thickBot="1" x14ac:dyDescent="0.3">
      <c r="A607" s="13"/>
      <c r="B607" s="88" t="s">
        <v>3051</v>
      </c>
      <c r="C607" s="13" t="s">
        <v>1329</v>
      </c>
      <c r="D607" s="13" t="s">
        <v>66</v>
      </c>
      <c r="E607" s="13" t="s">
        <v>1330</v>
      </c>
      <c r="F607" s="109">
        <v>42837</v>
      </c>
      <c r="G607" s="13" t="s">
        <v>1331</v>
      </c>
      <c r="H607" s="13" t="s">
        <v>1332</v>
      </c>
      <c r="I607" s="110" t="e">
        <v>#N/A</v>
      </c>
      <c r="J607" s="13" t="s">
        <v>593</v>
      </c>
      <c r="K607" s="13"/>
    </row>
    <row r="608" spans="1:11" ht="15.75" thickBot="1" x14ac:dyDescent="0.3">
      <c r="A608" s="13"/>
      <c r="B608" s="87" t="s">
        <v>3085</v>
      </c>
      <c r="C608" s="13" t="s">
        <v>1872</v>
      </c>
      <c r="D608" s="13" t="s">
        <v>66</v>
      </c>
      <c r="E608" s="13" t="s">
        <v>1873</v>
      </c>
      <c r="F608" s="109">
        <v>42198</v>
      </c>
      <c r="G608" s="13" t="s">
        <v>1874</v>
      </c>
      <c r="H608" s="13" t="s">
        <v>1875</v>
      </c>
      <c r="I608" s="110" t="e">
        <v>#N/A</v>
      </c>
      <c r="J608" s="13" t="s">
        <v>593</v>
      </c>
      <c r="K608" s="13"/>
    </row>
    <row r="609" spans="1:11" ht="15.75" thickBot="1" x14ac:dyDescent="0.3">
      <c r="A609" s="13"/>
      <c r="B609" s="88" t="s">
        <v>3053</v>
      </c>
      <c r="C609" s="13" t="s">
        <v>1447</v>
      </c>
      <c r="D609" s="13" t="s">
        <v>2</v>
      </c>
      <c r="E609" s="13" t="s">
        <v>10</v>
      </c>
      <c r="F609" s="109">
        <v>41653</v>
      </c>
      <c r="G609" s="13" t="s">
        <v>1448</v>
      </c>
      <c r="H609" s="13" t="s">
        <v>1449</v>
      </c>
      <c r="I609" s="110" t="e">
        <v>#N/A</v>
      </c>
      <c r="J609" s="13" t="s">
        <v>511</v>
      </c>
      <c r="K609" s="13"/>
    </row>
    <row r="610" spans="1:11" ht="15.75" thickBot="1" x14ac:dyDescent="0.3">
      <c r="A610" s="13"/>
      <c r="B610" s="87" t="s">
        <v>3059</v>
      </c>
      <c r="C610" s="13" t="s">
        <v>1598</v>
      </c>
      <c r="D610" s="13" t="s">
        <v>2</v>
      </c>
      <c r="E610" s="13" t="s">
        <v>365</v>
      </c>
      <c r="F610" s="109">
        <v>42323</v>
      </c>
      <c r="G610" s="13" t="s">
        <v>1599</v>
      </c>
      <c r="H610" s="13" t="s">
        <v>1600</v>
      </c>
      <c r="I610" s="110" t="e">
        <v>#N/A</v>
      </c>
      <c r="J610" s="13" t="s">
        <v>511</v>
      </c>
      <c r="K610" s="13"/>
    </row>
    <row r="611" spans="1:11" ht="15.75" thickBot="1" x14ac:dyDescent="0.3">
      <c r="A611" s="13"/>
      <c r="B611" s="88" t="s">
        <v>3076</v>
      </c>
      <c r="C611" s="13" t="s">
        <v>1768</v>
      </c>
      <c r="D611" s="13" t="s">
        <v>66</v>
      </c>
      <c r="E611" s="13" t="s">
        <v>116</v>
      </c>
      <c r="F611" s="109">
        <v>41792</v>
      </c>
      <c r="G611" s="13" t="s">
        <v>1769</v>
      </c>
      <c r="H611" s="13" t="s">
        <v>1770</v>
      </c>
      <c r="I611" s="110" t="e">
        <v>#N/A</v>
      </c>
      <c r="J611" s="13" t="s">
        <v>511</v>
      </c>
      <c r="K611" s="13"/>
    </row>
    <row r="612" spans="1:11" ht="15.75" thickBot="1" x14ac:dyDescent="0.3">
      <c r="A612" s="13"/>
      <c r="B612" s="87" t="s">
        <v>3077</v>
      </c>
      <c r="C612" s="13" t="s">
        <v>1779</v>
      </c>
      <c r="D612" s="13" t="s">
        <v>66</v>
      </c>
      <c r="E612" s="13" t="s">
        <v>10</v>
      </c>
      <c r="F612" s="109">
        <v>41947</v>
      </c>
      <c r="G612" s="13" t="s">
        <v>1780</v>
      </c>
      <c r="H612" s="13" t="s">
        <v>1781</v>
      </c>
      <c r="I612" s="110" t="e">
        <v>#N/A</v>
      </c>
      <c r="J612" s="13" t="s">
        <v>511</v>
      </c>
      <c r="K612" s="13"/>
    </row>
    <row r="613" spans="1:11" ht="15.75" thickBot="1" x14ac:dyDescent="0.3">
      <c r="A613" s="13"/>
      <c r="B613" s="88" t="s">
        <v>3082</v>
      </c>
      <c r="C613" s="13" t="s">
        <v>1843</v>
      </c>
      <c r="D613" s="13" t="s">
        <v>2</v>
      </c>
      <c r="E613" s="13" t="s">
        <v>116</v>
      </c>
      <c r="F613" s="109">
        <v>41770</v>
      </c>
      <c r="G613" s="13" t="s">
        <v>1844</v>
      </c>
      <c r="H613" s="13" t="s">
        <v>1845</v>
      </c>
      <c r="I613" s="110" t="e">
        <v>#N/A</v>
      </c>
      <c r="J613" s="13" t="s">
        <v>511</v>
      </c>
      <c r="K613" s="13"/>
    </row>
    <row r="614" spans="1:11" ht="15.75" thickBot="1" x14ac:dyDescent="0.3">
      <c r="A614" s="13"/>
      <c r="B614" s="87" t="s">
        <v>3110</v>
      </c>
      <c r="C614" s="13" t="s">
        <v>1459</v>
      </c>
      <c r="D614" s="13" t="s">
        <v>66</v>
      </c>
      <c r="E614" s="13" t="s">
        <v>1255</v>
      </c>
      <c r="F614" s="109">
        <v>41734</v>
      </c>
      <c r="G614" s="13" t="s">
        <v>2366</v>
      </c>
      <c r="H614" s="13" t="s">
        <v>2367</v>
      </c>
      <c r="I614" s="110" t="e">
        <v>#N/A</v>
      </c>
      <c r="J614" s="13" t="s">
        <v>511</v>
      </c>
      <c r="K614" s="13"/>
    </row>
    <row r="615" spans="1:11" ht="15.75" thickBot="1" x14ac:dyDescent="0.3">
      <c r="A615" s="13"/>
      <c r="B615" s="88" t="s">
        <v>3112</v>
      </c>
      <c r="C615" s="13" t="s">
        <v>2569</v>
      </c>
      <c r="D615" s="13" t="s">
        <v>66</v>
      </c>
      <c r="E615" s="13" t="s">
        <v>116</v>
      </c>
      <c r="F615" s="109">
        <v>41792</v>
      </c>
      <c r="G615" s="13" t="s">
        <v>2570</v>
      </c>
      <c r="H615" s="13" t="s">
        <v>1770</v>
      </c>
      <c r="I615" s="110" t="e">
        <v>#N/A</v>
      </c>
      <c r="J615" s="13" t="s">
        <v>511</v>
      </c>
      <c r="K615" s="13"/>
    </row>
    <row r="616" spans="1:11" ht="15.75" thickBot="1" x14ac:dyDescent="0.3">
      <c r="A616" s="13"/>
      <c r="B616" s="87" t="s">
        <v>3054</v>
      </c>
      <c r="C616" s="13" t="s">
        <v>1459</v>
      </c>
      <c r="D616" s="13" t="s">
        <v>66</v>
      </c>
      <c r="E616" s="13" t="s">
        <v>1255</v>
      </c>
      <c r="F616" s="109">
        <v>41734</v>
      </c>
      <c r="G616" s="13" t="s">
        <v>1460</v>
      </c>
      <c r="H616" s="13" t="s">
        <v>1461</v>
      </c>
      <c r="I616" s="110" t="e">
        <v>#N/A</v>
      </c>
      <c r="J616" s="13" t="s">
        <v>511</v>
      </c>
      <c r="K616" s="13"/>
    </row>
    <row r="617" spans="1:11" ht="15.75" thickBot="1" x14ac:dyDescent="0.3">
      <c r="A617" s="13"/>
      <c r="B617" s="88" t="s">
        <v>3114</v>
      </c>
      <c r="C617" s="13" t="s">
        <v>1843</v>
      </c>
      <c r="D617" s="13" t="s">
        <v>2</v>
      </c>
      <c r="E617" s="13" t="s">
        <v>116</v>
      </c>
      <c r="F617" s="109">
        <v>41770</v>
      </c>
      <c r="G617" s="13" t="s">
        <v>1844</v>
      </c>
      <c r="H617" s="13" t="s">
        <v>2915</v>
      </c>
      <c r="I617" s="110" t="e">
        <v>#N/A</v>
      </c>
      <c r="J617" s="13" t="s">
        <v>511</v>
      </c>
      <c r="K617" s="13"/>
    </row>
    <row r="618" spans="1:11" ht="15.75" thickBot="1" x14ac:dyDescent="0.3">
      <c r="A618" s="13"/>
      <c r="B618" s="87" t="s">
        <v>3079</v>
      </c>
      <c r="C618" s="13" t="s">
        <v>1808</v>
      </c>
      <c r="D618" s="13" t="s">
        <v>2</v>
      </c>
      <c r="E618" s="13" t="s">
        <v>116</v>
      </c>
      <c r="F618" s="109">
        <v>42439</v>
      </c>
      <c r="G618" s="13" t="s">
        <v>1809</v>
      </c>
      <c r="H618" s="13" t="s">
        <v>1810</v>
      </c>
      <c r="I618" s="110" t="e">
        <v>#N/A</v>
      </c>
      <c r="J618" s="13" t="s">
        <v>511</v>
      </c>
      <c r="K618" s="13"/>
    </row>
    <row r="619" spans="1:11" ht="15.75" thickBot="1" x14ac:dyDescent="0.3">
      <c r="A619" s="13"/>
      <c r="B619" s="88" t="s">
        <v>3088</v>
      </c>
      <c r="C619" s="13" t="s">
        <v>1916</v>
      </c>
      <c r="D619" s="13" t="s">
        <v>2</v>
      </c>
      <c r="E619" s="13" t="s">
        <v>116</v>
      </c>
      <c r="F619" s="109">
        <v>42208</v>
      </c>
      <c r="G619" s="13" t="s">
        <v>1917</v>
      </c>
      <c r="H619" s="13" t="s">
        <v>1918</v>
      </c>
      <c r="I619" s="110" t="e">
        <v>#N/A</v>
      </c>
      <c r="J619" s="13" t="s">
        <v>511</v>
      </c>
      <c r="K619" s="13"/>
    </row>
    <row r="620" spans="1:11" ht="15.75" thickBot="1" x14ac:dyDescent="0.3">
      <c r="A620" s="13"/>
      <c r="B620" s="87" t="s">
        <v>3056</v>
      </c>
      <c r="C620" s="13" t="s">
        <v>1523</v>
      </c>
      <c r="D620" s="13" t="s">
        <v>2</v>
      </c>
      <c r="E620" s="13" t="s">
        <v>10</v>
      </c>
      <c r="F620" s="109">
        <v>42364</v>
      </c>
      <c r="G620" s="13" t="s">
        <v>1524</v>
      </c>
      <c r="H620" s="13" t="s">
        <v>1525</v>
      </c>
      <c r="I620" s="110" t="e">
        <v>#N/A</v>
      </c>
      <c r="J620" s="13" t="s">
        <v>473</v>
      </c>
      <c r="K620" s="13"/>
    </row>
    <row r="621" spans="1:11" ht="15.75" thickBot="1" x14ac:dyDescent="0.3">
      <c r="A621" s="13"/>
      <c r="B621" s="88" t="s">
        <v>3057</v>
      </c>
      <c r="C621" s="13" t="s">
        <v>1559</v>
      </c>
      <c r="D621" s="13" t="s">
        <v>66</v>
      </c>
      <c r="E621" s="13" t="s">
        <v>28</v>
      </c>
      <c r="F621" s="109">
        <v>42083</v>
      </c>
      <c r="G621" s="13" t="s">
        <v>1560</v>
      </c>
      <c r="H621" s="13" t="s">
        <v>1561</v>
      </c>
      <c r="I621" s="110" t="e">
        <v>#N/A</v>
      </c>
      <c r="J621" s="13" t="s">
        <v>473</v>
      </c>
      <c r="K621" s="13"/>
    </row>
    <row r="622" spans="1:11" ht="15.75" thickBot="1" x14ac:dyDescent="0.3">
      <c r="A622" s="13"/>
      <c r="B622" s="87" t="s">
        <v>3058</v>
      </c>
      <c r="C622" s="13" t="s">
        <v>1585</v>
      </c>
      <c r="D622" s="13" t="s">
        <v>66</v>
      </c>
      <c r="E622" s="13" t="s">
        <v>10</v>
      </c>
      <c r="F622" s="109">
        <v>41863</v>
      </c>
      <c r="G622" s="13" t="s">
        <v>1586</v>
      </c>
      <c r="H622" s="13" t="s">
        <v>1587</v>
      </c>
      <c r="I622" s="110" t="e">
        <v>#N/A</v>
      </c>
      <c r="J622" s="13" t="s">
        <v>473</v>
      </c>
      <c r="K622" s="13"/>
    </row>
    <row r="623" spans="1:11" ht="15.75" thickBot="1" x14ac:dyDescent="0.3">
      <c r="A623" s="13"/>
      <c r="B623" s="88" t="s">
        <v>3060</v>
      </c>
      <c r="C623" s="13" t="s">
        <v>1606</v>
      </c>
      <c r="D623" s="13" t="s">
        <v>66</v>
      </c>
      <c r="E623" s="13" t="s">
        <v>10</v>
      </c>
      <c r="F623" s="109">
        <v>42407</v>
      </c>
      <c r="G623" s="13" t="s">
        <v>1607</v>
      </c>
      <c r="H623" s="13" t="s">
        <v>1608</v>
      </c>
      <c r="I623" s="110" t="e">
        <v>#N/A</v>
      </c>
      <c r="J623" s="13" t="s">
        <v>473</v>
      </c>
      <c r="K623" s="13"/>
    </row>
    <row r="624" spans="1:11" ht="15.75" thickBot="1" x14ac:dyDescent="0.3">
      <c r="A624" s="13"/>
      <c r="B624" s="87" t="s">
        <v>3061</v>
      </c>
      <c r="C624" s="13" t="s">
        <v>1614</v>
      </c>
      <c r="D624" s="13" t="s">
        <v>2</v>
      </c>
      <c r="E624" s="13" t="s">
        <v>10</v>
      </c>
      <c r="F624" s="109">
        <v>41804</v>
      </c>
      <c r="G624" s="13" t="s">
        <v>1615</v>
      </c>
      <c r="H624" s="13" t="s">
        <v>1616</v>
      </c>
      <c r="I624" s="110" t="e">
        <v>#N/A</v>
      </c>
      <c r="J624" s="13" t="s">
        <v>473</v>
      </c>
      <c r="K624" s="13"/>
    </row>
    <row r="625" spans="1:11" ht="15.75" thickBot="1" x14ac:dyDescent="0.3">
      <c r="A625" s="13"/>
      <c r="B625" s="88" t="s">
        <v>3063</v>
      </c>
      <c r="C625" s="13" t="s">
        <v>1627</v>
      </c>
      <c r="D625" s="13" t="s">
        <v>2</v>
      </c>
      <c r="E625" s="13" t="s">
        <v>10</v>
      </c>
      <c r="F625" s="109">
        <v>42193</v>
      </c>
      <c r="G625" s="13" t="s">
        <v>1628</v>
      </c>
      <c r="H625" s="13" t="s">
        <v>1629</v>
      </c>
      <c r="I625" s="110" t="e">
        <v>#N/A</v>
      </c>
      <c r="J625" s="13" t="s">
        <v>473</v>
      </c>
      <c r="K625" s="13"/>
    </row>
    <row r="626" spans="1:11" ht="15.75" thickBot="1" x14ac:dyDescent="0.3">
      <c r="A626" s="13"/>
      <c r="B626" s="87" t="s">
        <v>3074</v>
      </c>
      <c r="C626" s="13" t="s">
        <v>1758</v>
      </c>
      <c r="D626" s="13" t="s">
        <v>66</v>
      </c>
      <c r="E626" s="13" t="s">
        <v>10</v>
      </c>
      <c r="F626" s="109">
        <v>41780</v>
      </c>
      <c r="G626" s="13" t="s">
        <v>1759</v>
      </c>
      <c r="H626" s="13" t="s">
        <v>1760</v>
      </c>
      <c r="I626" s="110" t="e">
        <v>#N/A</v>
      </c>
      <c r="J626" s="13" t="s">
        <v>473</v>
      </c>
      <c r="K626" s="13"/>
    </row>
    <row r="627" spans="1:11" ht="15.75" thickBot="1" x14ac:dyDescent="0.3">
      <c r="A627" s="13"/>
      <c r="B627" s="88" t="s">
        <v>3075</v>
      </c>
      <c r="C627" s="13" t="s">
        <v>1763</v>
      </c>
      <c r="D627" s="13" t="s">
        <v>66</v>
      </c>
      <c r="E627" s="13" t="s">
        <v>28</v>
      </c>
      <c r="F627" s="109">
        <v>41651</v>
      </c>
      <c r="G627" s="13" t="s">
        <v>1764</v>
      </c>
      <c r="H627" s="13" t="s">
        <v>1765</v>
      </c>
      <c r="I627" s="110" t="e">
        <v>#N/A</v>
      </c>
      <c r="J627" s="13" t="s">
        <v>473</v>
      </c>
      <c r="K627" s="13"/>
    </row>
    <row r="628" spans="1:11" ht="15.75" thickBot="1" x14ac:dyDescent="0.3">
      <c r="A628" s="13"/>
      <c r="B628" s="87" t="s">
        <v>3080</v>
      </c>
      <c r="C628" s="13" t="s">
        <v>1827</v>
      </c>
      <c r="D628" s="13" t="s">
        <v>2</v>
      </c>
      <c r="E628" s="13" t="s">
        <v>10</v>
      </c>
      <c r="F628" s="109">
        <v>42195</v>
      </c>
      <c r="G628" s="13" t="s">
        <v>1828</v>
      </c>
      <c r="H628" s="13" t="s">
        <v>1829</v>
      </c>
      <c r="I628" s="110" t="e">
        <v>#N/A</v>
      </c>
      <c r="J628" s="13" t="s">
        <v>473</v>
      </c>
      <c r="K628" s="13"/>
    </row>
    <row r="629" spans="1:11" ht="15.75" thickBot="1" x14ac:dyDescent="0.3">
      <c r="A629" s="13"/>
      <c r="B629" s="88" t="s">
        <v>3083</v>
      </c>
      <c r="C629" s="13" t="s">
        <v>1848</v>
      </c>
      <c r="D629" s="13" t="s">
        <v>2</v>
      </c>
      <c r="E629" s="13" t="s">
        <v>28</v>
      </c>
      <c r="F629" s="109">
        <v>42326</v>
      </c>
      <c r="G629" s="13" t="s">
        <v>1849</v>
      </c>
      <c r="H629" s="13" t="s">
        <v>1850</v>
      </c>
      <c r="I629" s="110" t="e">
        <v>#N/A</v>
      </c>
      <c r="J629" s="13" t="s">
        <v>473</v>
      </c>
      <c r="K629" s="13"/>
    </row>
    <row r="630" spans="1:11" ht="15.75" thickBot="1" x14ac:dyDescent="0.3">
      <c r="A630" s="13"/>
      <c r="B630" s="87" t="s">
        <v>3084</v>
      </c>
      <c r="C630" s="13" t="s">
        <v>1856</v>
      </c>
      <c r="D630" s="13" t="s">
        <v>2</v>
      </c>
      <c r="E630" s="13" t="s">
        <v>10</v>
      </c>
      <c r="F630" s="109">
        <v>41819</v>
      </c>
      <c r="G630" s="13" t="s">
        <v>1857</v>
      </c>
      <c r="H630" s="13" t="s">
        <v>1858</v>
      </c>
      <c r="I630" s="110" t="e">
        <v>#N/A</v>
      </c>
      <c r="J630" s="13" t="s">
        <v>473</v>
      </c>
      <c r="K630" s="13"/>
    </row>
    <row r="631" spans="1:11" ht="15.75" thickBot="1" x14ac:dyDescent="0.3">
      <c r="A631" s="13"/>
      <c r="B631" s="88" t="s">
        <v>3086</v>
      </c>
      <c r="C631" s="13" t="s">
        <v>1878</v>
      </c>
      <c r="D631" s="13" t="s">
        <v>2</v>
      </c>
      <c r="E631" s="13" t="s">
        <v>10</v>
      </c>
      <c r="F631" s="109">
        <v>41631</v>
      </c>
      <c r="G631" s="13" t="s">
        <v>1879</v>
      </c>
      <c r="H631" s="13" t="s">
        <v>1880</v>
      </c>
      <c r="I631" s="110" t="e">
        <v>#N/A</v>
      </c>
      <c r="J631" s="13" t="s">
        <v>473</v>
      </c>
      <c r="K631" s="13"/>
    </row>
    <row r="632" spans="1:11" ht="15.75" thickBot="1" x14ac:dyDescent="0.3">
      <c r="A632" s="13"/>
      <c r="B632" s="87" t="s">
        <v>3098</v>
      </c>
      <c r="C632" s="13" t="s">
        <v>2041</v>
      </c>
      <c r="D632" s="13" t="s">
        <v>2</v>
      </c>
      <c r="E632" s="13" t="s">
        <v>10</v>
      </c>
      <c r="F632" s="109">
        <v>42278</v>
      </c>
      <c r="G632" s="13" t="s">
        <v>2042</v>
      </c>
      <c r="H632" s="13" t="s">
        <v>2043</v>
      </c>
      <c r="I632" s="110" t="e">
        <v>#N/A</v>
      </c>
      <c r="J632" s="13" t="s">
        <v>473</v>
      </c>
      <c r="K632" s="13"/>
    </row>
    <row r="633" spans="1:11" ht="15.75" thickBot="1" x14ac:dyDescent="0.3">
      <c r="A633" s="13"/>
      <c r="B633" s="88" t="s">
        <v>3107</v>
      </c>
      <c r="C633" s="13" t="s">
        <v>2179</v>
      </c>
      <c r="D633" s="13" t="s">
        <v>66</v>
      </c>
      <c r="E633" s="13" t="s">
        <v>10</v>
      </c>
      <c r="F633" s="109">
        <v>42145</v>
      </c>
      <c r="G633" s="13" t="s">
        <v>2180</v>
      </c>
      <c r="H633" s="13" t="s">
        <v>2181</v>
      </c>
      <c r="I633" s="110" t="e">
        <v>#N/A</v>
      </c>
      <c r="J633" s="13" t="s">
        <v>473</v>
      </c>
      <c r="K633" s="13"/>
    </row>
    <row r="634" spans="1:11" ht="15.75" thickBot="1" x14ac:dyDescent="0.3">
      <c r="A634" s="13"/>
      <c r="B634" s="87" t="s">
        <v>3108</v>
      </c>
      <c r="C634" s="13" t="s">
        <v>2190</v>
      </c>
      <c r="D634" s="13" t="s">
        <v>2</v>
      </c>
      <c r="E634" s="13" t="s">
        <v>10</v>
      </c>
      <c r="F634" s="109">
        <v>41608</v>
      </c>
      <c r="G634" s="13" t="s">
        <v>2191</v>
      </c>
      <c r="H634" s="13" t="s">
        <v>2192</v>
      </c>
      <c r="I634" s="110" t="e">
        <v>#N/A</v>
      </c>
      <c r="J634" s="13" t="s">
        <v>473</v>
      </c>
      <c r="K634" s="13"/>
    </row>
    <row r="635" spans="1:11" ht="15.75" thickBot="1" x14ac:dyDescent="0.3">
      <c r="A635" s="13"/>
      <c r="B635" s="88" t="s">
        <v>3109</v>
      </c>
      <c r="C635" s="13" t="s">
        <v>2195</v>
      </c>
      <c r="D635" s="13" t="s">
        <v>66</v>
      </c>
      <c r="E635" s="13" t="s">
        <v>10</v>
      </c>
      <c r="F635" s="109">
        <v>41985</v>
      </c>
      <c r="G635" s="13" t="s">
        <v>2196</v>
      </c>
      <c r="H635" s="13" t="s">
        <v>2197</v>
      </c>
      <c r="I635" s="110" t="e">
        <v>#N/A</v>
      </c>
      <c r="J635" s="13" t="s">
        <v>473</v>
      </c>
      <c r="K635" s="13"/>
    </row>
    <row r="636" spans="1:11" ht="15.75" thickBot="1" x14ac:dyDescent="0.3">
      <c r="A636" s="13"/>
      <c r="B636" s="87" t="s">
        <v>3111</v>
      </c>
      <c r="C636" s="13" t="s">
        <v>2385</v>
      </c>
      <c r="D636" s="13" t="s">
        <v>2</v>
      </c>
      <c r="E636" s="13" t="s">
        <v>10</v>
      </c>
      <c r="F636" s="109">
        <v>41555</v>
      </c>
      <c r="G636" s="13" t="s">
        <v>2386</v>
      </c>
      <c r="H636" s="13" t="s">
        <v>1349</v>
      </c>
      <c r="I636" s="110" t="e">
        <v>#N/A</v>
      </c>
      <c r="J636" s="13" t="s">
        <v>473</v>
      </c>
      <c r="K636" s="13"/>
    </row>
    <row r="637" spans="1:11" ht="15.75" thickBot="1" x14ac:dyDescent="0.3">
      <c r="A637" s="13"/>
      <c r="B637" s="88" t="s">
        <v>3087</v>
      </c>
      <c r="C637" s="13" t="s">
        <v>1908</v>
      </c>
      <c r="D637" s="13" t="s">
        <v>2</v>
      </c>
      <c r="E637" s="13" t="s">
        <v>10</v>
      </c>
      <c r="F637" s="109">
        <v>42783</v>
      </c>
      <c r="G637" s="13" t="s">
        <v>1909</v>
      </c>
      <c r="H637" s="13" t="s">
        <v>1910</v>
      </c>
      <c r="I637" s="110" t="e">
        <v>#N/A</v>
      </c>
      <c r="J637" s="13" t="s">
        <v>1907</v>
      </c>
      <c r="K637" s="13"/>
    </row>
    <row r="638" spans="1:11" ht="15.75" thickBot="1" x14ac:dyDescent="0.3">
      <c r="A638" s="13"/>
      <c r="B638" s="87" t="s">
        <v>3089</v>
      </c>
      <c r="C638" s="13" t="s">
        <v>1921</v>
      </c>
      <c r="D638" s="13" t="s">
        <v>2</v>
      </c>
      <c r="E638" s="13" t="s">
        <v>116</v>
      </c>
      <c r="F638" s="109">
        <v>42852</v>
      </c>
      <c r="G638" s="13" t="s">
        <v>1922</v>
      </c>
      <c r="H638" s="13" t="s">
        <v>1923</v>
      </c>
      <c r="I638" s="110" t="e">
        <v>#N/A</v>
      </c>
      <c r="J638" s="13" t="s">
        <v>1907</v>
      </c>
      <c r="K638" s="13"/>
    </row>
    <row r="639" spans="1:11" ht="15.75" thickBot="1" x14ac:dyDescent="0.3">
      <c r="A639" s="13"/>
      <c r="B639" s="88" t="s">
        <v>3091</v>
      </c>
      <c r="C639" s="13" t="s">
        <v>1931</v>
      </c>
      <c r="D639" s="13" t="s">
        <v>2</v>
      </c>
      <c r="E639" s="13" t="s">
        <v>10</v>
      </c>
      <c r="F639" s="109">
        <v>42556</v>
      </c>
      <c r="G639" s="13" t="s">
        <v>1932</v>
      </c>
      <c r="H639" s="13" t="s">
        <v>1933</v>
      </c>
      <c r="I639" s="110" t="e">
        <v>#N/A</v>
      </c>
      <c r="J639" s="13" t="s">
        <v>1907</v>
      </c>
      <c r="K639" s="13"/>
    </row>
    <row r="640" spans="1:11" ht="15.75" thickBot="1" x14ac:dyDescent="0.3">
      <c r="A640" s="13"/>
      <c r="B640" s="87" t="s">
        <v>3092</v>
      </c>
      <c r="C640" s="13" t="s">
        <v>1936</v>
      </c>
      <c r="D640" s="13" t="s">
        <v>2</v>
      </c>
      <c r="E640" s="13" t="s">
        <v>365</v>
      </c>
      <c r="F640" s="109">
        <v>42922</v>
      </c>
      <c r="G640" s="13" t="s">
        <v>1937</v>
      </c>
      <c r="H640" s="13" t="s">
        <v>1938</v>
      </c>
      <c r="I640" s="110" t="e">
        <v>#N/A</v>
      </c>
      <c r="J640" s="13" t="s">
        <v>1907</v>
      </c>
      <c r="K640" s="13"/>
    </row>
    <row r="641" spans="1:11" ht="15.75" thickBot="1" x14ac:dyDescent="0.3">
      <c r="A641" s="13"/>
      <c r="B641" s="88" t="s">
        <v>3094</v>
      </c>
      <c r="C641" s="13" t="s">
        <v>1946</v>
      </c>
      <c r="D641" s="13" t="s">
        <v>2</v>
      </c>
      <c r="E641" s="13" t="s">
        <v>1155</v>
      </c>
      <c r="F641" s="109">
        <v>43152</v>
      </c>
      <c r="G641" s="13" t="s">
        <v>1947</v>
      </c>
      <c r="H641" s="13" t="s">
        <v>1948</v>
      </c>
      <c r="I641" s="110" t="e">
        <v>#N/A</v>
      </c>
      <c r="J641" s="13" t="s">
        <v>1907</v>
      </c>
      <c r="K641" s="13"/>
    </row>
    <row r="642" spans="1:11" ht="15.75" thickBot="1" x14ac:dyDescent="0.3">
      <c r="A642" s="13"/>
      <c r="B642" s="87" t="s">
        <v>3101</v>
      </c>
      <c r="C642" s="13" t="s">
        <v>2080</v>
      </c>
      <c r="D642" s="13" t="s">
        <v>2</v>
      </c>
      <c r="E642" s="13" t="s">
        <v>28</v>
      </c>
      <c r="F642" s="109">
        <v>41646</v>
      </c>
      <c r="G642" s="13" t="s">
        <v>2081</v>
      </c>
      <c r="H642" s="13" t="s">
        <v>2082</v>
      </c>
      <c r="I642" s="110" t="e">
        <v>#N/A</v>
      </c>
      <c r="J642" s="13" t="s">
        <v>1907</v>
      </c>
      <c r="K642" s="13"/>
    </row>
    <row r="643" spans="1:11" ht="15.75" thickBot="1" x14ac:dyDescent="0.3">
      <c r="A643" s="13"/>
      <c r="B643" s="88" t="s">
        <v>3150</v>
      </c>
      <c r="C643" s="13" t="s">
        <v>2733</v>
      </c>
      <c r="D643" s="13" t="s">
        <v>66</v>
      </c>
      <c r="E643" s="13" t="s">
        <v>10</v>
      </c>
      <c r="F643" s="109">
        <v>42192</v>
      </c>
      <c r="G643" s="13" t="s">
        <v>2734</v>
      </c>
      <c r="H643" s="13" t="s">
        <v>2735</v>
      </c>
      <c r="I643" s="110" t="e">
        <v>#N/A</v>
      </c>
      <c r="J643" s="13" t="s">
        <v>2219</v>
      </c>
      <c r="K643" s="13"/>
    </row>
    <row r="644" spans="1:11" ht="15.75" thickBot="1" x14ac:dyDescent="0.3">
      <c r="A644" s="13"/>
      <c r="B644" s="87" t="s">
        <v>3151</v>
      </c>
      <c r="C644" s="13" t="s">
        <v>2733</v>
      </c>
      <c r="D644" s="13" t="s">
        <v>66</v>
      </c>
      <c r="E644" s="13" t="s">
        <v>28</v>
      </c>
      <c r="F644" s="109">
        <v>42192</v>
      </c>
      <c r="G644" s="13" t="s">
        <v>2734</v>
      </c>
      <c r="H644" s="13" t="s">
        <v>2735</v>
      </c>
      <c r="I644" s="110" t="e">
        <v>#N/A</v>
      </c>
      <c r="J644" s="13" t="s">
        <v>2219</v>
      </c>
      <c r="K644" s="13"/>
    </row>
    <row r="645" spans="1:11" ht="15.75" thickBot="1" x14ac:dyDescent="0.3">
      <c r="A645" s="13"/>
      <c r="B645" s="88" t="s">
        <v>3129</v>
      </c>
      <c r="C645" s="13" t="s">
        <v>1128</v>
      </c>
      <c r="D645" s="13" t="s">
        <v>66</v>
      </c>
      <c r="E645" s="13" t="s">
        <v>10</v>
      </c>
      <c r="F645" s="109">
        <v>40836</v>
      </c>
      <c r="G645" s="13" t="s">
        <v>1129</v>
      </c>
      <c r="H645" s="13" t="s">
        <v>1130</v>
      </c>
      <c r="I645" s="110" t="e">
        <v>#N/A</v>
      </c>
      <c r="J645" s="13" t="s">
        <v>319</v>
      </c>
      <c r="K645" s="13"/>
    </row>
    <row r="646" spans="1:11" ht="15.75" thickBot="1" x14ac:dyDescent="0.3">
      <c r="A646" s="13"/>
      <c r="B646" s="87" t="s">
        <v>3139</v>
      </c>
      <c r="C646" s="13" t="s">
        <v>1300</v>
      </c>
      <c r="D646" s="13" t="s">
        <v>66</v>
      </c>
      <c r="E646" s="13" t="s">
        <v>28</v>
      </c>
      <c r="F646" s="109">
        <v>40593</v>
      </c>
      <c r="G646" s="13" t="s">
        <v>1301</v>
      </c>
      <c r="H646" s="13" t="s">
        <v>1302</v>
      </c>
      <c r="I646" s="110" t="e">
        <v>#N/A</v>
      </c>
      <c r="J646" s="13" t="s">
        <v>319</v>
      </c>
      <c r="K646" s="13"/>
    </row>
    <row r="647" spans="1:11" ht="15.75" thickBot="1" x14ac:dyDescent="0.3">
      <c r="A647" s="13"/>
      <c r="B647" s="88" t="s">
        <v>3145</v>
      </c>
      <c r="C647" s="13" t="s">
        <v>2157</v>
      </c>
      <c r="D647" s="13" t="s">
        <v>2</v>
      </c>
      <c r="E647" s="13" t="s">
        <v>1255</v>
      </c>
      <c r="F647" s="109">
        <v>40708</v>
      </c>
      <c r="G647" s="13" t="s">
        <v>2158</v>
      </c>
      <c r="H647" s="13" t="s">
        <v>2159</v>
      </c>
      <c r="I647" s="110" t="e">
        <v>#N/A</v>
      </c>
      <c r="J647" s="13" t="s">
        <v>319</v>
      </c>
      <c r="K647" s="13"/>
    </row>
    <row r="648" spans="1:11" ht="15.75" thickBot="1" x14ac:dyDescent="0.3">
      <c r="A648" s="13"/>
      <c r="B648" s="87" t="s">
        <v>3148</v>
      </c>
      <c r="C648" s="13" t="s">
        <v>2170</v>
      </c>
      <c r="D648" s="13" t="s">
        <v>66</v>
      </c>
      <c r="E648" s="13" t="s">
        <v>28</v>
      </c>
      <c r="F648" s="109">
        <v>40902</v>
      </c>
      <c r="G648" s="13" t="s">
        <v>2171</v>
      </c>
      <c r="H648" s="13" t="s">
        <v>2172</v>
      </c>
      <c r="I648" s="110" t="e">
        <v>#N/A</v>
      </c>
      <c r="J648" s="13" t="s">
        <v>319</v>
      </c>
      <c r="K648" s="13"/>
    </row>
    <row r="649" spans="1:11" ht="15.75" thickBot="1" x14ac:dyDescent="0.3">
      <c r="A649" s="13"/>
      <c r="B649" s="88" t="s">
        <v>3149</v>
      </c>
      <c r="C649" s="13" t="s">
        <v>2175</v>
      </c>
      <c r="D649" s="13" t="s">
        <v>2</v>
      </c>
      <c r="E649" s="13" t="s">
        <v>328</v>
      </c>
      <c r="F649" s="109">
        <v>40618</v>
      </c>
      <c r="G649" s="13" t="s">
        <v>2176</v>
      </c>
      <c r="H649" s="13" t="s">
        <v>797</v>
      </c>
      <c r="I649" s="110" t="e">
        <v>#N/A</v>
      </c>
      <c r="J649" s="13" t="s">
        <v>319</v>
      </c>
      <c r="K649" s="13"/>
    </row>
    <row r="650" spans="1:11" ht="15.75" thickBot="1" x14ac:dyDescent="0.3">
      <c r="A650" s="13"/>
      <c r="B650" s="87" t="s">
        <v>3137</v>
      </c>
      <c r="C650" s="13" t="s">
        <v>1254</v>
      </c>
      <c r="D650" s="13" t="s">
        <v>2</v>
      </c>
      <c r="E650" s="13" t="s">
        <v>1255</v>
      </c>
      <c r="F650" s="109">
        <v>40671</v>
      </c>
      <c r="G650" s="13" t="s">
        <v>1256</v>
      </c>
      <c r="H650" s="13" t="s">
        <v>1257</v>
      </c>
      <c r="I650" s="110" t="e">
        <v>#N/A</v>
      </c>
      <c r="J650" s="13" t="s">
        <v>1253</v>
      </c>
      <c r="K650" s="13"/>
    </row>
    <row r="651" spans="1:11" ht="15.75" thickBot="1" x14ac:dyDescent="0.3">
      <c r="A651" s="13"/>
      <c r="B651" s="88" t="s">
        <v>3138</v>
      </c>
      <c r="C651" s="13" t="s">
        <v>1266</v>
      </c>
      <c r="D651" s="13" t="s">
        <v>728</v>
      </c>
      <c r="E651" s="13" t="s">
        <v>1255</v>
      </c>
      <c r="F651" s="109">
        <v>40505</v>
      </c>
      <c r="G651" s="13" t="s">
        <v>1267</v>
      </c>
      <c r="H651" s="13" t="s">
        <v>1268</v>
      </c>
      <c r="I651" s="110" t="e">
        <v>#N/A</v>
      </c>
      <c r="J651" s="13" t="s">
        <v>1253</v>
      </c>
      <c r="K651" s="13"/>
    </row>
    <row r="652" spans="1:11" ht="15.75" thickBot="1" x14ac:dyDescent="0.3">
      <c r="A652" s="13"/>
      <c r="B652" s="87" t="s">
        <v>3135</v>
      </c>
      <c r="C652" s="13" t="s">
        <v>1202</v>
      </c>
      <c r="D652" s="13" t="s">
        <v>66</v>
      </c>
      <c r="E652" s="13" t="s">
        <v>28</v>
      </c>
      <c r="F652" s="109">
        <v>42095</v>
      </c>
      <c r="G652" s="13" t="s">
        <v>1203</v>
      </c>
      <c r="H652" s="13" t="s">
        <v>1204</v>
      </c>
      <c r="I652" s="110" t="e">
        <v>#N/A</v>
      </c>
      <c r="J652" s="13" t="s">
        <v>1201</v>
      </c>
      <c r="K652" s="13"/>
    </row>
    <row r="653" spans="1:11" ht="15.75" thickBot="1" x14ac:dyDescent="0.3">
      <c r="A653" s="13"/>
      <c r="B653" s="88" t="s">
        <v>3136</v>
      </c>
      <c r="C653" s="13" t="s">
        <v>1227</v>
      </c>
      <c r="D653" s="13" t="s">
        <v>66</v>
      </c>
      <c r="E653" s="13" t="s">
        <v>10</v>
      </c>
      <c r="F653" s="109">
        <v>41750</v>
      </c>
      <c r="G653" s="13" t="s">
        <v>1228</v>
      </c>
      <c r="H653" s="13" t="s">
        <v>1229</v>
      </c>
      <c r="I653" s="110" t="e">
        <v>#N/A</v>
      </c>
      <c r="J653" s="13" t="s">
        <v>1201</v>
      </c>
      <c r="K653" s="13"/>
    </row>
    <row r="654" spans="1:11" ht="15.75" thickBot="1" x14ac:dyDescent="0.3">
      <c r="A654" s="103">
        <v>654</v>
      </c>
      <c r="B654" s="87" t="s">
        <v>155</v>
      </c>
      <c r="C654" s="13" t="s">
        <v>156</v>
      </c>
      <c r="D654" s="13" t="s">
        <v>66</v>
      </c>
      <c r="E654" s="13" t="s">
        <v>10</v>
      </c>
      <c r="F654" s="109">
        <v>42724</v>
      </c>
      <c r="G654" s="13" t="s">
        <v>157</v>
      </c>
      <c r="H654" s="13" t="s">
        <v>158</v>
      </c>
      <c r="I654" s="13" t="s">
        <v>159</v>
      </c>
      <c r="J654" s="13" t="s">
        <v>1071</v>
      </c>
      <c r="K654" s="13"/>
    </row>
    <row r="655" spans="1:11" ht="15.75" thickBot="1" x14ac:dyDescent="0.3">
      <c r="A655" s="103">
        <v>655</v>
      </c>
      <c r="B655" s="88" t="s">
        <v>161</v>
      </c>
      <c r="C655" s="13" t="s">
        <v>162</v>
      </c>
      <c r="D655" s="13" t="s">
        <v>2</v>
      </c>
      <c r="E655" s="13" t="s">
        <v>10</v>
      </c>
      <c r="F655" s="109">
        <v>41707</v>
      </c>
      <c r="G655" s="13" t="s">
        <v>163</v>
      </c>
      <c r="H655" s="13" t="s">
        <v>164</v>
      </c>
      <c r="I655" s="13" t="s">
        <v>165</v>
      </c>
      <c r="J655" s="13" t="s">
        <v>1071</v>
      </c>
      <c r="K655" s="13"/>
    </row>
    <row r="656" spans="1:11" ht="15.75" thickBot="1" x14ac:dyDescent="0.3">
      <c r="A656" s="103">
        <v>656</v>
      </c>
      <c r="B656" s="87" t="s">
        <v>166</v>
      </c>
      <c r="C656" s="13" t="s">
        <v>167</v>
      </c>
      <c r="D656" s="13" t="s">
        <v>66</v>
      </c>
      <c r="E656" s="13" t="s">
        <v>59</v>
      </c>
      <c r="F656" s="109">
        <v>42459</v>
      </c>
      <c r="G656" s="13" t="s">
        <v>168</v>
      </c>
      <c r="H656" s="13" t="s">
        <v>169</v>
      </c>
      <c r="I656" s="13" t="s">
        <v>170</v>
      </c>
      <c r="J656" s="13" t="s">
        <v>1071</v>
      </c>
      <c r="K656" s="13"/>
    </row>
    <row r="657" spans="1:11" ht="15.75" thickBot="1" x14ac:dyDescent="0.3">
      <c r="A657" s="103">
        <v>657</v>
      </c>
      <c r="B657" s="88" t="s">
        <v>171</v>
      </c>
      <c r="C657" s="13" t="s">
        <v>172</v>
      </c>
      <c r="D657" s="13" t="s">
        <v>2</v>
      </c>
      <c r="E657" s="13" t="s">
        <v>10</v>
      </c>
      <c r="F657" s="109">
        <v>42225</v>
      </c>
      <c r="G657" s="13" t="s">
        <v>173</v>
      </c>
      <c r="H657" s="13" t="s">
        <v>174</v>
      </c>
      <c r="I657" s="13" t="s">
        <v>175</v>
      </c>
      <c r="J657" s="13" t="s">
        <v>1071</v>
      </c>
      <c r="K657" s="13"/>
    </row>
    <row r="658" spans="1:11" ht="15.75" thickBot="1" x14ac:dyDescent="0.3">
      <c r="A658" s="103">
        <v>658</v>
      </c>
      <c r="B658" s="87" t="s">
        <v>176</v>
      </c>
      <c r="C658" s="13" t="s">
        <v>177</v>
      </c>
      <c r="D658" s="13" t="s">
        <v>2</v>
      </c>
      <c r="E658" s="13" t="s">
        <v>10</v>
      </c>
      <c r="F658" s="109">
        <v>41509</v>
      </c>
      <c r="G658" s="13" t="s">
        <v>178</v>
      </c>
      <c r="H658" s="13" t="s">
        <v>179</v>
      </c>
      <c r="I658" s="13" t="s">
        <v>180</v>
      </c>
      <c r="J658" s="13" t="s">
        <v>1071</v>
      </c>
      <c r="K658" s="13"/>
    </row>
    <row r="659" spans="1:11" ht="15.75" thickBot="1" x14ac:dyDescent="0.3">
      <c r="A659" s="103">
        <v>659</v>
      </c>
      <c r="B659" s="88" t="s">
        <v>181</v>
      </c>
      <c r="C659" s="13" t="s">
        <v>182</v>
      </c>
      <c r="D659" s="13" t="s">
        <v>66</v>
      </c>
      <c r="E659" s="13" t="s">
        <v>59</v>
      </c>
      <c r="F659" s="109">
        <v>42122</v>
      </c>
      <c r="G659" s="13" t="s">
        <v>183</v>
      </c>
      <c r="H659" s="13" t="s">
        <v>184</v>
      </c>
      <c r="I659" s="13" t="s">
        <v>185</v>
      </c>
      <c r="J659" s="13" t="s">
        <v>1071</v>
      </c>
      <c r="K659" s="13"/>
    </row>
    <row r="660" spans="1:11" ht="15.75" thickBot="1" x14ac:dyDescent="0.3">
      <c r="A660" s="103">
        <v>660</v>
      </c>
      <c r="B660" s="87" t="s">
        <v>186</v>
      </c>
      <c r="C660" s="13" t="s">
        <v>187</v>
      </c>
      <c r="D660" s="13" t="s">
        <v>2</v>
      </c>
      <c r="E660" s="13" t="s">
        <v>10</v>
      </c>
      <c r="F660" s="109">
        <v>42604</v>
      </c>
      <c r="G660" s="13" t="s">
        <v>188</v>
      </c>
      <c r="H660" s="13" t="s">
        <v>189</v>
      </c>
      <c r="I660" s="13" t="s">
        <v>190</v>
      </c>
      <c r="J660" s="13" t="s">
        <v>1071</v>
      </c>
      <c r="K660" s="13"/>
    </row>
    <row r="661" spans="1:11" ht="15.75" thickBot="1" x14ac:dyDescent="0.3">
      <c r="A661" s="13"/>
      <c r="B661" s="88" t="s">
        <v>3123</v>
      </c>
      <c r="C661" s="13" t="s">
        <v>1072</v>
      </c>
      <c r="D661" s="13" t="s">
        <v>66</v>
      </c>
      <c r="E661" s="13" t="s">
        <v>1073</v>
      </c>
      <c r="F661" s="109">
        <v>42133</v>
      </c>
      <c r="G661" s="13" t="s">
        <v>1074</v>
      </c>
      <c r="H661" s="13" t="s">
        <v>1075</v>
      </c>
      <c r="I661" s="110" t="e">
        <v>#N/A</v>
      </c>
      <c r="J661" s="13" t="s">
        <v>1071</v>
      </c>
      <c r="K661" s="13"/>
    </row>
    <row r="662" spans="1:11" ht="15.75" thickBot="1" x14ac:dyDescent="0.3">
      <c r="A662" s="13"/>
      <c r="B662" s="87" t="s">
        <v>3117</v>
      </c>
      <c r="C662" s="13" t="s">
        <v>1039</v>
      </c>
      <c r="D662" s="13" t="s">
        <v>2</v>
      </c>
      <c r="E662" s="13" t="s">
        <v>28</v>
      </c>
      <c r="F662" s="109">
        <v>42109</v>
      </c>
      <c r="G662" s="13" t="s">
        <v>1040</v>
      </c>
      <c r="H662" s="13" t="s">
        <v>1041</v>
      </c>
      <c r="I662" s="110" t="e">
        <v>#N/A</v>
      </c>
      <c r="J662" s="13" t="s">
        <v>1038</v>
      </c>
      <c r="K662" s="13"/>
    </row>
    <row r="663" spans="1:11" ht="15.75" thickBot="1" x14ac:dyDescent="0.3">
      <c r="A663" s="13"/>
      <c r="B663" s="88" t="s">
        <v>3118</v>
      </c>
      <c r="C663" s="13" t="s">
        <v>1044</v>
      </c>
      <c r="D663" s="13" t="s">
        <v>2</v>
      </c>
      <c r="E663" s="13" t="s">
        <v>402</v>
      </c>
      <c r="F663" s="109">
        <v>42349</v>
      </c>
      <c r="G663" s="13" t="s">
        <v>1045</v>
      </c>
      <c r="H663" s="13" t="s">
        <v>1046</v>
      </c>
      <c r="I663" s="110" t="e">
        <v>#N/A</v>
      </c>
      <c r="J663" s="13" t="s">
        <v>1038</v>
      </c>
      <c r="K663" s="13"/>
    </row>
    <row r="664" spans="1:11" ht="15.75" thickBot="1" x14ac:dyDescent="0.3">
      <c r="A664" s="13"/>
      <c r="B664" s="87" t="s">
        <v>3119</v>
      </c>
      <c r="C664" s="13" t="s">
        <v>1049</v>
      </c>
      <c r="D664" s="13" t="s">
        <v>2</v>
      </c>
      <c r="E664" s="13" t="s">
        <v>28</v>
      </c>
      <c r="F664" s="109">
        <v>42330</v>
      </c>
      <c r="G664" s="13" t="s">
        <v>1050</v>
      </c>
      <c r="H664" s="13" t="s">
        <v>1041</v>
      </c>
      <c r="I664" s="110" t="e">
        <v>#N/A</v>
      </c>
      <c r="J664" s="13" t="s">
        <v>1038</v>
      </c>
      <c r="K664" s="13"/>
    </row>
    <row r="665" spans="1:11" ht="15.75" thickBot="1" x14ac:dyDescent="0.3">
      <c r="A665" s="13"/>
      <c r="B665" s="88" t="s">
        <v>3120</v>
      </c>
      <c r="C665" s="13" t="s">
        <v>1053</v>
      </c>
      <c r="D665" s="13" t="s">
        <v>2</v>
      </c>
      <c r="E665" s="13" t="s">
        <v>28</v>
      </c>
      <c r="F665" s="109">
        <v>42546</v>
      </c>
      <c r="G665" s="13" t="s">
        <v>1054</v>
      </c>
      <c r="H665" s="13" t="s">
        <v>1055</v>
      </c>
      <c r="I665" s="110" t="e">
        <v>#N/A</v>
      </c>
      <c r="J665" s="13" t="s">
        <v>1038</v>
      </c>
      <c r="K665" s="13"/>
    </row>
    <row r="666" spans="1:11" ht="15.75" thickBot="1" x14ac:dyDescent="0.3">
      <c r="A666" s="13"/>
      <c r="B666" s="87" t="s">
        <v>3121</v>
      </c>
      <c r="C666" s="13" t="s">
        <v>1058</v>
      </c>
      <c r="D666" s="13" t="s">
        <v>2</v>
      </c>
      <c r="E666" s="13" t="s">
        <v>28</v>
      </c>
      <c r="F666" s="109">
        <v>42668</v>
      </c>
      <c r="G666" s="13" t="s">
        <v>1059</v>
      </c>
      <c r="H666" s="13" t="s">
        <v>1060</v>
      </c>
      <c r="I666" s="110" t="e">
        <v>#N/A</v>
      </c>
      <c r="J666" s="13" t="s">
        <v>1038</v>
      </c>
      <c r="K666" s="13"/>
    </row>
    <row r="667" spans="1:11" ht="15.75" thickBot="1" x14ac:dyDescent="0.3">
      <c r="A667" s="13"/>
      <c r="B667" s="88" t="s">
        <v>3122</v>
      </c>
      <c r="C667" s="13" t="s">
        <v>1063</v>
      </c>
      <c r="D667" s="13" t="s">
        <v>2</v>
      </c>
      <c r="E667" s="13" t="s">
        <v>204</v>
      </c>
      <c r="F667" s="109">
        <v>42393</v>
      </c>
      <c r="G667" s="13" t="s">
        <v>1064</v>
      </c>
      <c r="H667" s="13" t="s">
        <v>1065</v>
      </c>
      <c r="I667" s="110" t="e">
        <v>#N/A</v>
      </c>
      <c r="J667" s="13" t="s">
        <v>1038</v>
      </c>
      <c r="K667" s="13"/>
    </row>
    <row r="668" spans="1:11" ht="15.75" thickBot="1" x14ac:dyDescent="0.3">
      <c r="A668" s="13"/>
      <c r="B668" s="87" t="s">
        <v>3141</v>
      </c>
      <c r="C668" s="13" t="s">
        <v>2144</v>
      </c>
      <c r="D668" s="13" t="s">
        <v>2</v>
      </c>
      <c r="E668" s="13" t="s">
        <v>402</v>
      </c>
      <c r="F668" s="109">
        <v>42330</v>
      </c>
      <c r="G668" s="13" t="s">
        <v>2145</v>
      </c>
      <c r="H668" s="13" t="s">
        <v>2146</v>
      </c>
      <c r="I668" s="110" t="e">
        <v>#N/A</v>
      </c>
      <c r="J668" s="13" t="s">
        <v>1038</v>
      </c>
      <c r="K668" s="13"/>
    </row>
    <row r="669" spans="1:11" ht="15.75" thickBot="1" x14ac:dyDescent="0.3">
      <c r="A669" s="13"/>
      <c r="B669" s="88" t="s">
        <v>3142</v>
      </c>
      <c r="C669" s="13" t="s">
        <v>2148</v>
      </c>
      <c r="D669" s="13" t="s">
        <v>2</v>
      </c>
      <c r="E669" s="13" t="s">
        <v>402</v>
      </c>
      <c r="F669" s="109">
        <v>42393</v>
      </c>
      <c r="G669" s="13" t="s">
        <v>2149</v>
      </c>
      <c r="H669" s="13" t="s">
        <v>2150</v>
      </c>
      <c r="I669" s="110" t="e">
        <v>#N/A</v>
      </c>
      <c r="J669" s="13" t="s">
        <v>1038</v>
      </c>
      <c r="K669" s="13"/>
    </row>
    <row r="670" spans="1:11" ht="15.75" thickBot="1" x14ac:dyDescent="0.3">
      <c r="A670" s="13"/>
      <c r="B670" s="87" t="s">
        <v>3143</v>
      </c>
      <c r="C670" s="13" t="s">
        <v>2152</v>
      </c>
      <c r="D670" s="13" t="s">
        <v>2</v>
      </c>
      <c r="E670" s="13" t="s">
        <v>402</v>
      </c>
      <c r="F670" s="109">
        <v>42109</v>
      </c>
      <c r="G670" s="13" t="s">
        <v>2153</v>
      </c>
      <c r="H670" s="13" t="s">
        <v>2146</v>
      </c>
      <c r="I670" s="110" t="e">
        <v>#N/A</v>
      </c>
      <c r="J670" s="13" t="s">
        <v>1038</v>
      </c>
      <c r="K670" s="13"/>
    </row>
    <row r="671" spans="1:11" ht="15.75" thickBot="1" x14ac:dyDescent="0.3">
      <c r="A671" s="13"/>
      <c r="B671" s="88" t="s">
        <v>3144</v>
      </c>
      <c r="C671" s="13" t="s">
        <v>1044</v>
      </c>
      <c r="D671" s="13" t="s">
        <v>2</v>
      </c>
      <c r="E671" s="13" t="s">
        <v>402</v>
      </c>
      <c r="F671" s="109">
        <v>42349</v>
      </c>
      <c r="G671" s="13" t="s">
        <v>1045</v>
      </c>
      <c r="H671" s="13" t="s">
        <v>1046</v>
      </c>
      <c r="I671" s="110" t="e">
        <v>#N/A</v>
      </c>
      <c r="J671" s="13" t="s">
        <v>1038</v>
      </c>
      <c r="K671" s="13"/>
    </row>
    <row r="672" spans="1:11" ht="15.75" thickBot="1" x14ac:dyDescent="0.3">
      <c r="A672" s="13"/>
      <c r="B672" s="87" t="s">
        <v>3146</v>
      </c>
      <c r="C672" s="13" t="s">
        <v>2162</v>
      </c>
      <c r="D672" s="13" t="s">
        <v>2</v>
      </c>
      <c r="E672" s="13" t="s">
        <v>402</v>
      </c>
      <c r="F672" s="109">
        <v>42546</v>
      </c>
      <c r="G672" s="13" t="s">
        <v>2163</v>
      </c>
      <c r="H672" s="13" t="s">
        <v>2164</v>
      </c>
      <c r="I672" s="110" t="e">
        <v>#N/A</v>
      </c>
      <c r="J672" s="13" t="s">
        <v>1038</v>
      </c>
      <c r="K672" s="13"/>
    </row>
    <row r="673" spans="1:11" ht="15.75" thickBot="1" x14ac:dyDescent="0.3">
      <c r="A673" s="13"/>
      <c r="B673" s="88" t="s">
        <v>3147</v>
      </c>
      <c r="C673" s="13" t="s">
        <v>2166</v>
      </c>
      <c r="D673" s="13" t="s">
        <v>2</v>
      </c>
      <c r="E673" s="13" t="s">
        <v>402</v>
      </c>
      <c r="F673" s="109">
        <v>42668</v>
      </c>
      <c r="G673" s="13" t="s">
        <v>2167</v>
      </c>
      <c r="H673" s="13" t="s">
        <v>2168</v>
      </c>
      <c r="I673" s="110" t="e">
        <v>#N/A</v>
      </c>
      <c r="J673" s="13" t="s">
        <v>1038</v>
      </c>
      <c r="K673" s="13"/>
    </row>
    <row r="674" spans="1:11" ht="15.75" thickBot="1" x14ac:dyDescent="0.3">
      <c r="A674" s="13"/>
      <c r="B674" s="87" t="s">
        <v>3116</v>
      </c>
      <c r="C674" s="13" t="s">
        <v>1027</v>
      </c>
      <c r="D674" s="13" t="s">
        <v>2</v>
      </c>
      <c r="E674" s="13" t="s">
        <v>10</v>
      </c>
      <c r="F674" s="109">
        <v>42109</v>
      </c>
      <c r="G674" s="13" t="s">
        <v>1028</v>
      </c>
      <c r="H674" s="13" t="s">
        <v>1029</v>
      </c>
      <c r="I674" s="110" t="e">
        <v>#N/A</v>
      </c>
      <c r="J674" s="13" t="s">
        <v>214</v>
      </c>
      <c r="K674" s="13"/>
    </row>
    <row r="675" spans="1:11" ht="15.75" thickBot="1" x14ac:dyDescent="0.3">
      <c r="A675" s="13"/>
      <c r="B675" s="88" t="s">
        <v>3124</v>
      </c>
      <c r="C675" s="13" t="s">
        <v>1081</v>
      </c>
      <c r="D675" s="13" t="s">
        <v>2</v>
      </c>
      <c r="E675" s="13" t="s">
        <v>1082</v>
      </c>
      <c r="F675" s="109">
        <v>42716</v>
      </c>
      <c r="G675" s="13" t="s">
        <v>1083</v>
      </c>
      <c r="H675" s="13" t="s">
        <v>1084</v>
      </c>
      <c r="I675" s="110" t="e">
        <v>#N/A</v>
      </c>
      <c r="J675" s="13" t="s">
        <v>214</v>
      </c>
      <c r="K675" s="13"/>
    </row>
    <row r="676" spans="1:11" ht="15.75" thickBot="1" x14ac:dyDescent="0.3">
      <c r="A676" s="13"/>
      <c r="B676" s="87" t="s">
        <v>3125</v>
      </c>
      <c r="C676" s="13" t="s">
        <v>1087</v>
      </c>
      <c r="D676" s="13" t="s">
        <v>2</v>
      </c>
      <c r="E676" s="13" t="s">
        <v>59</v>
      </c>
      <c r="F676" s="109">
        <v>41811</v>
      </c>
      <c r="G676" s="13" t="s">
        <v>1088</v>
      </c>
      <c r="H676" s="13" t="s">
        <v>1089</v>
      </c>
      <c r="I676" s="110" t="e">
        <v>#N/A</v>
      </c>
      <c r="J676" s="13" t="s">
        <v>214</v>
      </c>
      <c r="K676" s="13"/>
    </row>
    <row r="677" spans="1:11" ht="15.75" thickBot="1" x14ac:dyDescent="0.3">
      <c r="A677" s="13"/>
      <c r="B677" s="88" t="s">
        <v>3126</v>
      </c>
      <c r="C677" s="13" t="s">
        <v>1092</v>
      </c>
      <c r="D677" s="13" t="s">
        <v>2</v>
      </c>
      <c r="E677" s="13" t="s">
        <v>10</v>
      </c>
      <c r="F677" s="109">
        <v>42129</v>
      </c>
      <c r="G677" s="13" t="s">
        <v>1093</v>
      </c>
      <c r="H677" s="13" t="s">
        <v>1094</v>
      </c>
      <c r="I677" s="110" t="e">
        <v>#N/A</v>
      </c>
      <c r="J677" s="13" t="s">
        <v>214</v>
      </c>
      <c r="K677" s="13"/>
    </row>
    <row r="678" spans="1:11" ht="15.75" thickBot="1" x14ac:dyDescent="0.3">
      <c r="A678" s="13"/>
      <c r="B678" s="87" t="s">
        <v>3127</v>
      </c>
      <c r="C678" s="13" t="s">
        <v>1118</v>
      </c>
      <c r="D678" s="13" t="s">
        <v>66</v>
      </c>
      <c r="E678" s="13" t="s">
        <v>59</v>
      </c>
      <c r="F678" s="109">
        <v>42628</v>
      </c>
      <c r="G678" s="13" t="s">
        <v>1119</v>
      </c>
      <c r="H678" s="13" t="s">
        <v>1120</v>
      </c>
      <c r="I678" s="110" t="e">
        <v>#N/A</v>
      </c>
      <c r="J678" s="13" t="s">
        <v>214</v>
      </c>
      <c r="K678" s="13"/>
    </row>
    <row r="679" spans="1:11" ht="15.75" thickBot="1" x14ac:dyDescent="0.3">
      <c r="A679" s="13"/>
      <c r="B679" s="88" t="s">
        <v>3128</v>
      </c>
      <c r="C679" s="13" t="s">
        <v>1123</v>
      </c>
      <c r="D679" s="13" t="s">
        <v>2</v>
      </c>
      <c r="E679" s="13" t="s">
        <v>10</v>
      </c>
      <c r="F679" s="109">
        <v>42108</v>
      </c>
      <c r="G679" s="13" t="s">
        <v>1124</v>
      </c>
      <c r="H679" s="13" t="s">
        <v>1125</v>
      </c>
      <c r="I679" s="110" t="e">
        <v>#N/A</v>
      </c>
      <c r="J679" s="13" t="s">
        <v>214</v>
      </c>
      <c r="K679" s="13"/>
    </row>
    <row r="680" spans="1:11" ht="15.75" thickBot="1" x14ac:dyDescent="0.3">
      <c r="A680" s="13"/>
      <c r="B680" s="87" t="s">
        <v>3130</v>
      </c>
      <c r="C680" s="13" t="s">
        <v>1133</v>
      </c>
      <c r="D680" s="13" t="s">
        <v>66</v>
      </c>
      <c r="E680" s="13" t="s">
        <v>10</v>
      </c>
      <c r="F680" s="109">
        <v>41588</v>
      </c>
      <c r="G680" s="13" t="s">
        <v>1134</v>
      </c>
      <c r="H680" s="13" t="s">
        <v>1135</v>
      </c>
      <c r="I680" s="110" t="e">
        <v>#N/A</v>
      </c>
      <c r="J680" s="13" t="s">
        <v>214</v>
      </c>
      <c r="K680" s="13"/>
    </row>
    <row r="681" spans="1:11" ht="15.75" thickBot="1" x14ac:dyDescent="0.3">
      <c r="A681" s="13"/>
      <c r="B681" s="88" t="s">
        <v>3131</v>
      </c>
      <c r="C681" s="13" t="s">
        <v>1138</v>
      </c>
      <c r="D681" s="13" t="s">
        <v>66</v>
      </c>
      <c r="E681" s="13" t="s">
        <v>59</v>
      </c>
      <c r="F681" s="109">
        <v>42629</v>
      </c>
      <c r="G681" s="13" t="s">
        <v>1139</v>
      </c>
      <c r="H681" s="13" t="s">
        <v>1140</v>
      </c>
      <c r="I681" s="110" t="e">
        <v>#N/A</v>
      </c>
      <c r="J681" s="13" t="s">
        <v>214</v>
      </c>
      <c r="K681" s="13"/>
    </row>
    <row r="682" spans="1:11" ht="15.75" thickBot="1" x14ac:dyDescent="0.3">
      <c r="A682" s="13"/>
      <c r="B682" s="87" t="s">
        <v>3132</v>
      </c>
      <c r="C682" s="13" t="s">
        <v>1143</v>
      </c>
      <c r="D682" s="13" t="s">
        <v>66</v>
      </c>
      <c r="E682" s="13" t="s">
        <v>59</v>
      </c>
      <c r="F682" s="109">
        <v>42334</v>
      </c>
      <c r="G682" s="13" t="s">
        <v>1144</v>
      </c>
      <c r="H682" s="13" t="s">
        <v>1145</v>
      </c>
      <c r="I682" s="110" t="e">
        <v>#N/A</v>
      </c>
      <c r="J682" s="13" t="s">
        <v>214</v>
      </c>
      <c r="K682" s="13"/>
    </row>
    <row r="683" spans="1:11" ht="15.75" thickBot="1" x14ac:dyDescent="0.3">
      <c r="A683" s="13"/>
      <c r="B683" s="88" t="s">
        <v>3133</v>
      </c>
      <c r="C683" s="13" t="s">
        <v>1143</v>
      </c>
      <c r="D683" s="13" t="s">
        <v>66</v>
      </c>
      <c r="E683" s="13" t="s">
        <v>59</v>
      </c>
      <c r="F683" s="109">
        <v>42334</v>
      </c>
      <c r="G683" s="13" t="s">
        <v>1144</v>
      </c>
      <c r="H683" s="13" t="s">
        <v>1145</v>
      </c>
      <c r="I683" s="110" t="e">
        <v>#N/A</v>
      </c>
      <c r="J683" s="13" t="s">
        <v>214</v>
      </c>
      <c r="K683" s="13"/>
    </row>
    <row r="684" spans="1:11" ht="15.75" thickBot="1" x14ac:dyDescent="0.3">
      <c r="A684" s="13"/>
      <c r="B684" s="87" t="s">
        <v>3140</v>
      </c>
      <c r="C684" s="13" t="s">
        <v>1428</v>
      </c>
      <c r="D684" s="13" t="s">
        <v>2</v>
      </c>
      <c r="E684" s="13" t="s">
        <v>59</v>
      </c>
      <c r="F684" s="109">
        <v>42531</v>
      </c>
      <c r="G684" s="13" t="s">
        <v>1429</v>
      </c>
      <c r="H684" s="13" t="s">
        <v>1430</v>
      </c>
      <c r="I684" s="110" t="e">
        <v>#N/A</v>
      </c>
      <c r="J684" s="13" t="s">
        <v>214</v>
      </c>
      <c r="K684" s="13"/>
    </row>
    <row r="685" spans="1:11" ht="15.75" thickBot="1" x14ac:dyDescent="0.3">
      <c r="A685" s="13"/>
      <c r="B685" s="88" t="s">
        <v>3134</v>
      </c>
      <c r="C685" s="13" t="s">
        <v>1182</v>
      </c>
      <c r="D685" s="13" t="s">
        <v>66</v>
      </c>
      <c r="E685" s="13" t="s">
        <v>28</v>
      </c>
      <c r="F685" s="109">
        <v>42069</v>
      </c>
      <c r="G685" s="13" t="s">
        <v>1183</v>
      </c>
      <c r="H685" s="13" t="s">
        <v>1184</v>
      </c>
      <c r="I685" s="110" t="e">
        <v>#N/A</v>
      </c>
      <c r="J685" s="13" t="s">
        <v>1181</v>
      </c>
      <c r="K685" s="13"/>
    </row>
    <row r="686" spans="1:11" ht="15.75" thickBot="1" x14ac:dyDescent="0.3">
      <c r="A686" s="13"/>
      <c r="B686" s="87" t="s">
        <v>326</v>
      </c>
      <c r="C686" s="13" t="s">
        <v>327</v>
      </c>
      <c r="D686" s="13" t="s">
        <v>66</v>
      </c>
      <c r="E686" s="13" t="s">
        <v>328</v>
      </c>
      <c r="F686" s="109">
        <v>40488</v>
      </c>
      <c r="G686" s="13" t="s">
        <v>329</v>
      </c>
      <c r="H686" s="13" t="s">
        <v>330</v>
      </c>
      <c r="I686" s="13" t="s">
        <v>331</v>
      </c>
      <c r="J686" s="13" t="s">
        <v>332</v>
      </c>
      <c r="K686" s="13"/>
    </row>
    <row r="687" spans="1:11" ht="15.75" thickBot="1" x14ac:dyDescent="0.3">
      <c r="A687" s="13"/>
      <c r="B687" s="88" t="s">
        <v>57</v>
      </c>
      <c r="C687" s="13" t="s">
        <v>58</v>
      </c>
      <c r="D687" s="13" t="s">
        <v>2</v>
      </c>
      <c r="E687" s="13" t="s">
        <v>59</v>
      </c>
      <c r="F687" s="109">
        <v>41853</v>
      </c>
      <c r="G687" s="13" t="s">
        <v>60</v>
      </c>
      <c r="H687" s="13" t="s">
        <v>61</v>
      </c>
      <c r="I687" s="13" t="s">
        <v>62</v>
      </c>
      <c r="J687" s="13" t="s">
        <v>63</v>
      </c>
      <c r="K687" s="13"/>
    </row>
    <row r="688" spans="1:11" ht="15.75" thickBot="1" x14ac:dyDescent="0.3">
      <c r="A688" s="13"/>
      <c r="B688" s="87" t="s">
        <v>64</v>
      </c>
      <c r="C688" s="13" t="s">
        <v>65</v>
      </c>
      <c r="D688" s="13" t="s">
        <v>66</v>
      </c>
      <c r="E688" s="13" t="s">
        <v>10</v>
      </c>
      <c r="F688" s="109">
        <v>41787</v>
      </c>
      <c r="G688" s="13" t="s">
        <v>67</v>
      </c>
      <c r="H688" s="13" t="s">
        <v>68</v>
      </c>
      <c r="I688" s="13" t="s">
        <v>69</v>
      </c>
      <c r="J688" s="13" t="s">
        <v>63</v>
      </c>
      <c r="K688" s="13"/>
    </row>
    <row r="689" spans="1:11" ht="15.75" thickBot="1" x14ac:dyDescent="0.3">
      <c r="A689" s="13"/>
      <c r="B689" s="88" t="s">
        <v>70</v>
      </c>
      <c r="C689" s="13" t="s">
        <v>71</v>
      </c>
      <c r="D689" s="13" t="s">
        <v>66</v>
      </c>
      <c r="E689" s="13" t="s">
        <v>59</v>
      </c>
      <c r="F689" s="109">
        <v>42271</v>
      </c>
      <c r="G689" s="13" t="s">
        <v>72</v>
      </c>
      <c r="H689" s="13" t="s">
        <v>73</v>
      </c>
      <c r="I689" s="13" t="s">
        <v>74</v>
      </c>
      <c r="J689" s="13" t="s">
        <v>63</v>
      </c>
      <c r="K689" s="13"/>
    </row>
    <row r="690" spans="1:11" ht="15.75" thickBot="1" x14ac:dyDescent="0.3">
      <c r="A690" s="13"/>
      <c r="B690" s="87" t="s">
        <v>75</v>
      </c>
      <c r="C690" s="13" t="s">
        <v>76</v>
      </c>
      <c r="D690" s="13" t="s">
        <v>66</v>
      </c>
      <c r="E690" s="13" t="s">
        <v>59</v>
      </c>
      <c r="F690" s="109">
        <v>42339</v>
      </c>
      <c r="G690" s="13" t="s">
        <v>77</v>
      </c>
      <c r="H690" s="13" t="s">
        <v>78</v>
      </c>
      <c r="I690" s="13" t="s">
        <v>79</v>
      </c>
      <c r="J690" s="13" t="s">
        <v>63</v>
      </c>
      <c r="K690" s="13"/>
    </row>
    <row r="691" spans="1:11" ht="15.75" thickBot="1" x14ac:dyDescent="0.3">
      <c r="A691" s="13"/>
      <c r="B691" s="88" t="s">
        <v>80</v>
      </c>
      <c r="C691" s="13" t="s">
        <v>81</v>
      </c>
      <c r="D691" s="13" t="s">
        <v>2</v>
      </c>
      <c r="E691" s="13" t="s">
        <v>10</v>
      </c>
      <c r="F691" s="109">
        <v>40717</v>
      </c>
      <c r="G691" s="13" t="s">
        <v>82</v>
      </c>
      <c r="H691" s="13" t="s">
        <v>83</v>
      </c>
      <c r="I691" s="13" t="s">
        <v>84</v>
      </c>
      <c r="J691" s="13" t="s">
        <v>63</v>
      </c>
      <c r="K691" s="13"/>
    </row>
    <row r="692" spans="1:11" ht="15.75" thickBot="1" x14ac:dyDescent="0.3">
      <c r="A692" s="13"/>
      <c r="B692" s="87" t="s">
        <v>85</v>
      </c>
      <c r="C692" s="13" t="s">
        <v>86</v>
      </c>
      <c r="D692" s="13" t="s">
        <v>66</v>
      </c>
      <c r="E692" s="13" t="s">
        <v>87</v>
      </c>
      <c r="F692" s="109">
        <v>41091</v>
      </c>
      <c r="G692" s="13" t="s">
        <v>88</v>
      </c>
      <c r="H692" s="13" t="s">
        <v>89</v>
      </c>
      <c r="I692" s="13" t="s">
        <v>90</v>
      </c>
      <c r="J692" s="13" t="s">
        <v>63</v>
      </c>
      <c r="K692" s="13"/>
    </row>
    <row r="693" spans="1:11" ht="15.75" thickBot="1" x14ac:dyDescent="0.3">
      <c r="A693" s="13"/>
      <c r="B693" s="88" t="s">
        <v>0</v>
      </c>
      <c r="C693" s="13" t="s">
        <v>1</v>
      </c>
      <c r="D693" s="13" t="s">
        <v>2</v>
      </c>
      <c r="E693" s="13" t="s">
        <v>3</v>
      </c>
      <c r="F693" s="109">
        <v>40885</v>
      </c>
      <c r="G693" s="13" t="s">
        <v>4</v>
      </c>
      <c r="H693" s="13" t="s">
        <v>5</v>
      </c>
      <c r="I693" s="13" t="s">
        <v>6</v>
      </c>
      <c r="J693" s="13" t="s">
        <v>7</v>
      </c>
      <c r="K693" s="13"/>
    </row>
    <row r="694" spans="1:11" ht="15.75" thickBot="1" x14ac:dyDescent="0.3">
      <c r="A694" s="13"/>
      <c r="B694" s="87" t="s">
        <v>1996</v>
      </c>
      <c r="C694" s="13" t="s">
        <v>1228</v>
      </c>
      <c r="D694" s="13" t="s">
        <v>66</v>
      </c>
      <c r="E694" s="13" t="s">
        <v>10</v>
      </c>
      <c r="F694" s="109">
        <v>45937</v>
      </c>
      <c r="G694" s="13" t="s">
        <v>1987</v>
      </c>
      <c r="H694" s="13" t="s">
        <v>1988</v>
      </c>
      <c r="I694" s="13" t="s">
        <v>3167</v>
      </c>
      <c r="J694" s="13" t="s">
        <v>1993</v>
      </c>
      <c r="K694" s="13"/>
    </row>
    <row r="695" spans="1:11" ht="15.75" thickBot="1" x14ac:dyDescent="0.3">
      <c r="A695" s="13"/>
      <c r="B695" s="88" t="s">
        <v>3016</v>
      </c>
      <c r="C695" s="13" t="s">
        <v>3323</v>
      </c>
      <c r="D695" s="13" t="s">
        <v>2</v>
      </c>
      <c r="E695" s="13" t="s">
        <v>10</v>
      </c>
      <c r="F695" s="109">
        <v>42868</v>
      </c>
      <c r="G695" s="13" t="s">
        <v>3324</v>
      </c>
      <c r="H695" s="13" t="s">
        <v>3325</v>
      </c>
      <c r="I695" s="13" t="s">
        <v>3326</v>
      </c>
      <c r="J695" s="13" t="s">
        <v>490</v>
      </c>
      <c r="K695" s="13"/>
    </row>
  </sheetData>
  <conditionalFormatting sqref="B1:B1048576">
    <cfRule type="duplicateValues" dxfId="2" priority="1"/>
  </conditionalFormatting>
  <pageMargins left="0.7" right="0.7" top="0.75" bottom="0.75" header="0.3" footer="0.3"/>
  <pageSetup paperSize="1000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9321-33E5-40A2-984C-F3E3D353745C}">
  <sheetPr filterMode="1"/>
  <dimension ref="A1:Z469"/>
  <sheetViews>
    <sheetView topLeftCell="J406" workbookViewId="0">
      <selection activeCell="J448" sqref="J448"/>
    </sheetView>
  </sheetViews>
  <sheetFormatPr defaultRowHeight="15" x14ac:dyDescent="0.25"/>
  <cols>
    <col min="1" max="1" width="20" hidden="1" customWidth="1"/>
    <col min="2" max="2" width="11.140625" hidden="1" customWidth="1"/>
    <col min="3" max="3" width="55.140625" hidden="1" customWidth="1"/>
    <col min="4" max="4" width="37" hidden="1" customWidth="1"/>
    <col min="5" max="5" width="41.85546875" hidden="1" customWidth="1"/>
    <col min="6" max="6" width="12" hidden="1" customWidth="1"/>
    <col min="7" max="7" width="32.42578125" hidden="1" customWidth="1"/>
    <col min="8" max="8" width="28.7109375" hidden="1" customWidth="1"/>
    <col min="9" max="9" width="13.28515625" hidden="1" customWidth="1"/>
    <col min="10" max="10" width="52.5703125" customWidth="1"/>
    <col min="11" max="11" width="36.7109375" hidden="1" customWidth="1"/>
    <col min="12" max="12" width="14.85546875" hidden="1" customWidth="1"/>
    <col min="13" max="13" width="90.140625" hidden="1" customWidth="1"/>
    <col min="14" max="14" width="9.140625" hidden="1" customWidth="1"/>
    <col min="15" max="15" width="15.28515625" customWidth="1"/>
    <col min="16" max="16" width="39" customWidth="1"/>
    <col min="17" max="17" width="19.85546875" bestFit="1" customWidth="1"/>
    <col min="18" max="18" width="9.140625" hidden="1" customWidth="1"/>
    <col min="19" max="19" width="10.7109375" hidden="1" customWidth="1"/>
    <col min="20" max="26" width="9.140625" hidden="1" customWidth="1"/>
  </cols>
  <sheetData>
    <row r="1" spans="1:26" ht="15.75" thickBot="1" x14ac:dyDescent="0.3">
      <c r="A1" s="45" t="s">
        <v>3004</v>
      </c>
      <c r="B1" s="46" t="s">
        <v>3005</v>
      </c>
      <c r="C1" s="46" t="s">
        <v>3006</v>
      </c>
      <c r="D1" s="46" t="s">
        <v>3007</v>
      </c>
      <c r="E1" s="46" t="s">
        <v>228</v>
      </c>
      <c r="F1" s="46" t="s">
        <v>903</v>
      </c>
      <c r="G1" s="46" t="s">
        <v>3008</v>
      </c>
      <c r="H1" s="46" t="s">
        <v>3009</v>
      </c>
      <c r="I1" s="46" t="s">
        <v>3010</v>
      </c>
      <c r="J1" s="46" t="s">
        <v>3011</v>
      </c>
      <c r="K1" s="46" t="s">
        <v>3012</v>
      </c>
      <c r="L1" s="46" t="s">
        <v>3013</v>
      </c>
      <c r="M1" s="47" t="s">
        <v>3014</v>
      </c>
      <c r="N1" s="13" t="s">
        <v>3153</v>
      </c>
      <c r="O1" s="86" t="s">
        <v>3154</v>
      </c>
      <c r="P1" s="13" t="s">
        <v>3155</v>
      </c>
      <c r="Q1" s="13" t="s">
        <v>3156</v>
      </c>
      <c r="R1" s="13" t="s">
        <v>3157</v>
      </c>
      <c r="S1" s="13" t="s">
        <v>3158</v>
      </c>
      <c r="T1" s="13" t="s">
        <v>3159</v>
      </c>
      <c r="U1" s="13" t="s">
        <v>3160</v>
      </c>
      <c r="V1" s="13" t="s">
        <v>3161</v>
      </c>
      <c r="W1" s="13" t="s">
        <v>3162</v>
      </c>
      <c r="X1" s="13" t="s">
        <v>3163</v>
      </c>
      <c r="Y1" s="13" t="s">
        <v>3164</v>
      </c>
      <c r="Z1" s="13" t="s">
        <v>3165</v>
      </c>
    </row>
    <row r="2" spans="1:26" ht="15.75" hidden="1" thickBot="1" x14ac:dyDescent="0.3">
      <c r="A2" s="48">
        <v>45999.311712962961</v>
      </c>
      <c r="B2" s="51" t="s">
        <v>953</v>
      </c>
      <c r="C2" s="51" t="s">
        <v>289</v>
      </c>
      <c r="D2" s="51" t="s">
        <v>285</v>
      </c>
      <c r="E2" s="51" t="s">
        <v>28</v>
      </c>
      <c r="F2" s="55">
        <v>41826</v>
      </c>
      <c r="G2" s="51" t="s">
        <v>286</v>
      </c>
      <c r="H2" s="51" t="s">
        <v>287</v>
      </c>
      <c r="I2" s="51" t="s">
        <v>2</v>
      </c>
      <c r="J2" s="58" t="s">
        <v>1172</v>
      </c>
      <c r="K2" s="51" t="s">
        <v>1173</v>
      </c>
      <c r="L2" s="76" t="s">
        <v>284</v>
      </c>
      <c r="M2" s="61" t="s">
        <v>1174</v>
      </c>
      <c r="N2">
        <v>228</v>
      </c>
      <c r="O2" t="str">
        <f>L2</f>
        <v>EBTAQ25-03.009</v>
      </c>
      <c r="P2" t="str">
        <f>D2</f>
        <v>ALFIAH JULIANTI</v>
      </c>
      <c r="Q2" t="str">
        <f>I2</f>
        <v>Perempuan</v>
      </c>
      <c r="R2" t="str">
        <f>E2</f>
        <v>DEMAK</v>
      </c>
      <c r="S2" s="21">
        <f>F2</f>
        <v>41826</v>
      </c>
      <c r="T2" t="str">
        <f>G2</f>
        <v>ACHSANU ROHIM</v>
      </c>
      <c r="U2" t="str">
        <f>H2</f>
        <v>DEWI KHUSAEMAH</v>
      </c>
      <c r="V2" t="str">
        <f>VLOOKUP(O2,Lembar1!$A$4:$H$457,8,FALSE)</f>
        <v>BIO_Images/EBTAQ25-03.009.jpg</v>
      </c>
      <c r="W2" t="str">
        <f>IFERROR(VLOOKUP(O2,Lembar1!$A$4:$I$457,9,FALSE),C2)</f>
        <v>BMW - Al Khoiriyah</v>
      </c>
    </row>
    <row r="3" spans="1:26" ht="15.75" hidden="1" thickBot="1" x14ac:dyDescent="0.3">
      <c r="A3" s="49">
        <v>45999.319699074076</v>
      </c>
      <c r="B3" s="52" t="s">
        <v>953</v>
      </c>
      <c r="C3" s="52" t="s">
        <v>289</v>
      </c>
      <c r="D3" s="52" t="s">
        <v>291</v>
      </c>
      <c r="E3" s="52" t="s">
        <v>28</v>
      </c>
      <c r="F3" s="56">
        <v>41995</v>
      </c>
      <c r="G3" s="52" t="s">
        <v>292</v>
      </c>
      <c r="H3" s="52" t="s">
        <v>293</v>
      </c>
      <c r="I3" s="52" t="s">
        <v>2</v>
      </c>
      <c r="J3" s="59" t="s">
        <v>1175</v>
      </c>
      <c r="K3" s="52" t="s">
        <v>1176</v>
      </c>
      <c r="L3" s="77" t="s">
        <v>290</v>
      </c>
      <c r="M3" s="37" t="s">
        <v>1177</v>
      </c>
      <c r="N3">
        <v>229</v>
      </c>
      <c r="O3" t="str">
        <f t="shared" ref="O3:O43" si="0">L3</f>
        <v>EBTAQ25-03.010</v>
      </c>
      <c r="P3" t="str">
        <f t="shared" ref="P3:P43" si="1">D3</f>
        <v>NUFIKHO SOFARA KHOIRIYAH</v>
      </c>
      <c r="Q3" t="str">
        <f t="shared" ref="Q3:Q43" si="2">I3</f>
        <v>Perempuan</v>
      </c>
      <c r="R3" t="str">
        <f t="shared" ref="R3:R43" si="3">E3</f>
        <v>DEMAK</v>
      </c>
      <c r="S3" s="21">
        <f t="shared" ref="S3:S43" si="4">F3</f>
        <v>41995</v>
      </c>
      <c r="T3" t="str">
        <f t="shared" ref="T3:T43" si="5">G3</f>
        <v>ACHMAD SIFULFAZI</v>
      </c>
      <c r="U3" t="str">
        <f t="shared" ref="U3:U43" si="6">H3</f>
        <v>LAIKHATUN</v>
      </c>
      <c r="V3" t="str">
        <f>VLOOKUP(O3,Lembar1!$A$4:$H$457,8,FALSE)</f>
        <v>BIO_Images/EBTAQ25-03.010.jpg</v>
      </c>
      <c r="W3" t="str">
        <f>IFERROR(VLOOKUP(O3,Lembar1!$A$4:$I$457,9,FALSE),C3)</f>
        <v>BMW - Al Khoiriyah</v>
      </c>
    </row>
    <row r="4" spans="1:26" ht="15.75" hidden="1" thickBot="1" x14ac:dyDescent="0.3">
      <c r="A4" s="50">
        <v>46000.721689814818</v>
      </c>
      <c r="B4" s="53" t="s">
        <v>953</v>
      </c>
      <c r="C4" s="53" t="s">
        <v>753</v>
      </c>
      <c r="D4" s="53" t="s">
        <v>749</v>
      </c>
      <c r="E4" s="53" t="s">
        <v>28</v>
      </c>
      <c r="F4" s="57">
        <v>42478</v>
      </c>
      <c r="G4" s="53" t="s">
        <v>750</v>
      </c>
      <c r="H4" s="53" t="s">
        <v>751</v>
      </c>
      <c r="I4" s="53" t="s">
        <v>66</v>
      </c>
      <c r="J4" s="60" t="s">
        <v>1750</v>
      </c>
      <c r="K4" s="53" t="s">
        <v>1751</v>
      </c>
      <c r="L4" s="78" t="s">
        <v>748</v>
      </c>
      <c r="M4" s="32" t="s">
        <v>1752</v>
      </c>
      <c r="N4">
        <v>230</v>
      </c>
      <c r="O4" t="str">
        <f t="shared" si="0"/>
        <v>EBTAQ25-03.043</v>
      </c>
      <c r="P4" t="str">
        <f t="shared" si="1"/>
        <v>AZRIL RASYA ABQORY</v>
      </c>
      <c r="Q4" t="str">
        <f t="shared" si="2"/>
        <v>Laki-laki</v>
      </c>
      <c r="R4" t="str">
        <f t="shared" si="3"/>
        <v>DEMAK</v>
      </c>
      <c r="S4" s="21">
        <f t="shared" si="4"/>
        <v>42478</v>
      </c>
      <c r="T4" t="str">
        <f t="shared" si="5"/>
        <v>AHMAD SUPRAPTO</v>
      </c>
      <c r="U4" t="str">
        <f t="shared" si="6"/>
        <v>DURROTUN NI'MAH</v>
      </c>
      <c r="V4" t="str">
        <f>VLOOKUP(O4,Lembar1!$A$4:$H$457,8,FALSE)</f>
        <v>BIO_Images/EBTAQ25-03.043.jpg</v>
      </c>
      <c r="W4" t="str">
        <f>IFERROR(VLOOKUP(O4,Lembar1!$A$4:$I$457,9,FALSE),C4)</f>
        <v>BMW - As-Sa'idiyyah</v>
      </c>
    </row>
    <row r="5" spans="1:26" ht="15.75" hidden="1" thickBot="1" x14ac:dyDescent="0.3">
      <c r="A5" s="49">
        <v>46001.703472222223</v>
      </c>
      <c r="B5" s="52" t="s">
        <v>953</v>
      </c>
      <c r="C5" s="52" t="s">
        <v>753</v>
      </c>
      <c r="D5" s="52" t="s">
        <v>2615</v>
      </c>
      <c r="E5" s="52" t="s">
        <v>28</v>
      </c>
      <c r="F5" s="56">
        <v>41758</v>
      </c>
      <c r="G5" s="52" t="s">
        <v>2616</v>
      </c>
      <c r="H5" s="52" t="s">
        <v>2617</v>
      </c>
      <c r="I5" s="52" t="s">
        <v>66</v>
      </c>
      <c r="J5" s="59" t="s">
        <v>2618</v>
      </c>
      <c r="K5" s="52" t="s">
        <v>2619</v>
      </c>
      <c r="L5" s="77" t="s">
        <v>2620</v>
      </c>
      <c r="M5" s="37" t="s">
        <v>2621</v>
      </c>
      <c r="N5">
        <v>231</v>
      </c>
      <c r="O5" t="str">
        <f t="shared" si="0"/>
        <v>EBTAQ25-03.071</v>
      </c>
      <c r="P5" t="str">
        <f t="shared" si="1"/>
        <v>MUHAMMAD FAHMI AMMAR</v>
      </c>
      <c r="Q5" t="str">
        <f t="shared" si="2"/>
        <v>Laki-laki</v>
      </c>
      <c r="R5" t="str">
        <f t="shared" si="3"/>
        <v>DEMAK</v>
      </c>
      <c r="S5" s="21">
        <f t="shared" si="4"/>
        <v>41758</v>
      </c>
      <c r="T5" t="str">
        <f t="shared" si="5"/>
        <v>ABU HASAN</v>
      </c>
      <c r="U5" t="str">
        <f t="shared" si="6"/>
        <v>MUYASAROH</v>
      </c>
      <c r="V5" t="str">
        <f>VLOOKUP(O5,Lembar1!$A$4:$H$457,8,FALSE)</f>
        <v>BIO_Images/EBTAQ25-03.071.jpg</v>
      </c>
      <c r="W5" t="str">
        <f>IFERROR(VLOOKUP(O5,Lembar1!$A$4:$I$457,9,FALSE),C5)</f>
        <v>BMW - As-Sa'idiyyah</v>
      </c>
    </row>
    <row r="6" spans="1:26" ht="15.75" hidden="1" thickBot="1" x14ac:dyDescent="0.3">
      <c r="A6" s="33">
        <v>46001.70952546296</v>
      </c>
      <c r="B6" s="34" t="s">
        <v>953</v>
      </c>
      <c r="C6" s="34" t="s">
        <v>753</v>
      </c>
      <c r="D6" s="34" t="s">
        <v>2638</v>
      </c>
      <c r="E6" s="34" t="s">
        <v>28</v>
      </c>
      <c r="F6" s="35">
        <v>42047</v>
      </c>
      <c r="G6" s="34" t="s">
        <v>2639</v>
      </c>
      <c r="H6" s="34" t="s">
        <v>2640</v>
      </c>
      <c r="I6" s="34" t="s">
        <v>66</v>
      </c>
      <c r="J6" s="36" t="s">
        <v>2641</v>
      </c>
      <c r="K6" s="34" t="s">
        <v>1751</v>
      </c>
      <c r="L6" s="78" t="s">
        <v>2642</v>
      </c>
      <c r="M6" s="37" t="s">
        <v>2643</v>
      </c>
      <c r="N6">
        <v>232</v>
      </c>
      <c r="O6" t="str">
        <f t="shared" si="0"/>
        <v>EBTAQ25-03.072</v>
      </c>
      <c r="P6" t="str">
        <f t="shared" si="1"/>
        <v>AHMAD FERI AKBAR</v>
      </c>
      <c r="Q6" t="str">
        <f t="shared" si="2"/>
        <v>Laki-laki</v>
      </c>
      <c r="R6" t="str">
        <f t="shared" si="3"/>
        <v>DEMAK</v>
      </c>
      <c r="S6" s="21">
        <f t="shared" si="4"/>
        <v>42047</v>
      </c>
      <c r="T6" t="str">
        <f t="shared" si="5"/>
        <v>NUR ROCHIM</v>
      </c>
      <c r="U6" t="str">
        <f t="shared" si="6"/>
        <v>FARIDHOTUL CHASANAH</v>
      </c>
      <c r="V6" t="str">
        <f>VLOOKUP(O6,Lembar1!$A$4:$H$457,8,FALSE)</f>
        <v>BIO_Images/EBTAQ25-03.072.jpg</v>
      </c>
      <c r="W6" t="str">
        <f>IFERROR(VLOOKUP(O6,Lembar1!$A$4:$I$457,9,FALSE),C6)</f>
        <v>BMW - As-Sa'idiyyah</v>
      </c>
    </row>
    <row r="7" spans="1:26" ht="15.75" hidden="1" thickBot="1" x14ac:dyDescent="0.3">
      <c r="A7" s="49">
        <v>46001.722048611111</v>
      </c>
      <c r="B7" s="52" t="s">
        <v>953</v>
      </c>
      <c r="C7" s="52" t="s">
        <v>753</v>
      </c>
      <c r="D7" s="52" t="s">
        <v>2675</v>
      </c>
      <c r="E7" s="52" t="s">
        <v>28</v>
      </c>
      <c r="F7" s="56">
        <v>41991</v>
      </c>
      <c r="G7" s="52" t="s">
        <v>2676</v>
      </c>
      <c r="H7" s="52" t="s">
        <v>2677</v>
      </c>
      <c r="I7" s="52" t="s">
        <v>2</v>
      </c>
      <c r="J7" s="59" t="s">
        <v>2678</v>
      </c>
      <c r="K7" s="52" t="s">
        <v>2619</v>
      </c>
      <c r="L7" s="77" t="s">
        <v>2679</v>
      </c>
      <c r="M7" s="37" t="s">
        <v>2680</v>
      </c>
      <c r="N7">
        <v>233</v>
      </c>
      <c r="O7" t="str">
        <f t="shared" si="0"/>
        <v>EBTAQ25-03.074</v>
      </c>
      <c r="P7" t="str">
        <f t="shared" si="1"/>
        <v>BILQIS FAIHA RIFDA</v>
      </c>
      <c r="Q7" t="str">
        <f t="shared" si="2"/>
        <v>Perempuan</v>
      </c>
      <c r="R7" t="str">
        <f t="shared" si="3"/>
        <v>DEMAK</v>
      </c>
      <c r="S7" s="21">
        <f t="shared" si="4"/>
        <v>41991</v>
      </c>
      <c r="T7" t="str">
        <f t="shared" si="5"/>
        <v>MUSRIAN</v>
      </c>
      <c r="U7" t="str">
        <f t="shared" si="6"/>
        <v>SUYATI</v>
      </c>
      <c r="V7" t="str">
        <f>VLOOKUP(O7,Lembar1!$A$4:$H$457,8,FALSE)</f>
        <v>BIO_Images/EBTAQ25-03.074.jpg</v>
      </c>
      <c r="W7" t="str">
        <f>IFERROR(VLOOKUP(O7,Lembar1!$A$4:$I$457,9,FALSE),C7)</f>
        <v>BMW - As-Sa'idiyyah</v>
      </c>
    </row>
    <row r="8" spans="1:26" ht="15.75" hidden="1" thickBot="1" x14ac:dyDescent="0.3">
      <c r="A8" s="50">
        <v>46001.731550925928</v>
      </c>
      <c r="B8" s="53" t="s">
        <v>953</v>
      </c>
      <c r="C8" s="53" t="s">
        <v>753</v>
      </c>
      <c r="D8" s="53" t="s">
        <v>2718</v>
      </c>
      <c r="E8" s="53" t="s">
        <v>28</v>
      </c>
      <c r="F8" s="57">
        <v>41868</v>
      </c>
      <c r="G8" s="53" t="s">
        <v>2719</v>
      </c>
      <c r="H8" s="53" t="s">
        <v>2720</v>
      </c>
      <c r="I8" s="53" t="s">
        <v>2</v>
      </c>
      <c r="J8" s="60" t="s">
        <v>2721</v>
      </c>
      <c r="K8" s="53" t="s">
        <v>1751</v>
      </c>
      <c r="L8" s="78" t="s">
        <v>2722</v>
      </c>
      <c r="M8" s="32" t="s">
        <v>2723</v>
      </c>
      <c r="N8">
        <v>234</v>
      </c>
      <c r="O8" t="str">
        <f t="shared" si="0"/>
        <v>EBTAQ25-03.075</v>
      </c>
      <c r="P8" t="str">
        <f t="shared" si="1"/>
        <v>FARISYA FINATUL AGUSTINA</v>
      </c>
      <c r="Q8" t="str">
        <f t="shared" si="2"/>
        <v>Perempuan</v>
      </c>
      <c r="R8" t="str">
        <f t="shared" si="3"/>
        <v>DEMAK</v>
      </c>
      <c r="S8" s="21">
        <f t="shared" si="4"/>
        <v>41868</v>
      </c>
      <c r="T8" t="str">
        <f t="shared" si="5"/>
        <v>MUHAMMAD ARIS</v>
      </c>
      <c r="U8" t="str">
        <f t="shared" si="6"/>
        <v>NAFISSATUN NAJIKHAH</v>
      </c>
      <c r="V8" t="str">
        <f>VLOOKUP(O8,Lembar1!$A$4:$H$457,8,FALSE)</f>
        <v>BIO_Images/EBTAQ25-03.075.jpg</v>
      </c>
      <c r="W8" t="str">
        <f>IFERROR(VLOOKUP(O8,Lembar1!$A$4:$I$457,9,FALSE),C8)</f>
        <v>BMW - As-Sa'idiyyah</v>
      </c>
    </row>
    <row r="9" spans="1:26" ht="15.75" hidden="1" thickBot="1" x14ac:dyDescent="0.3">
      <c r="A9" s="49">
        <v>46001.738969907405</v>
      </c>
      <c r="B9" s="52" t="s">
        <v>953</v>
      </c>
      <c r="C9" s="52" t="s">
        <v>753</v>
      </c>
      <c r="D9" s="52" t="s">
        <v>2753</v>
      </c>
      <c r="E9" s="52" t="s">
        <v>28</v>
      </c>
      <c r="F9" s="56">
        <v>41913</v>
      </c>
      <c r="G9" s="52" t="s">
        <v>2754</v>
      </c>
      <c r="H9" s="52" t="s">
        <v>2755</v>
      </c>
      <c r="I9" s="52" t="s">
        <v>2</v>
      </c>
      <c r="J9" s="59" t="s">
        <v>2756</v>
      </c>
      <c r="K9" s="52" t="s">
        <v>2619</v>
      </c>
      <c r="L9" s="77" t="s">
        <v>2757</v>
      </c>
      <c r="M9" s="37" t="s">
        <v>2758</v>
      </c>
      <c r="N9">
        <v>235</v>
      </c>
      <c r="O9" t="str">
        <f t="shared" si="0"/>
        <v>EBTAQ25-03.076</v>
      </c>
      <c r="P9" t="str">
        <f t="shared" si="1"/>
        <v>INAYATUR ROHMAH</v>
      </c>
      <c r="Q9" t="str">
        <f t="shared" si="2"/>
        <v>Perempuan</v>
      </c>
      <c r="R9" t="str">
        <f t="shared" si="3"/>
        <v>DEMAK</v>
      </c>
      <c r="S9" s="21">
        <f t="shared" si="4"/>
        <v>41913</v>
      </c>
      <c r="T9" t="str">
        <f t="shared" si="5"/>
        <v>HASAN BISRI</v>
      </c>
      <c r="U9" t="str">
        <f t="shared" si="6"/>
        <v>NUR FAIZAH</v>
      </c>
      <c r="V9" t="str">
        <f>VLOOKUP(O9,Lembar1!$A$4:$H$457,8,FALSE)</f>
        <v>BIO_Images/EBTAQ25-03.076.jpg</v>
      </c>
      <c r="W9" t="str">
        <f>IFERROR(VLOOKUP(O9,Lembar1!$A$4:$I$457,9,FALSE),C9)</f>
        <v>BMW - As-Sa'idiyyah</v>
      </c>
    </row>
    <row r="10" spans="1:26" ht="15.75" hidden="1" thickBot="1" x14ac:dyDescent="0.3">
      <c r="A10" s="33">
        <v>46001.746759259258</v>
      </c>
      <c r="B10" s="34" t="s">
        <v>953</v>
      </c>
      <c r="C10" s="34" t="s">
        <v>753</v>
      </c>
      <c r="D10" s="34" t="s">
        <v>2789</v>
      </c>
      <c r="E10" s="34" t="s">
        <v>28</v>
      </c>
      <c r="F10" s="35">
        <v>41909</v>
      </c>
      <c r="G10" s="34" t="s">
        <v>2790</v>
      </c>
      <c r="H10" s="34" t="s">
        <v>2791</v>
      </c>
      <c r="I10" s="34" t="s">
        <v>2</v>
      </c>
      <c r="J10" s="36" t="s">
        <v>2792</v>
      </c>
      <c r="K10" s="34" t="s">
        <v>2619</v>
      </c>
      <c r="L10" s="78" t="s">
        <v>2793</v>
      </c>
      <c r="M10" s="37" t="s">
        <v>2794</v>
      </c>
      <c r="N10">
        <v>236</v>
      </c>
      <c r="O10" t="str">
        <f t="shared" si="0"/>
        <v>EBTAQ25-03.078</v>
      </c>
      <c r="P10" t="str">
        <f t="shared" si="1"/>
        <v>KIRANA 'AROFATUSYALISAH</v>
      </c>
      <c r="Q10" t="str">
        <f t="shared" si="2"/>
        <v>Perempuan</v>
      </c>
      <c r="R10" t="str">
        <f t="shared" si="3"/>
        <v>DEMAK</v>
      </c>
      <c r="S10" s="21">
        <f t="shared" si="4"/>
        <v>41909</v>
      </c>
      <c r="T10" t="str">
        <f t="shared" si="5"/>
        <v>MUAYADI</v>
      </c>
      <c r="U10" t="str">
        <f t="shared" si="6"/>
        <v>MUDAYANAH</v>
      </c>
      <c r="V10" t="str">
        <f>VLOOKUP(O10,Lembar1!$A$4:$H$457,8,FALSE)</f>
        <v>BIO_Images/EBTAQ25-03.078.jpg</v>
      </c>
      <c r="W10" t="str">
        <f>IFERROR(VLOOKUP(O10,Lembar1!$A$4:$I$457,9,FALSE),C10)</f>
        <v>BMW - As-Sa'idiyyah</v>
      </c>
    </row>
    <row r="11" spans="1:26" ht="15.75" hidden="1" thickBot="1" x14ac:dyDescent="0.3">
      <c r="A11" s="28">
        <v>46001.748194444444</v>
      </c>
      <c r="B11" s="29" t="s">
        <v>953</v>
      </c>
      <c r="C11" s="29" t="s">
        <v>753</v>
      </c>
      <c r="D11" s="29" t="s">
        <v>2795</v>
      </c>
      <c r="E11" s="29" t="s">
        <v>28</v>
      </c>
      <c r="F11" s="30">
        <v>42487</v>
      </c>
      <c r="G11" s="29" t="s">
        <v>2796</v>
      </c>
      <c r="H11" s="29" t="s">
        <v>2797</v>
      </c>
      <c r="I11" s="29" t="s">
        <v>2</v>
      </c>
      <c r="J11" s="31" t="s">
        <v>2798</v>
      </c>
      <c r="K11" s="29" t="s">
        <v>2799</v>
      </c>
      <c r="L11" s="77" t="s">
        <v>2800</v>
      </c>
      <c r="M11" s="32" t="s">
        <v>2801</v>
      </c>
      <c r="N11">
        <v>237</v>
      </c>
      <c r="O11" t="str">
        <f t="shared" si="0"/>
        <v>EBTAQ25-03.079</v>
      </c>
      <c r="P11" t="str">
        <f t="shared" si="1"/>
        <v>SAFEEA DAMAYANTI</v>
      </c>
      <c r="Q11" t="str">
        <f t="shared" si="2"/>
        <v>Perempuan</v>
      </c>
      <c r="R11" t="str">
        <f t="shared" si="3"/>
        <v>DEMAK</v>
      </c>
      <c r="S11" s="21">
        <f t="shared" si="4"/>
        <v>42487</v>
      </c>
      <c r="T11" t="str">
        <f t="shared" si="5"/>
        <v>IMAM SAFI'I</v>
      </c>
      <c r="U11" t="str">
        <f t="shared" si="6"/>
        <v>NIKMATUL IFAH</v>
      </c>
      <c r="V11" t="str">
        <f>VLOOKUP(O11,Lembar1!$A$4:$H$457,8,FALSE)</f>
        <v>BIO_Images/EBTAQ25-03.079.jpg</v>
      </c>
      <c r="W11" t="str">
        <f>IFERROR(VLOOKUP(O11,Lembar1!$A$4:$I$457,9,FALSE),C11)</f>
        <v>BMW - As-Sa'idiyyah</v>
      </c>
    </row>
    <row r="12" spans="1:26" ht="15.75" hidden="1" thickBot="1" x14ac:dyDescent="0.3">
      <c r="A12" s="33">
        <v>46001.752442129633</v>
      </c>
      <c r="B12" s="34" t="s">
        <v>953</v>
      </c>
      <c r="C12" s="34" t="s">
        <v>753</v>
      </c>
      <c r="D12" s="34" t="s">
        <v>2802</v>
      </c>
      <c r="E12" s="34" t="s">
        <v>28</v>
      </c>
      <c r="F12" s="35">
        <v>41839</v>
      </c>
      <c r="G12" s="34" t="s">
        <v>2803</v>
      </c>
      <c r="H12" s="34" t="s">
        <v>2804</v>
      </c>
      <c r="I12" s="34" t="s">
        <v>2</v>
      </c>
      <c r="J12" s="36" t="s">
        <v>2805</v>
      </c>
      <c r="K12" s="34" t="s">
        <v>2799</v>
      </c>
      <c r="L12" s="78" t="s">
        <v>2806</v>
      </c>
      <c r="M12" s="37" t="s">
        <v>2807</v>
      </c>
      <c r="N12">
        <v>238</v>
      </c>
      <c r="O12" t="str">
        <f t="shared" si="0"/>
        <v>EBTAQ25-03.080</v>
      </c>
      <c r="P12" t="str">
        <f t="shared" si="1"/>
        <v>TIKTA ZULIYANTI AYUNINGTYAS</v>
      </c>
      <c r="Q12" t="str">
        <f t="shared" si="2"/>
        <v>Perempuan</v>
      </c>
      <c r="R12" t="str">
        <f t="shared" si="3"/>
        <v>DEMAK</v>
      </c>
      <c r="S12" s="21">
        <f t="shared" si="4"/>
        <v>41839</v>
      </c>
      <c r="T12" t="str">
        <f t="shared" si="5"/>
        <v>MUHSININ</v>
      </c>
      <c r="U12" t="str">
        <f t="shared" si="6"/>
        <v>NANIK AINISAH</v>
      </c>
      <c r="V12" t="str">
        <f>VLOOKUP(O12,Lembar1!$A$4:$H$457,8,FALSE)</f>
        <v>BIO_Images/EBTAQ25-03.080.jpg</v>
      </c>
      <c r="W12" t="str">
        <f>IFERROR(VLOOKUP(O12,Lembar1!$A$4:$I$457,9,FALSE),C12)</f>
        <v>BMW - As-Sa'idiyyah</v>
      </c>
    </row>
    <row r="13" spans="1:26" ht="15.75" hidden="1" thickBot="1" x14ac:dyDescent="0.3">
      <c r="A13" s="28">
        <v>46001.764884259261</v>
      </c>
      <c r="B13" s="29" t="s">
        <v>953</v>
      </c>
      <c r="C13" s="29" t="s">
        <v>753</v>
      </c>
      <c r="D13" s="29" t="s">
        <v>2808</v>
      </c>
      <c r="E13" s="29" t="s">
        <v>28</v>
      </c>
      <c r="F13" s="30">
        <v>42173</v>
      </c>
      <c r="G13" s="29" t="s">
        <v>2809</v>
      </c>
      <c r="H13" s="29" t="s">
        <v>2810</v>
      </c>
      <c r="I13" s="29" t="s">
        <v>2</v>
      </c>
      <c r="J13" s="31" t="s">
        <v>2811</v>
      </c>
      <c r="K13" s="29" t="s">
        <v>2619</v>
      </c>
      <c r="L13" s="77" t="s">
        <v>2812</v>
      </c>
      <c r="M13" s="32" t="s">
        <v>2813</v>
      </c>
      <c r="N13">
        <v>239</v>
      </c>
      <c r="O13" t="str">
        <f t="shared" si="0"/>
        <v>EBTAQ25-03.081</v>
      </c>
      <c r="P13" t="str">
        <f t="shared" si="1"/>
        <v>AZKIA NAJIHA KIRANA</v>
      </c>
      <c r="Q13" t="str">
        <f t="shared" si="2"/>
        <v>Perempuan</v>
      </c>
      <c r="R13" t="str">
        <f t="shared" si="3"/>
        <v>DEMAK</v>
      </c>
      <c r="S13" s="21">
        <f t="shared" si="4"/>
        <v>42173</v>
      </c>
      <c r="T13" t="str">
        <f t="shared" si="5"/>
        <v>HARYANTO</v>
      </c>
      <c r="U13" t="str">
        <f t="shared" si="6"/>
        <v>MUSLIKHATUL HIDAYAH</v>
      </c>
      <c r="V13" t="str">
        <f>VLOOKUP(O13,Lembar1!$A$4:$H$457,8,FALSE)</f>
        <v>BIO_Images/EBTAQ25-03.081.jpg</v>
      </c>
      <c r="W13" t="str">
        <f>IFERROR(VLOOKUP(O13,Lembar1!$A$4:$I$457,9,FALSE),C13)</f>
        <v>BMW - As-Sa'idiyyah</v>
      </c>
    </row>
    <row r="14" spans="1:26" ht="15.75" hidden="1" thickBot="1" x14ac:dyDescent="0.3">
      <c r="A14" s="50">
        <v>46001.869039351855</v>
      </c>
      <c r="B14" s="53" t="s">
        <v>953</v>
      </c>
      <c r="C14" s="53" t="s">
        <v>2923</v>
      </c>
      <c r="D14" s="53" t="s">
        <v>2924</v>
      </c>
      <c r="E14" s="53" t="s">
        <v>28</v>
      </c>
      <c r="F14" s="57">
        <v>41783</v>
      </c>
      <c r="G14" s="53" t="s">
        <v>2925</v>
      </c>
      <c r="H14" s="53" t="s">
        <v>2926</v>
      </c>
      <c r="I14" s="53" t="s">
        <v>2</v>
      </c>
      <c r="J14" s="60" t="s">
        <v>2927</v>
      </c>
      <c r="K14" s="53" t="s">
        <v>2928</v>
      </c>
      <c r="L14" s="78" t="s">
        <v>2929</v>
      </c>
      <c r="M14" s="32" t="s">
        <v>2930</v>
      </c>
      <c r="N14">
        <v>240</v>
      </c>
      <c r="O14" t="str">
        <f t="shared" si="0"/>
        <v>EBTAQ25-03.086</v>
      </c>
      <c r="P14" t="str">
        <f t="shared" si="1"/>
        <v>ALISA SABRIANA</v>
      </c>
      <c r="Q14" t="str">
        <f t="shared" si="2"/>
        <v>Perempuan</v>
      </c>
      <c r="R14" t="str">
        <f t="shared" si="3"/>
        <v>DEMAK</v>
      </c>
      <c r="S14" s="21">
        <f t="shared" si="4"/>
        <v>41783</v>
      </c>
      <c r="T14" t="str">
        <f t="shared" si="5"/>
        <v>SOBIRIN</v>
      </c>
      <c r="U14" t="str">
        <f t="shared" si="6"/>
        <v>MELISA SUTIYANA</v>
      </c>
      <c r="V14" t="str">
        <f>VLOOKUP(O14,Lembar1!$A$4:$H$457,8,FALSE)</f>
        <v>BIO_Images/EBTAQ25-03.086.jpeg</v>
      </c>
      <c r="W14" t="str">
        <f>IFERROR(VLOOKUP(O14,Lembar1!$A$4:$I$457,9,FALSE),C14)</f>
        <v>BMW - Azzumut Fatayat NU</v>
      </c>
    </row>
    <row r="15" spans="1:26" ht="15.75" hidden="1" thickBot="1" x14ac:dyDescent="0.3">
      <c r="A15" s="49">
        <v>46001.87296296296</v>
      </c>
      <c r="B15" s="52" t="s">
        <v>953</v>
      </c>
      <c r="C15" s="52" t="s">
        <v>2923</v>
      </c>
      <c r="D15" s="52" t="s">
        <v>2931</v>
      </c>
      <c r="E15" s="52" t="s">
        <v>28</v>
      </c>
      <c r="F15" s="56">
        <v>42162</v>
      </c>
      <c r="G15" s="52" t="s">
        <v>2932</v>
      </c>
      <c r="H15" s="52" t="s">
        <v>2933</v>
      </c>
      <c r="I15" s="52" t="s">
        <v>2</v>
      </c>
      <c r="J15" s="59" t="s">
        <v>2934</v>
      </c>
      <c r="K15" s="52" t="s">
        <v>2928</v>
      </c>
      <c r="L15" s="77" t="s">
        <v>2935</v>
      </c>
      <c r="M15" s="37" t="s">
        <v>2936</v>
      </c>
      <c r="N15">
        <v>241</v>
      </c>
      <c r="O15" t="str">
        <f t="shared" si="0"/>
        <v>EBTAQ25-03.087</v>
      </c>
      <c r="P15" t="str">
        <f t="shared" si="1"/>
        <v>CITRA PUTRI FELLICIA</v>
      </c>
      <c r="Q15" t="str">
        <f t="shared" si="2"/>
        <v>Perempuan</v>
      </c>
      <c r="R15" t="str">
        <f t="shared" si="3"/>
        <v>DEMAK</v>
      </c>
      <c r="S15" s="21">
        <f t="shared" si="4"/>
        <v>42162</v>
      </c>
      <c r="T15" t="str">
        <f t="shared" si="5"/>
        <v>ANTONIUS SETIAWAN</v>
      </c>
      <c r="U15" t="str">
        <f t="shared" si="6"/>
        <v>DIYA APRILIYANI PRATIWI</v>
      </c>
      <c r="V15" t="str">
        <f>VLOOKUP(O15,Lembar1!$A$4:$H$457,8,FALSE)</f>
        <v>BIO_Images/EBTAQ25-03.087.jpeg</v>
      </c>
      <c r="W15" t="str">
        <f>IFERROR(VLOOKUP(O15,Lembar1!$A$4:$I$457,9,FALSE),C15)</f>
        <v>BMW - Azzumut Fatayat NU</v>
      </c>
    </row>
    <row r="16" spans="1:26" ht="15.75" hidden="1" thickBot="1" x14ac:dyDescent="0.3">
      <c r="A16" s="50">
        <v>46001.876886574071</v>
      </c>
      <c r="B16" s="53" t="s">
        <v>953</v>
      </c>
      <c r="C16" s="53" t="s">
        <v>2923</v>
      </c>
      <c r="D16" s="53" t="s">
        <v>2937</v>
      </c>
      <c r="E16" s="53" t="s">
        <v>28</v>
      </c>
      <c r="F16" s="57">
        <v>42014</v>
      </c>
      <c r="G16" s="53" t="s">
        <v>2938</v>
      </c>
      <c r="H16" s="53" t="s">
        <v>2939</v>
      </c>
      <c r="I16" s="53" t="s">
        <v>2</v>
      </c>
      <c r="J16" s="60" t="s">
        <v>2940</v>
      </c>
      <c r="K16" s="53" t="s">
        <v>2941</v>
      </c>
      <c r="L16" s="78" t="s">
        <v>2942</v>
      </c>
      <c r="M16" s="32" t="s">
        <v>2943</v>
      </c>
      <c r="N16">
        <v>242</v>
      </c>
      <c r="O16" t="str">
        <f t="shared" si="0"/>
        <v>EBTAQ25-03.088</v>
      </c>
      <c r="P16" t="str">
        <f t="shared" si="1"/>
        <v>FATIMATUZ ZAHRO</v>
      </c>
      <c r="Q16" t="str">
        <f t="shared" si="2"/>
        <v>Perempuan</v>
      </c>
      <c r="R16" t="str">
        <f t="shared" si="3"/>
        <v>DEMAK</v>
      </c>
      <c r="S16" s="21">
        <f t="shared" si="4"/>
        <v>42014</v>
      </c>
      <c r="T16" t="str">
        <f t="shared" si="5"/>
        <v>ARIS SUWANDI</v>
      </c>
      <c r="U16" t="str">
        <f t="shared" si="6"/>
        <v>SITI AISAH</v>
      </c>
      <c r="V16" t="str">
        <f>VLOOKUP(O16,Lembar1!$A$4:$H$457,8,FALSE)</f>
        <v>BIO_Images/EBTAQ25-03.088.jpeg</v>
      </c>
      <c r="W16" t="str">
        <f>IFERROR(VLOOKUP(O16,Lembar1!$A$4:$I$457,9,FALSE),C16)</f>
        <v>BMW - Azzumut Fatayat NU</v>
      </c>
    </row>
    <row r="17" spans="1:23" ht="15.75" hidden="1" thickBot="1" x14ac:dyDescent="0.3">
      <c r="A17" s="49">
        <v>46001.880648148152</v>
      </c>
      <c r="B17" s="52" t="s">
        <v>953</v>
      </c>
      <c r="C17" s="52" t="s">
        <v>2923</v>
      </c>
      <c r="D17" s="52" t="s">
        <v>2944</v>
      </c>
      <c r="E17" s="52" t="s">
        <v>28</v>
      </c>
      <c r="F17" s="56">
        <v>41225</v>
      </c>
      <c r="G17" s="52" t="s">
        <v>2945</v>
      </c>
      <c r="H17" s="52" t="s">
        <v>2946</v>
      </c>
      <c r="I17" s="52" t="s">
        <v>2</v>
      </c>
      <c r="J17" s="59" t="s">
        <v>2947</v>
      </c>
      <c r="K17" s="52" t="s">
        <v>2941</v>
      </c>
      <c r="L17" s="77" t="s">
        <v>2948</v>
      </c>
      <c r="M17" s="37" t="s">
        <v>2949</v>
      </c>
      <c r="N17">
        <v>243</v>
      </c>
      <c r="O17" t="str">
        <f t="shared" si="0"/>
        <v>EBTAQ25-03.089</v>
      </c>
      <c r="P17" t="str">
        <f t="shared" si="1"/>
        <v>KEYSHA AULIA PUTRI</v>
      </c>
      <c r="Q17" t="str">
        <f t="shared" si="2"/>
        <v>Perempuan</v>
      </c>
      <c r="R17" t="str">
        <f t="shared" si="3"/>
        <v>DEMAK</v>
      </c>
      <c r="S17" s="21">
        <f t="shared" si="4"/>
        <v>41225</v>
      </c>
      <c r="T17" t="str">
        <f t="shared" si="5"/>
        <v>NUR SAID</v>
      </c>
      <c r="U17" t="str">
        <f t="shared" si="6"/>
        <v>SITI ANISA</v>
      </c>
      <c r="V17" t="str">
        <f>VLOOKUP(O17,Lembar1!$A$4:$H$457,8,FALSE)</f>
        <v>BIO_Images/EBTAQ25-03.089.jpeg</v>
      </c>
      <c r="W17" t="str">
        <f>IFERROR(VLOOKUP(O17,Lembar1!$A$4:$I$457,9,FALSE),C17)</f>
        <v>BMW - Azzumut Fatayat NU</v>
      </c>
    </row>
    <row r="18" spans="1:23" ht="15.75" hidden="1" thickBot="1" x14ac:dyDescent="0.3">
      <c r="A18" s="50">
        <v>46001.882905092592</v>
      </c>
      <c r="B18" s="53" t="s">
        <v>953</v>
      </c>
      <c r="C18" s="53" t="s">
        <v>2923</v>
      </c>
      <c r="D18" s="53" t="s">
        <v>2950</v>
      </c>
      <c r="E18" s="53" t="s">
        <v>28</v>
      </c>
      <c r="F18" s="57">
        <v>41623</v>
      </c>
      <c r="G18" s="53" t="s">
        <v>2951</v>
      </c>
      <c r="H18" s="53" t="s">
        <v>2952</v>
      </c>
      <c r="I18" s="53" t="s">
        <v>2</v>
      </c>
      <c r="J18" s="60" t="s">
        <v>2953</v>
      </c>
      <c r="K18" s="53" t="s">
        <v>2941</v>
      </c>
      <c r="L18" s="78" t="s">
        <v>2954</v>
      </c>
      <c r="M18" s="32" t="s">
        <v>2955</v>
      </c>
      <c r="N18">
        <v>244</v>
      </c>
      <c r="O18" t="str">
        <f t="shared" si="0"/>
        <v>EBTAQ25-03.090</v>
      </c>
      <c r="P18" t="str">
        <f t="shared" si="1"/>
        <v>NAFIDHATUL KHANZA AULIA</v>
      </c>
      <c r="Q18" t="str">
        <f t="shared" si="2"/>
        <v>Perempuan</v>
      </c>
      <c r="R18" t="str">
        <f t="shared" si="3"/>
        <v>DEMAK</v>
      </c>
      <c r="S18" s="21">
        <f t="shared" si="4"/>
        <v>41623</v>
      </c>
      <c r="T18" t="str">
        <f t="shared" si="5"/>
        <v>ABDULLAH ZAENURI</v>
      </c>
      <c r="U18" t="str">
        <f t="shared" si="6"/>
        <v>MURNINGSIH</v>
      </c>
      <c r="V18" t="str">
        <f>VLOOKUP(O18,Lembar1!$A$4:$H$457,8,FALSE)</f>
        <v>BIO_Images/EBTAQ25-03.090.jpeg</v>
      </c>
      <c r="W18" t="str">
        <f>IFERROR(VLOOKUP(O18,Lembar1!$A$4:$I$457,9,FALSE),C18)</f>
        <v>BMW - Azzumut Fatayat NU</v>
      </c>
    </row>
    <row r="19" spans="1:23" ht="15.75" hidden="1" thickBot="1" x14ac:dyDescent="0.3">
      <c r="A19" s="49">
        <v>46001.887673611112</v>
      </c>
      <c r="B19" s="52" t="s">
        <v>953</v>
      </c>
      <c r="C19" s="52" t="s">
        <v>2923</v>
      </c>
      <c r="D19" s="52" t="s">
        <v>2956</v>
      </c>
      <c r="E19" s="52" t="s">
        <v>28</v>
      </c>
      <c r="F19" s="56">
        <v>42439</v>
      </c>
      <c r="G19" s="52" t="s">
        <v>2957</v>
      </c>
      <c r="H19" s="52" t="s">
        <v>2958</v>
      </c>
      <c r="I19" s="52" t="s">
        <v>2</v>
      </c>
      <c r="J19" s="59" t="s">
        <v>2959</v>
      </c>
      <c r="K19" s="52" t="s">
        <v>2941</v>
      </c>
      <c r="L19" s="77" t="s">
        <v>2960</v>
      </c>
      <c r="M19" s="37" t="s">
        <v>2961</v>
      </c>
      <c r="N19">
        <v>245</v>
      </c>
      <c r="O19" t="str">
        <f t="shared" si="0"/>
        <v>EBTAQ25-03.091</v>
      </c>
      <c r="P19" t="str">
        <f t="shared" si="1"/>
        <v>UMMU FARIKHATUL JAZILAH</v>
      </c>
      <c r="Q19" t="str">
        <f t="shared" si="2"/>
        <v>Perempuan</v>
      </c>
      <c r="R19" t="str">
        <f t="shared" si="3"/>
        <v>DEMAK</v>
      </c>
      <c r="S19" s="21">
        <f t="shared" si="4"/>
        <v>42439</v>
      </c>
      <c r="T19" t="str">
        <f t="shared" si="5"/>
        <v>MOHAMMAD FAIQ</v>
      </c>
      <c r="U19" t="str">
        <f t="shared" si="6"/>
        <v>SAYYIDAH AZIZAH</v>
      </c>
      <c r="V19" t="str">
        <f>VLOOKUP(O19,Lembar1!$A$4:$H$457,8,FALSE)</f>
        <v>BIO_Images/EBTAQ25-03.091.jpeg</v>
      </c>
      <c r="W19" t="str">
        <f>IFERROR(VLOOKUP(O19,Lembar1!$A$4:$I$457,9,FALSE),C19)</f>
        <v>BMW - Azzumut Fatayat NU</v>
      </c>
    </row>
    <row r="20" spans="1:23" ht="15.75" hidden="1" thickBot="1" x14ac:dyDescent="0.3">
      <c r="A20" s="50">
        <v>46001.890069444446</v>
      </c>
      <c r="B20" s="53" t="s">
        <v>953</v>
      </c>
      <c r="C20" s="53" t="s">
        <v>2923</v>
      </c>
      <c r="D20" s="53" t="s">
        <v>2962</v>
      </c>
      <c r="E20" s="53" t="s">
        <v>28</v>
      </c>
      <c r="F20" s="57">
        <v>41460</v>
      </c>
      <c r="G20" s="53" t="s">
        <v>2963</v>
      </c>
      <c r="H20" s="53" t="s">
        <v>2964</v>
      </c>
      <c r="I20" s="53" t="s">
        <v>2</v>
      </c>
      <c r="J20" s="60" t="s">
        <v>2965</v>
      </c>
      <c r="K20" s="53" t="s">
        <v>2941</v>
      </c>
      <c r="L20" s="78" t="s">
        <v>2966</v>
      </c>
      <c r="M20" s="32" t="s">
        <v>2967</v>
      </c>
      <c r="N20">
        <v>246</v>
      </c>
      <c r="O20" t="str">
        <f t="shared" si="0"/>
        <v>EBTAQ25-03.092</v>
      </c>
      <c r="P20" t="str">
        <f t="shared" si="1"/>
        <v>UNIFAH NUR ALISTIAWAN</v>
      </c>
      <c r="Q20" t="str">
        <f t="shared" si="2"/>
        <v>Perempuan</v>
      </c>
      <c r="R20" t="str">
        <f t="shared" si="3"/>
        <v>DEMAK</v>
      </c>
      <c r="S20" s="21">
        <f t="shared" si="4"/>
        <v>41460</v>
      </c>
      <c r="T20" t="str">
        <f t="shared" si="5"/>
        <v>SANUWAN</v>
      </c>
      <c r="U20" t="str">
        <f t="shared" si="6"/>
        <v>NUR KADARSIH</v>
      </c>
      <c r="V20" t="str">
        <f>VLOOKUP(O20,Lembar1!$A$4:$H$457,8,FALSE)</f>
        <v>BIO_Images/EBTAQ25-03.092.jpeg</v>
      </c>
      <c r="W20" t="str">
        <f>IFERROR(VLOOKUP(O20,Lembar1!$A$4:$I$457,9,FALSE),C20)</f>
        <v>BMW - Azzumut Fatayat NU</v>
      </c>
    </row>
    <row r="21" spans="1:23" ht="15.75" hidden="1" thickBot="1" x14ac:dyDescent="0.3">
      <c r="A21" s="49">
        <v>46001.891412037039</v>
      </c>
      <c r="B21" s="52" t="s">
        <v>953</v>
      </c>
      <c r="C21" s="52" t="s">
        <v>2923</v>
      </c>
      <c r="D21" s="52" t="s">
        <v>2968</v>
      </c>
      <c r="E21" s="52" t="s">
        <v>28</v>
      </c>
      <c r="F21" s="56">
        <v>41647</v>
      </c>
      <c r="G21" s="52" t="s">
        <v>2969</v>
      </c>
      <c r="H21" s="52" t="s">
        <v>2970</v>
      </c>
      <c r="I21" s="52" t="s">
        <v>2</v>
      </c>
      <c r="J21" s="59" t="s">
        <v>2971</v>
      </c>
      <c r="K21" s="52" t="s">
        <v>2941</v>
      </c>
      <c r="L21" s="77" t="s">
        <v>2972</v>
      </c>
      <c r="M21" s="37" t="s">
        <v>2973</v>
      </c>
      <c r="N21">
        <v>247</v>
      </c>
      <c r="O21" t="str">
        <f t="shared" si="0"/>
        <v>EBTAQ25-03.093</v>
      </c>
      <c r="P21" t="str">
        <f t="shared" si="1"/>
        <v>USYAQIA MAULIDA</v>
      </c>
      <c r="Q21" t="str">
        <f t="shared" si="2"/>
        <v>Perempuan</v>
      </c>
      <c r="R21" t="str">
        <f t="shared" si="3"/>
        <v>DEMAK</v>
      </c>
      <c r="S21" s="21">
        <f t="shared" si="4"/>
        <v>41647</v>
      </c>
      <c r="T21" t="str">
        <f t="shared" si="5"/>
        <v>ROHANI</v>
      </c>
      <c r="U21" t="str">
        <f t="shared" si="6"/>
        <v>MUNASIROH</v>
      </c>
      <c r="V21" t="str">
        <f>VLOOKUP(O21,Lembar1!$A$4:$H$457,8,FALSE)</f>
        <v>BIO_Images/EBTAQ25-03.093.jpeg</v>
      </c>
      <c r="W21" t="str">
        <f>IFERROR(VLOOKUP(O21,Lembar1!$A$4:$I$457,9,FALSE),C21)</f>
        <v>BMW - Azzumut Fatayat NU</v>
      </c>
    </row>
    <row r="22" spans="1:23" ht="15.75" hidden="1" thickBot="1" x14ac:dyDescent="0.3">
      <c r="A22" s="33">
        <v>46001.893587962964</v>
      </c>
      <c r="B22" s="34" t="s">
        <v>953</v>
      </c>
      <c r="C22" s="34" t="s">
        <v>2923</v>
      </c>
      <c r="D22" s="34" t="s">
        <v>2981</v>
      </c>
      <c r="E22" s="34" t="s">
        <v>28</v>
      </c>
      <c r="F22" s="35">
        <v>41535</v>
      </c>
      <c r="G22" s="34" t="s">
        <v>2982</v>
      </c>
      <c r="H22" s="34" t="s">
        <v>2983</v>
      </c>
      <c r="I22" s="34" t="s">
        <v>66</v>
      </c>
      <c r="J22" s="36" t="s">
        <v>2984</v>
      </c>
      <c r="K22" s="34" t="s">
        <v>2941</v>
      </c>
      <c r="L22" s="78" t="s">
        <v>2985</v>
      </c>
      <c r="M22" s="37" t="s">
        <v>2986</v>
      </c>
      <c r="N22">
        <v>248</v>
      </c>
      <c r="O22" t="str">
        <f t="shared" si="0"/>
        <v>EBTAQ25-03.094</v>
      </c>
      <c r="P22" t="str">
        <f t="shared" si="1"/>
        <v>DAFFA NAILUN NABHAN</v>
      </c>
      <c r="Q22" t="str">
        <f t="shared" si="2"/>
        <v>Laki-laki</v>
      </c>
      <c r="R22" t="str">
        <f t="shared" si="3"/>
        <v>DEMAK</v>
      </c>
      <c r="S22" s="21">
        <f t="shared" si="4"/>
        <v>41535</v>
      </c>
      <c r="T22" t="str">
        <f t="shared" si="5"/>
        <v>AGUS SALIM</v>
      </c>
      <c r="U22" t="str">
        <f t="shared" si="6"/>
        <v>ZULAITI</v>
      </c>
      <c r="V22" t="str">
        <f>VLOOKUP(O22,Lembar1!$A$4:$H$457,8,FALSE)</f>
        <v>BIO_Images/EBTAQ25-03.094.jpeg</v>
      </c>
      <c r="W22" t="str">
        <f>IFERROR(VLOOKUP(O22,Lembar1!$A$4:$I$457,9,FALSE),C22)</f>
        <v>BMW - Azzumut Fatayat NU</v>
      </c>
    </row>
    <row r="23" spans="1:23" ht="15.75" hidden="1" thickBot="1" x14ac:dyDescent="0.3">
      <c r="A23" s="49">
        <v>46001.89744212963</v>
      </c>
      <c r="B23" s="52" t="s">
        <v>953</v>
      </c>
      <c r="C23" s="52" t="s">
        <v>2923</v>
      </c>
      <c r="D23" s="52" t="s">
        <v>2990</v>
      </c>
      <c r="E23" s="52" t="s">
        <v>365</v>
      </c>
      <c r="F23" s="56">
        <v>42319</v>
      </c>
      <c r="G23" s="52" t="s">
        <v>2991</v>
      </c>
      <c r="H23" s="52" t="s">
        <v>2992</v>
      </c>
      <c r="I23" s="52" t="s">
        <v>66</v>
      </c>
      <c r="J23" s="59" t="s">
        <v>2993</v>
      </c>
      <c r="K23" s="52" t="s">
        <v>2941</v>
      </c>
      <c r="L23" s="77" t="s">
        <v>2994</v>
      </c>
      <c r="M23" s="37" t="s">
        <v>2995</v>
      </c>
      <c r="N23">
        <v>249</v>
      </c>
      <c r="O23" t="str">
        <f t="shared" si="0"/>
        <v>EBTAQ25-03.095</v>
      </c>
      <c r="P23" t="str">
        <f t="shared" si="1"/>
        <v>MUHAMMAD AFFAN SYAKIR</v>
      </c>
      <c r="Q23" t="str">
        <f t="shared" si="2"/>
        <v>Laki-laki</v>
      </c>
      <c r="R23" t="str">
        <f t="shared" si="3"/>
        <v>KUDUS</v>
      </c>
      <c r="S23" s="21">
        <f t="shared" si="4"/>
        <v>42319</v>
      </c>
      <c r="T23" t="str">
        <f t="shared" si="5"/>
        <v>AHMAD SYAKIR</v>
      </c>
      <c r="U23" t="str">
        <f t="shared" si="6"/>
        <v>UMNIYATUL AZIZAH</v>
      </c>
      <c r="V23" t="str">
        <f>VLOOKUP(O23,Lembar1!$A$4:$H$457,8,FALSE)</f>
        <v>BIO_Images/EBTAQ25-03.095.jpeg</v>
      </c>
      <c r="W23" t="str">
        <f>IFERROR(VLOOKUP(O23,Lembar1!$A$4:$I$457,9,FALSE),C23)</f>
        <v>BMW - Azzumut Fatayat NU</v>
      </c>
    </row>
    <row r="24" spans="1:23" ht="15.75" hidden="1" thickBot="1" x14ac:dyDescent="0.3">
      <c r="A24" s="50">
        <v>45999.232488425929</v>
      </c>
      <c r="B24" s="53" t="s">
        <v>953</v>
      </c>
      <c r="C24" s="53" t="s">
        <v>268</v>
      </c>
      <c r="D24" s="53" t="s">
        <v>264</v>
      </c>
      <c r="E24" s="53" t="s">
        <v>10</v>
      </c>
      <c r="F24" s="57">
        <v>42318</v>
      </c>
      <c r="G24" s="53" t="s">
        <v>265</v>
      </c>
      <c r="H24" s="53" t="s">
        <v>266</v>
      </c>
      <c r="I24" s="53" t="s">
        <v>2</v>
      </c>
      <c r="J24" s="60" t="s">
        <v>1160</v>
      </c>
      <c r="K24" s="53" t="s">
        <v>1161</v>
      </c>
      <c r="L24" s="78" t="s">
        <v>263</v>
      </c>
      <c r="M24" s="32" t="s">
        <v>1162</v>
      </c>
      <c r="N24">
        <v>250</v>
      </c>
      <c r="O24" t="str">
        <f t="shared" si="0"/>
        <v>EBTAQ25-03.006</v>
      </c>
      <c r="P24" t="str">
        <f t="shared" si="1"/>
        <v>Nur Alifah</v>
      </c>
      <c r="Q24" t="str">
        <f t="shared" si="2"/>
        <v>Perempuan</v>
      </c>
      <c r="R24" t="str">
        <f t="shared" si="3"/>
        <v>Demak</v>
      </c>
      <c r="S24" s="21">
        <f t="shared" si="4"/>
        <v>42318</v>
      </c>
      <c r="T24" t="str">
        <f t="shared" si="5"/>
        <v>Abu rozin</v>
      </c>
      <c r="U24" t="str">
        <f t="shared" si="6"/>
        <v>Nur hidayah</v>
      </c>
      <c r="V24" t="str">
        <f>VLOOKUP(O24,Lembar1!$A$4:$H$457,8,FALSE)</f>
        <v>BIO_Images/EBTAQ25-03.006.jpg</v>
      </c>
      <c r="W24" t="str">
        <f>IFERROR(VLOOKUP(O24,Lembar1!$A$4:$I$457,9,FALSE),C24)</f>
        <v>BMW - Matholiul Falah</v>
      </c>
    </row>
    <row r="25" spans="1:23" ht="15.75" hidden="1" thickBot="1" x14ac:dyDescent="0.3">
      <c r="A25" s="49">
        <v>45999.268159722225</v>
      </c>
      <c r="B25" s="52" t="s">
        <v>953</v>
      </c>
      <c r="C25" s="52" t="s">
        <v>268</v>
      </c>
      <c r="D25" s="52" t="s">
        <v>270</v>
      </c>
      <c r="E25" s="52" t="s">
        <v>10</v>
      </c>
      <c r="F25" s="56">
        <v>42312</v>
      </c>
      <c r="G25" s="52" t="s">
        <v>271</v>
      </c>
      <c r="H25" s="52" t="s">
        <v>272</v>
      </c>
      <c r="I25" s="52" t="s">
        <v>2</v>
      </c>
      <c r="J25" s="59" t="s">
        <v>1163</v>
      </c>
      <c r="K25" s="52" t="s">
        <v>1164</v>
      </c>
      <c r="L25" s="77" t="s">
        <v>269</v>
      </c>
      <c r="M25" s="37" t="s">
        <v>1165</v>
      </c>
      <c r="N25">
        <v>251</v>
      </c>
      <c r="O25" t="str">
        <f t="shared" si="0"/>
        <v>EBTAQ25-03.007</v>
      </c>
      <c r="P25" t="str">
        <f t="shared" si="1"/>
        <v>Asaa Najma Azzahra</v>
      </c>
      <c r="Q25" t="str">
        <f t="shared" si="2"/>
        <v>Perempuan</v>
      </c>
      <c r="R25" t="str">
        <f t="shared" si="3"/>
        <v>Demak</v>
      </c>
      <c r="S25" s="21">
        <f t="shared" si="4"/>
        <v>42312</v>
      </c>
      <c r="T25" t="str">
        <f t="shared" si="5"/>
        <v>Ahmad Muhajir</v>
      </c>
      <c r="U25" t="str">
        <f t="shared" si="6"/>
        <v>Musokhikah</v>
      </c>
      <c r="V25" t="str">
        <f>VLOOKUP(O25,Lembar1!$A$4:$H$457,8,FALSE)</f>
        <v>BIO_Images/EBTAQ25-03.007.jpg</v>
      </c>
      <c r="W25" t="str">
        <f>IFERROR(VLOOKUP(O25,Lembar1!$A$4:$I$457,9,FALSE),C25)</f>
        <v>BMW - Matholiul Falah</v>
      </c>
    </row>
    <row r="26" spans="1:23" ht="15.75" hidden="1" thickBot="1" x14ac:dyDescent="0.3">
      <c r="A26" s="50">
        <v>45999.285891203705</v>
      </c>
      <c r="B26" s="53" t="s">
        <v>953</v>
      </c>
      <c r="C26" s="53" t="s">
        <v>268</v>
      </c>
      <c r="D26" s="53" t="s">
        <v>275</v>
      </c>
      <c r="E26" s="53" t="s">
        <v>116</v>
      </c>
      <c r="F26" s="57">
        <v>42191</v>
      </c>
      <c r="G26" s="53" t="s">
        <v>276</v>
      </c>
      <c r="H26" s="53" t="s">
        <v>277</v>
      </c>
      <c r="I26" s="53" t="s">
        <v>2</v>
      </c>
      <c r="J26" s="60" t="s">
        <v>1166</v>
      </c>
      <c r="K26" s="53" t="s">
        <v>1167</v>
      </c>
      <c r="L26" s="78" t="s">
        <v>274</v>
      </c>
      <c r="M26" s="32" t="s">
        <v>1168</v>
      </c>
      <c r="N26">
        <v>252</v>
      </c>
      <c r="O26" t="str">
        <f t="shared" si="0"/>
        <v>EBTAQ25-03.008</v>
      </c>
      <c r="P26" t="str">
        <f t="shared" si="1"/>
        <v>Reva Dwi Rahmadhani</v>
      </c>
      <c r="Q26" t="str">
        <f t="shared" si="2"/>
        <v>Perempuan</v>
      </c>
      <c r="R26" t="str">
        <f t="shared" si="3"/>
        <v>Kudus</v>
      </c>
      <c r="S26" s="21">
        <f t="shared" si="4"/>
        <v>42191</v>
      </c>
      <c r="T26" t="str">
        <f t="shared" si="5"/>
        <v>Nur cipto</v>
      </c>
      <c r="U26" t="str">
        <f t="shared" si="6"/>
        <v>Nur ismah</v>
      </c>
      <c r="V26" t="str">
        <f>VLOOKUP(O26,Lembar1!$A$4:$H$457,8,FALSE)</f>
        <v>BIO_Images/EBTAQ25-03.008.jpg</v>
      </c>
      <c r="W26" t="str">
        <f>IFERROR(VLOOKUP(O26,Lembar1!$A$4:$I$457,9,FALSE),C26)</f>
        <v>BMW - Matholiul Falah</v>
      </c>
    </row>
    <row r="27" spans="1:23" ht="15.75" hidden="1" thickBot="1" x14ac:dyDescent="0.3">
      <c r="A27" s="49">
        <v>45999.374583333331</v>
      </c>
      <c r="B27" s="52" t="s">
        <v>953</v>
      </c>
      <c r="C27" s="52" t="s">
        <v>268</v>
      </c>
      <c r="D27" s="52" t="s">
        <v>306</v>
      </c>
      <c r="E27" s="52" t="s">
        <v>10</v>
      </c>
      <c r="F27" s="56">
        <v>42542</v>
      </c>
      <c r="G27" s="52" t="s">
        <v>307</v>
      </c>
      <c r="H27" s="52" t="s">
        <v>308</v>
      </c>
      <c r="I27" s="52" t="s">
        <v>2</v>
      </c>
      <c r="J27" s="59" t="s">
        <v>1232</v>
      </c>
      <c r="K27" s="52" t="s">
        <v>1233</v>
      </c>
      <c r="L27" s="77" t="s">
        <v>305</v>
      </c>
      <c r="M27" s="37" t="s">
        <v>1234</v>
      </c>
      <c r="N27">
        <v>253</v>
      </c>
      <c r="O27" t="str">
        <f t="shared" si="0"/>
        <v>EBTAQ25-03.011</v>
      </c>
      <c r="P27" t="str">
        <f t="shared" si="1"/>
        <v>Indah fadhilah</v>
      </c>
      <c r="Q27" t="str">
        <f t="shared" si="2"/>
        <v>Perempuan</v>
      </c>
      <c r="R27" t="str">
        <f t="shared" si="3"/>
        <v>Demak</v>
      </c>
      <c r="S27" s="21">
        <f t="shared" si="4"/>
        <v>42542</v>
      </c>
      <c r="T27" t="str">
        <f t="shared" si="5"/>
        <v>Nur Rohman</v>
      </c>
      <c r="U27" t="str">
        <f t="shared" si="6"/>
        <v>Nazidatul ula</v>
      </c>
      <c r="V27" t="str">
        <f>VLOOKUP(O27,Lembar1!$A$4:$H$457,8,FALSE)</f>
        <v>BIO_Images/EBTAQ25-03.011.jpg</v>
      </c>
      <c r="W27" t="str">
        <f>IFERROR(VLOOKUP(O27,Lembar1!$A$4:$I$457,9,FALSE),C27)</f>
        <v>BMW - Matholiul Falah</v>
      </c>
    </row>
    <row r="28" spans="1:23" ht="15.75" hidden="1" thickBot="1" x14ac:dyDescent="0.3">
      <c r="A28" s="50">
        <v>45999.37462962963</v>
      </c>
      <c r="B28" s="53" t="s">
        <v>953</v>
      </c>
      <c r="C28" s="53" t="s">
        <v>268</v>
      </c>
      <c r="D28" s="53" t="s">
        <v>306</v>
      </c>
      <c r="E28" s="53" t="s">
        <v>10</v>
      </c>
      <c r="F28" s="57">
        <v>42542</v>
      </c>
      <c r="G28" s="53" t="s">
        <v>311</v>
      </c>
      <c r="H28" s="53" t="s">
        <v>308</v>
      </c>
      <c r="I28" s="53" t="s">
        <v>2</v>
      </c>
      <c r="J28" s="60" t="s">
        <v>1235</v>
      </c>
      <c r="K28" s="53" t="s">
        <v>1236</v>
      </c>
      <c r="L28" s="78" t="s">
        <v>310</v>
      </c>
      <c r="M28" s="32" t="s">
        <v>1237</v>
      </c>
      <c r="N28">
        <v>254</v>
      </c>
      <c r="O28" t="str">
        <f t="shared" si="0"/>
        <v>EBTAQ25-03.012</v>
      </c>
      <c r="P28" t="str">
        <f t="shared" si="1"/>
        <v>Indah fadhilah</v>
      </c>
      <c r="Q28" t="str">
        <f t="shared" si="2"/>
        <v>Perempuan</v>
      </c>
      <c r="R28" t="str">
        <f t="shared" si="3"/>
        <v>Demak</v>
      </c>
      <c r="S28" s="21">
        <f t="shared" si="4"/>
        <v>42542</v>
      </c>
      <c r="T28" t="str">
        <f t="shared" si="5"/>
        <v>Nur rohman</v>
      </c>
      <c r="U28" t="str">
        <f t="shared" si="6"/>
        <v>Nazidatul ula</v>
      </c>
      <c r="V28" t="str">
        <f>VLOOKUP(O28,Lembar1!$A$4:$H$457,8,FALSE)</f>
        <v>BIO_Images/EBTAQ25-03.012.jpg</v>
      </c>
      <c r="W28" t="str">
        <f>IFERROR(VLOOKUP(O28,Lembar1!$A$4:$I$457,9,FALSE),C28)</f>
        <v>BMW - Matholiul Falah</v>
      </c>
    </row>
    <row r="29" spans="1:23" ht="15.75" hidden="1" thickBot="1" x14ac:dyDescent="0.3">
      <c r="A29" s="28">
        <v>45999.729201388887</v>
      </c>
      <c r="B29" s="29" t="s">
        <v>953</v>
      </c>
      <c r="C29" s="29" t="s">
        <v>268</v>
      </c>
      <c r="D29" s="29" t="s">
        <v>447</v>
      </c>
      <c r="E29" s="29" t="s">
        <v>10</v>
      </c>
      <c r="F29" s="30">
        <v>42404</v>
      </c>
      <c r="G29" s="29" t="s">
        <v>448</v>
      </c>
      <c r="H29" s="29" t="s">
        <v>449</v>
      </c>
      <c r="I29" s="29" t="s">
        <v>2</v>
      </c>
      <c r="J29" s="31" t="s">
        <v>1403</v>
      </c>
      <c r="K29" s="29" t="s">
        <v>1404</v>
      </c>
      <c r="L29" s="77" t="s">
        <v>446</v>
      </c>
      <c r="M29" s="32" t="s">
        <v>1405</v>
      </c>
      <c r="N29">
        <v>255</v>
      </c>
      <c r="O29" t="str">
        <f t="shared" si="0"/>
        <v>EBTAQ25-03.013</v>
      </c>
      <c r="P29" t="str">
        <f t="shared" si="1"/>
        <v>Siti khoiriyah safinatul aulia</v>
      </c>
      <c r="Q29" t="str">
        <f t="shared" si="2"/>
        <v>Perempuan</v>
      </c>
      <c r="R29" t="str">
        <f t="shared" si="3"/>
        <v>Demak</v>
      </c>
      <c r="S29" s="21">
        <f t="shared" si="4"/>
        <v>42404</v>
      </c>
      <c r="T29" t="str">
        <f t="shared" si="5"/>
        <v>Syaichul Hadi</v>
      </c>
      <c r="U29" t="str">
        <f t="shared" si="6"/>
        <v>Maftukhah</v>
      </c>
      <c r="V29" t="str">
        <f>VLOOKUP(O29,Lembar1!$A$4:$H$457,8,FALSE)</f>
        <v>BIO_Images/EBTAQ25-03.013.jpg</v>
      </c>
      <c r="W29" t="str">
        <f>IFERROR(VLOOKUP(O29,Lembar1!$A$4:$I$457,9,FALSE),C29)</f>
        <v>BMW - Matholiul Falah</v>
      </c>
    </row>
    <row r="30" spans="1:23" ht="15.75" hidden="1" thickBot="1" x14ac:dyDescent="0.3">
      <c r="A30" s="33">
        <v>45999.946087962962</v>
      </c>
      <c r="B30" s="34" t="s">
        <v>953</v>
      </c>
      <c r="C30" s="34" t="s">
        <v>268</v>
      </c>
      <c r="D30" s="34" t="s">
        <v>475</v>
      </c>
      <c r="E30" s="34" t="s">
        <v>28</v>
      </c>
      <c r="F30" s="35">
        <v>41600</v>
      </c>
      <c r="G30" s="34" t="s">
        <v>476</v>
      </c>
      <c r="H30" s="34" t="s">
        <v>477</v>
      </c>
      <c r="I30" s="34" t="s">
        <v>2</v>
      </c>
      <c r="J30" s="36" t="s">
        <v>1435</v>
      </c>
      <c r="K30" s="34" t="s">
        <v>1436</v>
      </c>
      <c r="L30" s="78" t="s">
        <v>474</v>
      </c>
      <c r="M30" s="37" t="s">
        <v>1437</v>
      </c>
      <c r="N30">
        <v>256</v>
      </c>
      <c r="O30" t="str">
        <f t="shared" si="0"/>
        <v>EBTAQ25-03.014</v>
      </c>
      <c r="P30" t="str">
        <f t="shared" si="1"/>
        <v>SANIA INDANA ZULFA</v>
      </c>
      <c r="Q30" t="str">
        <f t="shared" si="2"/>
        <v>Perempuan</v>
      </c>
      <c r="R30" t="str">
        <f t="shared" si="3"/>
        <v>DEMAK</v>
      </c>
      <c r="S30" s="21">
        <f t="shared" si="4"/>
        <v>41600</v>
      </c>
      <c r="T30" t="str">
        <f t="shared" si="5"/>
        <v>MUHSON</v>
      </c>
      <c r="U30" t="str">
        <f t="shared" si="6"/>
        <v>ISTIKOMAH</v>
      </c>
      <c r="V30" t="str">
        <f>VLOOKUP(O30,Lembar1!$A$4:$H$457,8,FALSE)</f>
        <v>BIO_Images/EBTAQ25-03.014.jpg</v>
      </c>
      <c r="W30" t="str">
        <f>IFERROR(VLOOKUP(O30,Lembar1!$A$4:$I$457,9,FALSE),C30)</f>
        <v>BMW - Matholiul Falah</v>
      </c>
    </row>
    <row r="31" spans="1:23" ht="15.75" hidden="1" thickBot="1" x14ac:dyDescent="0.3">
      <c r="A31" s="28">
        <v>46000.397615740738</v>
      </c>
      <c r="B31" s="29" t="s">
        <v>953</v>
      </c>
      <c r="C31" s="29" t="s">
        <v>268</v>
      </c>
      <c r="D31" s="29" t="s">
        <v>523</v>
      </c>
      <c r="E31" s="29" t="s">
        <v>402</v>
      </c>
      <c r="F31" s="30">
        <v>41460</v>
      </c>
      <c r="G31" s="29" t="s">
        <v>524</v>
      </c>
      <c r="H31" s="29" t="s">
        <v>525</v>
      </c>
      <c r="I31" s="29" t="s">
        <v>2</v>
      </c>
      <c r="J31" s="31" t="s">
        <v>1474</v>
      </c>
      <c r="K31" s="29" t="s">
        <v>1475</v>
      </c>
      <c r="L31" s="77" t="s">
        <v>522</v>
      </c>
      <c r="M31" s="32" t="s">
        <v>1476</v>
      </c>
      <c r="N31">
        <v>257</v>
      </c>
      <c r="O31" t="str">
        <f t="shared" si="0"/>
        <v>EBTAQ25-03.015</v>
      </c>
      <c r="P31" t="str">
        <f t="shared" si="1"/>
        <v>afifa fitiya</v>
      </c>
      <c r="Q31" t="str">
        <f t="shared" si="2"/>
        <v>Perempuan</v>
      </c>
      <c r="R31" t="str">
        <f t="shared" si="3"/>
        <v>demak</v>
      </c>
      <c r="S31" s="21">
        <f t="shared" si="4"/>
        <v>41460</v>
      </c>
      <c r="T31" t="str">
        <f t="shared" si="5"/>
        <v>Arif Wibowo</v>
      </c>
      <c r="U31" t="str">
        <f t="shared" si="6"/>
        <v>siti zulaekhah</v>
      </c>
      <c r="V31" t="str">
        <f>VLOOKUP(O31,Lembar1!$A$4:$H$457,8,FALSE)</f>
        <v>BIO_Images/EBTAQ25-03.015.jpg</v>
      </c>
      <c r="W31" t="str">
        <f>IFERROR(VLOOKUP(O31,Lembar1!$A$4:$I$457,9,FALSE),C31)</f>
        <v>BMW - Matholiul Falah</v>
      </c>
    </row>
    <row r="32" spans="1:23" ht="15.75" hidden="1" thickBot="1" x14ac:dyDescent="0.3">
      <c r="A32" s="50">
        <v>46000.412083333336</v>
      </c>
      <c r="B32" s="53" t="s">
        <v>953</v>
      </c>
      <c r="C32" s="53" t="s">
        <v>268</v>
      </c>
      <c r="D32" s="53" t="s">
        <v>475</v>
      </c>
      <c r="E32" s="53" t="s">
        <v>10</v>
      </c>
      <c r="F32" s="57">
        <v>41600</v>
      </c>
      <c r="G32" s="53" t="s">
        <v>476</v>
      </c>
      <c r="H32" s="53" t="s">
        <v>543</v>
      </c>
      <c r="I32" s="53" t="s">
        <v>2</v>
      </c>
      <c r="J32" s="60" t="s">
        <v>1487</v>
      </c>
      <c r="K32" s="53" t="s">
        <v>1488</v>
      </c>
      <c r="L32" s="78" t="s">
        <v>542</v>
      </c>
      <c r="M32" s="32" t="s">
        <v>1489</v>
      </c>
      <c r="N32">
        <v>258</v>
      </c>
      <c r="O32" t="str">
        <f t="shared" si="0"/>
        <v>EBTAQ25-03.016</v>
      </c>
      <c r="P32" t="str">
        <f t="shared" si="1"/>
        <v>SANIA INDANA ZULFA</v>
      </c>
      <c r="Q32" t="str">
        <f t="shared" si="2"/>
        <v>Perempuan</v>
      </c>
      <c r="R32" t="str">
        <f t="shared" si="3"/>
        <v>Demak</v>
      </c>
      <c r="S32" s="21">
        <f t="shared" si="4"/>
        <v>41600</v>
      </c>
      <c r="T32" t="str">
        <f t="shared" si="5"/>
        <v>MUHSON</v>
      </c>
      <c r="U32" t="str">
        <f t="shared" si="6"/>
        <v>ISTIQOMAH</v>
      </c>
      <c r="V32" t="str">
        <f>VLOOKUP(O32,Lembar1!$A$4:$H$457,8,FALSE)</f>
        <v>BIO_Images/EBTAQ25-03.016.jpg</v>
      </c>
      <c r="W32" t="str">
        <f>IFERROR(VLOOKUP(O32,Lembar1!$A$4:$I$457,9,FALSE),C32)</f>
        <v>BMW - Matholiul Falah</v>
      </c>
    </row>
    <row r="33" spans="1:23" ht="15.75" hidden="1" thickBot="1" x14ac:dyDescent="0.3">
      <c r="A33" s="49">
        <v>46000.571250000001</v>
      </c>
      <c r="B33" s="52" t="s">
        <v>953</v>
      </c>
      <c r="C33" s="52" t="s">
        <v>268</v>
      </c>
      <c r="D33" s="52" t="s">
        <v>600</v>
      </c>
      <c r="E33" s="52" t="s">
        <v>10</v>
      </c>
      <c r="F33" s="56">
        <v>42646</v>
      </c>
      <c r="G33" s="52" t="s">
        <v>601</v>
      </c>
      <c r="H33" s="52" t="s">
        <v>602</v>
      </c>
      <c r="I33" s="52" t="s">
        <v>2</v>
      </c>
      <c r="J33" s="59" t="s">
        <v>1553</v>
      </c>
      <c r="K33" s="52" t="s">
        <v>1554</v>
      </c>
      <c r="L33" s="77" t="s">
        <v>599</v>
      </c>
      <c r="M33" s="37" t="s">
        <v>1555</v>
      </c>
      <c r="N33">
        <v>259</v>
      </c>
      <c r="O33" t="str">
        <f t="shared" si="0"/>
        <v>EBTAQ25-03.017</v>
      </c>
      <c r="P33" t="str">
        <f t="shared" si="1"/>
        <v>ADILA NISA ARDHANI</v>
      </c>
      <c r="Q33" t="str">
        <f t="shared" si="2"/>
        <v>Perempuan</v>
      </c>
      <c r="R33" t="str">
        <f t="shared" si="3"/>
        <v>Demak</v>
      </c>
      <c r="S33" s="21">
        <f t="shared" si="4"/>
        <v>42646</v>
      </c>
      <c r="T33" t="str">
        <f t="shared" si="5"/>
        <v>KUSMIYANTO</v>
      </c>
      <c r="U33" t="str">
        <f t="shared" si="6"/>
        <v>NUR AFIFAH</v>
      </c>
      <c r="V33" t="str">
        <f>VLOOKUP(O33,Lembar1!$A$4:$H$457,8,FALSE)</f>
        <v>BIO_Images/EBTAQ25-03.017.jpeg</v>
      </c>
      <c r="W33" t="str">
        <f>IFERROR(VLOOKUP(O33,Lembar1!$A$4:$I$457,9,FALSE),C33)</f>
        <v>BMW - Matholiul Falah</v>
      </c>
    </row>
    <row r="34" spans="1:23" ht="15.75" hidden="1" thickBot="1" x14ac:dyDescent="0.3">
      <c r="A34" s="50">
        <v>45995.459837962961</v>
      </c>
      <c r="B34" s="53" t="s">
        <v>953</v>
      </c>
      <c r="C34" s="53" t="s">
        <v>196</v>
      </c>
      <c r="D34" s="53" t="s">
        <v>192</v>
      </c>
      <c r="E34" s="53" t="s">
        <v>28</v>
      </c>
      <c r="F34" s="57">
        <v>42532</v>
      </c>
      <c r="G34" s="53" t="s">
        <v>193</v>
      </c>
      <c r="H34" s="53" t="s">
        <v>194</v>
      </c>
      <c r="I34" s="53" t="s">
        <v>2</v>
      </c>
      <c r="J34" s="60" t="s">
        <v>1032</v>
      </c>
      <c r="K34" s="53" t="s">
        <v>1033</v>
      </c>
      <c r="L34" s="78" t="s">
        <v>191</v>
      </c>
      <c r="M34" s="32" t="s">
        <v>1034</v>
      </c>
      <c r="N34">
        <v>260</v>
      </c>
      <c r="O34" t="str">
        <f t="shared" si="0"/>
        <v>EBTAQ25-03.004</v>
      </c>
      <c r="P34" t="str">
        <f t="shared" si="1"/>
        <v>GEBRIEL JUNITA AZ-ZAHRA</v>
      </c>
      <c r="Q34" t="str">
        <f t="shared" si="2"/>
        <v>Perempuan</v>
      </c>
      <c r="R34" t="str">
        <f t="shared" si="3"/>
        <v>DEMAK</v>
      </c>
      <c r="S34" s="21">
        <f t="shared" si="4"/>
        <v>42532</v>
      </c>
      <c r="T34" t="str">
        <f t="shared" si="5"/>
        <v>ROMDHON</v>
      </c>
      <c r="U34" t="str">
        <f t="shared" si="6"/>
        <v>NUR HAYATI</v>
      </c>
      <c r="V34" t="str">
        <f>VLOOKUP(O34,Lembar1!$A$4:$H$457,8,FALSE)</f>
        <v>BIO_Images/EBTAQ25-03.004.jpeg</v>
      </c>
      <c r="W34" t="str">
        <f>IFERROR(VLOOKUP(O34,Lembar1!$A$4:$I$457,9,FALSE),C34)</f>
        <v>BMW - Roudhotus Syifa</v>
      </c>
    </row>
    <row r="35" spans="1:23" ht="15.75" hidden="1" thickBot="1" x14ac:dyDescent="0.3">
      <c r="A35" s="49">
        <v>45995.466990740744</v>
      </c>
      <c r="B35" s="52" t="s">
        <v>953</v>
      </c>
      <c r="C35" s="52" t="s">
        <v>196</v>
      </c>
      <c r="D35" s="52" t="s">
        <v>198</v>
      </c>
      <c r="E35" s="52" t="s">
        <v>28</v>
      </c>
      <c r="F35" s="56">
        <v>42553</v>
      </c>
      <c r="G35" s="52" t="s">
        <v>199</v>
      </c>
      <c r="H35" s="52" t="s">
        <v>200</v>
      </c>
      <c r="I35" s="52" t="s">
        <v>2</v>
      </c>
      <c r="J35" s="59" t="s">
        <v>1035</v>
      </c>
      <c r="K35" s="52" t="s">
        <v>1036</v>
      </c>
      <c r="L35" s="77" t="s">
        <v>197</v>
      </c>
      <c r="M35" s="37" t="s">
        <v>1037</v>
      </c>
      <c r="N35">
        <v>261</v>
      </c>
      <c r="O35" t="str">
        <f t="shared" si="0"/>
        <v>EBTAQ25-03.005</v>
      </c>
      <c r="P35" t="str">
        <f t="shared" si="1"/>
        <v>NELY LIZA LISTIANY</v>
      </c>
      <c r="Q35" t="str">
        <f t="shared" si="2"/>
        <v>Perempuan</v>
      </c>
      <c r="R35" t="str">
        <f t="shared" si="3"/>
        <v>DEMAK</v>
      </c>
      <c r="S35" s="21">
        <f t="shared" si="4"/>
        <v>42553</v>
      </c>
      <c r="T35" t="str">
        <f t="shared" si="5"/>
        <v>NUR KHOLIS</v>
      </c>
      <c r="U35" t="str">
        <f t="shared" si="6"/>
        <v>NUR AZIZAH</v>
      </c>
      <c r="V35" t="str">
        <f>VLOOKUP(O35,Lembar1!$A$4:$H$457,8,FALSE)</f>
        <v>BIO_Images/EBTAQ25-03.005.jpg</v>
      </c>
      <c r="W35" t="str">
        <f>IFERROR(VLOOKUP(O35,Lembar1!$A$4:$I$457,9,FALSE),C35)</f>
        <v>BMW - Roudhotus Syifa</v>
      </c>
    </row>
    <row r="36" spans="1:23" ht="15.75" hidden="1" thickBot="1" x14ac:dyDescent="0.3">
      <c r="A36" s="50">
        <v>46000.617118055554</v>
      </c>
      <c r="B36" s="53" t="s">
        <v>953</v>
      </c>
      <c r="C36" s="53" t="s">
        <v>609</v>
      </c>
      <c r="D36" s="53" t="s">
        <v>605</v>
      </c>
      <c r="E36" s="53" t="s">
        <v>10</v>
      </c>
      <c r="F36" s="57">
        <v>42627</v>
      </c>
      <c r="G36" s="53" t="s">
        <v>606</v>
      </c>
      <c r="H36" s="53" t="s">
        <v>607</v>
      </c>
      <c r="I36" s="53" t="s">
        <v>66</v>
      </c>
      <c r="J36" s="60" t="s">
        <v>1556</v>
      </c>
      <c r="K36" s="53" t="s">
        <v>1557</v>
      </c>
      <c r="L36" s="78" t="s">
        <v>604</v>
      </c>
      <c r="M36" s="32" t="s">
        <v>1558</v>
      </c>
      <c r="N36">
        <v>262</v>
      </c>
      <c r="O36" t="str">
        <f t="shared" si="0"/>
        <v>EBTAQ25-03.018</v>
      </c>
      <c r="P36" t="str">
        <f t="shared" si="1"/>
        <v>Ahmad Fadhil Rizqy Pratama</v>
      </c>
      <c r="Q36" t="str">
        <f t="shared" si="2"/>
        <v>Laki-laki</v>
      </c>
      <c r="R36" t="str">
        <f t="shared" si="3"/>
        <v>Demak</v>
      </c>
      <c r="S36" s="21">
        <f t="shared" si="4"/>
        <v>42627</v>
      </c>
      <c r="T36" t="str">
        <f t="shared" si="5"/>
        <v>Hamdan Fais</v>
      </c>
      <c r="U36" t="str">
        <f t="shared" si="6"/>
        <v>Solekhah</v>
      </c>
      <c r="V36" t="str">
        <f>VLOOKUP(O36,Lembar1!$A$4:$H$457,8,FALSE)</f>
        <v>BIO_Images/EBTAQ25-03.018.jpg</v>
      </c>
      <c r="W36" t="str">
        <f>IFERROR(VLOOKUP(O36,Lembar1!$A$4:$I$457,9,FALSE),C36)</f>
        <v>BMW - Roudhotut Tholibin</v>
      </c>
    </row>
    <row r="37" spans="1:23" ht="15.75" hidden="1" thickBot="1" x14ac:dyDescent="0.3">
      <c r="A37" s="28">
        <v>46000.621099537035</v>
      </c>
      <c r="B37" s="29" t="s">
        <v>953</v>
      </c>
      <c r="C37" s="29" t="s">
        <v>609</v>
      </c>
      <c r="D37" s="29" t="s">
        <v>611</v>
      </c>
      <c r="E37" s="29" t="s">
        <v>10</v>
      </c>
      <c r="F37" s="30">
        <v>42499</v>
      </c>
      <c r="G37" s="29" t="s">
        <v>612</v>
      </c>
      <c r="H37" s="29" t="s">
        <v>613</v>
      </c>
      <c r="I37" s="29" t="s">
        <v>66</v>
      </c>
      <c r="J37" s="31" t="s">
        <v>1564</v>
      </c>
      <c r="K37" s="29" t="s">
        <v>1565</v>
      </c>
      <c r="L37" s="77" t="s">
        <v>610</v>
      </c>
      <c r="M37" s="32" t="s">
        <v>1566</v>
      </c>
      <c r="N37">
        <v>263</v>
      </c>
      <c r="O37" t="str">
        <f t="shared" si="0"/>
        <v>EBTAQ25-03.019</v>
      </c>
      <c r="P37" t="str">
        <f t="shared" si="1"/>
        <v>Raka Dwi Prahasta</v>
      </c>
      <c r="Q37" t="str">
        <f t="shared" si="2"/>
        <v>Laki-laki</v>
      </c>
      <c r="R37" t="str">
        <f t="shared" si="3"/>
        <v>Demak</v>
      </c>
      <c r="S37" s="21">
        <f t="shared" si="4"/>
        <v>42499</v>
      </c>
      <c r="T37" t="str">
        <f t="shared" si="5"/>
        <v>Sofii</v>
      </c>
      <c r="U37" t="str">
        <f t="shared" si="6"/>
        <v>Miyati</v>
      </c>
      <c r="V37" t="str">
        <f>VLOOKUP(O37,Lembar1!$A$4:$H$457,8,FALSE)</f>
        <v>BIO_Images/EBTAQ25-03.019.jpg</v>
      </c>
      <c r="W37" t="str">
        <f>IFERROR(VLOOKUP(O37,Lembar1!$A$4:$I$457,9,FALSE),C37)</f>
        <v>BMW - Roudhotut Tholibin</v>
      </c>
    </row>
    <row r="38" spans="1:23" ht="15.75" hidden="1" thickBot="1" x14ac:dyDescent="0.3">
      <c r="A38" s="50">
        <v>46000.628750000003</v>
      </c>
      <c r="B38" s="53" t="s">
        <v>953</v>
      </c>
      <c r="C38" s="53" t="s">
        <v>609</v>
      </c>
      <c r="D38" s="53" t="s">
        <v>619</v>
      </c>
      <c r="E38" s="53" t="s">
        <v>10</v>
      </c>
      <c r="F38" s="57">
        <v>42694</v>
      </c>
      <c r="G38" s="53" t="s">
        <v>620</v>
      </c>
      <c r="H38" s="53" t="s">
        <v>621</v>
      </c>
      <c r="I38" s="53" t="s">
        <v>66</v>
      </c>
      <c r="J38" s="60" t="s">
        <v>1570</v>
      </c>
      <c r="K38" s="53" t="s">
        <v>1571</v>
      </c>
      <c r="L38" s="78" t="s">
        <v>618</v>
      </c>
      <c r="M38" s="32" t="s">
        <v>1572</v>
      </c>
      <c r="N38">
        <v>264</v>
      </c>
      <c r="O38" t="str">
        <f t="shared" si="0"/>
        <v>EBTAQ25-03.020</v>
      </c>
      <c r="P38" t="str">
        <f t="shared" si="1"/>
        <v>Ahmad Najib Anugraha</v>
      </c>
      <c r="Q38" t="str">
        <f t="shared" si="2"/>
        <v>Laki-laki</v>
      </c>
      <c r="R38" t="str">
        <f t="shared" si="3"/>
        <v>Demak</v>
      </c>
      <c r="S38" s="21">
        <f t="shared" si="4"/>
        <v>42694</v>
      </c>
      <c r="T38" t="str">
        <f t="shared" si="5"/>
        <v>Wahyudi</v>
      </c>
      <c r="U38" t="str">
        <f t="shared" si="6"/>
        <v>Sukarlin</v>
      </c>
      <c r="V38" t="str">
        <f>VLOOKUP(O38,Lembar1!$A$4:$H$457,8,FALSE)</f>
        <v>BIO_Images/EBTAQ25-03.020.jpg</v>
      </c>
      <c r="W38" t="str">
        <f>IFERROR(VLOOKUP(O38,Lembar1!$A$4:$I$457,9,FALSE),C38)</f>
        <v>BMW - Roudhotut Tholibin</v>
      </c>
    </row>
    <row r="39" spans="1:23" ht="15.75" hidden="1" thickBot="1" x14ac:dyDescent="0.3">
      <c r="A39" s="49">
        <v>46000.632384259261</v>
      </c>
      <c r="B39" s="52" t="s">
        <v>953</v>
      </c>
      <c r="C39" s="52" t="s">
        <v>609</v>
      </c>
      <c r="D39" s="52" t="s">
        <v>624</v>
      </c>
      <c r="E39" s="52" t="s">
        <v>10</v>
      </c>
      <c r="F39" s="56">
        <v>42252</v>
      </c>
      <c r="G39" s="52" t="s">
        <v>625</v>
      </c>
      <c r="H39" s="52" t="s">
        <v>626</v>
      </c>
      <c r="I39" s="52" t="s">
        <v>2</v>
      </c>
      <c r="J39" s="59" t="s">
        <v>1573</v>
      </c>
      <c r="K39" s="52" t="s">
        <v>1574</v>
      </c>
      <c r="L39" s="77" t="s">
        <v>623</v>
      </c>
      <c r="M39" s="37" t="s">
        <v>1575</v>
      </c>
      <c r="N39">
        <v>265</v>
      </c>
      <c r="O39" t="str">
        <f t="shared" si="0"/>
        <v>EBTAQ25-03.021</v>
      </c>
      <c r="P39" t="str">
        <f t="shared" si="1"/>
        <v>Rafaizza Aquila Bilqis Annur</v>
      </c>
      <c r="Q39" t="str">
        <f t="shared" si="2"/>
        <v>Perempuan</v>
      </c>
      <c r="R39" t="str">
        <f t="shared" si="3"/>
        <v>Demak</v>
      </c>
      <c r="S39" s="21">
        <f t="shared" si="4"/>
        <v>42252</v>
      </c>
      <c r="T39" t="str">
        <f t="shared" si="5"/>
        <v>Nur Rondi</v>
      </c>
      <c r="U39" t="str">
        <f t="shared" si="6"/>
        <v>Diah Apriliani</v>
      </c>
      <c r="V39" t="str">
        <f>VLOOKUP(O39,Lembar1!$A$4:$H$457,8,FALSE)</f>
        <v>BIO_Images/EBTAQ25-03.021.jpg</v>
      </c>
      <c r="W39" t="str">
        <f>IFERROR(VLOOKUP(O39,Lembar1!$A$4:$I$457,9,FALSE),C39)</f>
        <v>BMW - Roudhotut Tholibin</v>
      </c>
    </row>
    <row r="40" spans="1:23" ht="15.75" hidden="1" thickBot="1" x14ac:dyDescent="0.3">
      <c r="A40" s="50">
        <v>46000.635613425926</v>
      </c>
      <c r="B40" s="53" t="s">
        <v>953</v>
      </c>
      <c r="C40" s="53" t="s">
        <v>609</v>
      </c>
      <c r="D40" s="53" t="s">
        <v>629</v>
      </c>
      <c r="E40" s="53" t="s">
        <v>10</v>
      </c>
      <c r="F40" s="57">
        <v>42138</v>
      </c>
      <c r="G40" s="53" t="s">
        <v>630</v>
      </c>
      <c r="H40" s="53" t="s">
        <v>631</v>
      </c>
      <c r="I40" s="53" t="s">
        <v>2</v>
      </c>
      <c r="J40" s="60" t="s">
        <v>1576</v>
      </c>
      <c r="K40" s="53" t="s">
        <v>1577</v>
      </c>
      <c r="L40" s="78" t="s">
        <v>628</v>
      </c>
      <c r="M40" s="32" t="s">
        <v>1578</v>
      </c>
      <c r="N40">
        <v>266</v>
      </c>
      <c r="O40" t="str">
        <f t="shared" si="0"/>
        <v>EBTAQ25-03.022</v>
      </c>
      <c r="P40" t="str">
        <f t="shared" si="1"/>
        <v>Mahera Adelia wibowo</v>
      </c>
      <c r="Q40" t="str">
        <f t="shared" si="2"/>
        <v>Perempuan</v>
      </c>
      <c r="R40" t="str">
        <f t="shared" si="3"/>
        <v>Demak</v>
      </c>
      <c r="S40" s="21">
        <f t="shared" si="4"/>
        <v>42138</v>
      </c>
      <c r="T40" t="str">
        <f t="shared" si="5"/>
        <v>Aji krisna Wibowo</v>
      </c>
      <c r="U40" t="str">
        <f t="shared" si="6"/>
        <v>Siti khamidah</v>
      </c>
      <c r="V40" t="str">
        <f>VLOOKUP(O40,Lembar1!$A$4:$H$457,8,FALSE)</f>
        <v>BIO_Images/EBTAQ25-03.022.jpg</v>
      </c>
      <c r="W40" t="str">
        <f>IFERROR(VLOOKUP(O40,Lembar1!$A$4:$I$457,9,FALSE),C40)</f>
        <v>BMW - Roudhotut Tholibin</v>
      </c>
    </row>
    <row r="41" spans="1:23" ht="15.75" hidden="1" thickBot="1" x14ac:dyDescent="0.3">
      <c r="A41" s="49">
        <v>46000.638437499998</v>
      </c>
      <c r="B41" s="52" t="s">
        <v>953</v>
      </c>
      <c r="C41" s="52" t="s">
        <v>609</v>
      </c>
      <c r="D41" s="52" t="s">
        <v>634</v>
      </c>
      <c r="E41" s="52" t="s">
        <v>10</v>
      </c>
      <c r="F41" s="56">
        <v>42640</v>
      </c>
      <c r="G41" s="52" t="s">
        <v>635</v>
      </c>
      <c r="H41" s="52" t="s">
        <v>636</v>
      </c>
      <c r="I41" s="52" t="s">
        <v>2</v>
      </c>
      <c r="J41" s="59" t="s">
        <v>1579</v>
      </c>
      <c r="K41" s="52" t="s">
        <v>1580</v>
      </c>
      <c r="L41" s="77" t="s">
        <v>633</v>
      </c>
      <c r="M41" s="37" t="s">
        <v>1581</v>
      </c>
      <c r="N41">
        <v>267</v>
      </c>
      <c r="O41" t="str">
        <f t="shared" si="0"/>
        <v>EBTAQ25-03.023</v>
      </c>
      <c r="P41" t="str">
        <f t="shared" si="1"/>
        <v>Shofatul Aini</v>
      </c>
      <c r="Q41" t="str">
        <f t="shared" si="2"/>
        <v>Perempuan</v>
      </c>
      <c r="R41" t="str">
        <f t="shared" si="3"/>
        <v>Demak</v>
      </c>
      <c r="S41" s="21">
        <f t="shared" si="4"/>
        <v>42640</v>
      </c>
      <c r="T41" t="str">
        <f t="shared" si="5"/>
        <v>Mat Sholeh</v>
      </c>
      <c r="U41" t="str">
        <f t="shared" si="6"/>
        <v>Sarodah</v>
      </c>
      <c r="V41" t="str">
        <f>VLOOKUP(O41,Lembar1!$A$4:$H$457,8,FALSE)</f>
        <v>BIO_Images/EBTAQ25-03.023.jpg</v>
      </c>
      <c r="W41" t="str">
        <f>IFERROR(VLOOKUP(O41,Lembar1!$A$4:$I$457,9,FALSE),C41)</f>
        <v>BMW - Roudhotut Tholibin</v>
      </c>
    </row>
    <row r="42" spans="1:23" ht="15.75" hidden="1" thickBot="1" x14ac:dyDescent="0.3">
      <c r="A42" s="50">
        <v>46000.640509259261</v>
      </c>
      <c r="B42" s="53" t="s">
        <v>953</v>
      </c>
      <c r="C42" s="53" t="s">
        <v>609</v>
      </c>
      <c r="D42" s="53" t="s">
        <v>639</v>
      </c>
      <c r="E42" s="53" t="s">
        <v>10</v>
      </c>
      <c r="F42" s="57">
        <v>41933</v>
      </c>
      <c r="G42" s="53" t="s">
        <v>640</v>
      </c>
      <c r="H42" s="53" t="s">
        <v>641</v>
      </c>
      <c r="I42" s="53" t="s">
        <v>66</v>
      </c>
      <c r="J42" s="60" t="s">
        <v>1582</v>
      </c>
      <c r="K42" s="53" t="s">
        <v>1583</v>
      </c>
      <c r="L42" s="78" t="s">
        <v>638</v>
      </c>
      <c r="M42" s="32" t="s">
        <v>1584</v>
      </c>
      <c r="N42">
        <v>268</v>
      </c>
      <c r="O42" t="str">
        <f t="shared" si="0"/>
        <v>EBTAQ25-03.024</v>
      </c>
      <c r="P42" t="str">
        <f t="shared" si="1"/>
        <v>Muhammad Ganjar Jatmiko</v>
      </c>
      <c r="Q42" t="str">
        <f t="shared" si="2"/>
        <v>Laki-laki</v>
      </c>
      <c r="R42" t="str">
        <f t="shared" si="3"/>
        <v>Demak</v>
      </c>
      <c r="S42" s="21">
        <f t="shared" si="4"/>
        <v>41933</v>
      </c>
      <c r="T42" t="str">
        <f t="shared" si="5"/>
        <v>Muakhorin</v>
      </c>
      <c r="U42" t="str">
        <f t="shared" si="6"/>
        <v>Iskowati</v>
      </c>
      <c r="V42" t="str">
        <f>VLOOKUP(O42,Lembar1!$A$4:$H$457,8,FALSE)</f>
        <v>BIO_Images/EBTAQ25-03.024.jpg</v>
      </c>
      <c r="W42" t="str">
        <f>IFERROR(VLOOKUP(O42,Lembar1!$A$4:$I$457,9,FALSE),C42)</f>
        <v>BMW - Roudhotut Tholibin</v>
      </c>
    </row>
    <row r="43" spans="1:23" ht="15.75" hidden="1" thickBot="1" x14ac:dyDescent="0.3">
      <c r="A43" s="28">
        <v>46000.654803240737</v>
      </c>
      <c r="B43" s="29" t="s">
        <v>953</v>
      </c>
      <c r="C43" s="29" t="s">
        <v>609</v>
      </c>
      <c r="D43" s="29" t="s">
        <v>644</v>
      </c>
      <c r="E43" s="29" t="s">
        <v>10</v>
      </c>
      <c r="F43" s="30">
        <v>42465</v>
      </c>
      <c r="G43" s="29" t="s">
        <v>645</v>
      </c>
      <c r="H43" s="29" t="s">
        <v>646</v>
      </c>
      <c r="I43" s="29" t="s">
        <v>66</v>
      </c>
      <c r="J43" s="31" t="s">
        <v>1590</v>
      </c>
      <c r="K43" s="29" t="s">
        <v>1591</v>
      </c>
      <c r="L43" s="77" t="s">
        <v>643</v>
      </c>
      <c r="M43" s="32" t="s">
        <v>1592</v>
      </c>
      <c r="N43">
        <v>269</v>
      </c>
      <c r="O43" t="str">
        <f t="shared" si="0"/>
        <v>EBTAQ25-03.025</v>
      </c>
      <c r="P43" t="str">
        <f t="shared" si="1"/>
        <v>Muhammad Syarif Hilmi</v>
      </c>
      <c r="Q43" t="str">
        <f t="shared" si="2"/>
        <v>Laki-laki</v>
      </c>
      <c r="R43" t="str">
        <f t="shared" si="3"/>
        <v>Demak</v>
      </c>
      <c r="S43" s="21">
        <f t="shared" si="4"/>
        <v>42465</v>
      </c>
      <c r="T43" t="str">
        <f t="shared" si="5"/>
        <v>Ubaidillah</v>
      </c>
      <c r="U43" t="str">
        <f t="shared" si="6"/>
        <v>Mujiatun</v>
      </c>
      <c r="V43" t="str">
        <f>VLOOKUP(O43,Lembar1!$A$4:$H$457,8,FALSE)</f>
        <v>BIO_Images/EBTAQ25-03.025.jpg</v>
      </c>
      <c r="W43" t="str">
        <f>IFERROR(VLOOKUP(O43,Lembar1!$A$4:$I$457,9,FALSE),C43)</f>
        <v>BMW - Roudhotut Tholibin</v>
      </c>
    </row>
    <row r="44" spans="1:23" ht="15.75" thickBot="1" x14ac:dyDescent="0.3">
      <c r="A44" s="67">
        <v>45999.499525462961</v>
      </c>
      <c r="B44" s="68" t="s">
        <v>1153</v>
      </c>
      <c r="C44" s="68" t="s">
        <v>1260</v>
      </c>
      <c r="D44" s="68" t="s">
        <v>1284</v>
      </c>
      <c r="E44" s="68" t="s">
        <v>28</v>
      </c>
      <c r="F44" s="69">
        <v>43663</v>
      </c>
      <c r="G44" s="68" t="s">
        <v>1285</v>
      </c>
      <c r="H44" s="68" t="s">
        <v>1286</v>
      </c>
      <c r="I44" s="68" t="s">
        <v>2</v>
      </c>
      <c r="J44" s="70" t="s">
        <v>1287</v>
      </c>
      <c r="K44" s="68" t="s">
        <v>1288</v>
      </c>
      <c r="L44" s="79" t="s">
        <v>3027</v>
      </c>
      <c r="M44" s="71"/>
      <c r="N44">
        <v>575</v>
      </c>
      <c r="O44" t="str">
        <f t="shared" ref="O44:O75" si="7">L44</f>
        <v>EBTAQ25-03.116</v>
      </c>
      <c r="P44" t="str">
        <f t="shared" ref="P44:P75" si="8">D44</f>
        <v>ADILA KEISHA FATHIYYATURAHMA</v>
      </c>
      <c r="Q44" t="str">
        <f t="shared" ref="Q44:Q75" si="9">I44</f>
        <v>Perempuan</v>
      </c>
      <c r="R44" t="str">
        <f t="shared" ref="R44:R75" si="10">E44</f>
        <v>DEMAK</v>
      </c>
      <c r="S44" s="21">
        <f t="shared" ref="S44:S75" si="11">F44</f>
        <v>43663</v>
      </c>
      <c r="T44" t="str">
        <f t="shared" ref="T44:T75" si="12">G44</f>
        <v>AHMAD ROFIK</v>
      </c>
      <c r="U44" t="str">
        <f t="shared" ref="U44:U75" si="13">H44</f>
        <v>MASRUROH</v>
      </c>
      <c r="V44" t="e">
        <f>VLOOKUP(O44,Lembar1!$A$4:$H$457,8,FALSE)</f>
        <v>#N/A</v>
      </c>
      <c r="W44" t="str">
        <f>IFERROR(VLOOKUP(O44,Lembar1!$A$4:$I$457,9,FALSE),C44)</f>
        <v>Dewoka - Roudlotul Muta'allimin</v>
      </c>
    </row>
    <row r="45" spans="1:23" ht="15.75" hidden="1" thickBot="1" x14ac:dyDescent="0.3">
      <c r="A45" s="28">
        <v>46000.658622685187</v>
      </c>
      <c r="B45" s="29" t="s">
        <v>953</v>
      </c>
      <c r="C45" s="29" t="s">
        <v>609</v>
      </c>
      <c r="D45" s="29" t="s">
        <v>649</v>
      </c>
      <c r="E45" s="29" t="s">
        <v>10</v>
      </c>
      <c r="F45" s="30">
        <v>42642</v>
      </c>
      <c r="G45" s="29" t="s">
        <v>650</v>
      </c>
      <c r="H45" s="29" t="s">
        <v>651</v>
      </c>
      <c r="I45" s="29" t="s">
        <v>2</v>
      </c>
      <c r="J45" s="31" t="s">
        <v>1595</v>
      </c>
      <c r="K45" s="29" t="s">
        <v>1596</v>
      </c>
      <c r="L45" s="77" t="s">
        <v>648</v>
      </c>
      <c r="M45" s="32" t="s">
        <v>1597</v>
      </c>
      <c r="N45">
        <v>271</v>
      </c>
      <c r="O45" t="str">
        <f t="shared" si="7"/>
        <v>EBTAQ25-03.027</v>
      </c>
      <c r="P45" t="str">
        <f t="shared" si="8"/>
        <v>Nadia Aulia</v>
      </c>
      <c r="Q45" t="str">
        <f t="shared" si="9"/>
        <v>Perempuan</v>
      </c>
      <c r="R45" t="str">
        <f t="shared" si="10"/>
        <v>Demak</v>
      </c>
      <c r="S45" s="21">
        <f t="shared" si="11"/>
        <v>42642</v>
      </c>
      <c r="T45" t="str">
        <f t="shared" si="12"/>
        <v>Abdul shomad</v>
      </c>
      <c r="U45" t="str">
        <f t="shared" si="13"/>
        <v>Rina susanti</v>
      </c>
      <c r="V45" t="str">
        <f>VLOOKUP(O45,Lembar1!$A$4:$H$457,8,FALSE)</f>
        <v>BIO_Images/EBTAQ25-03.027.jpg</v>
      </c>
      <c r="W45" t="str">
        <f>IFERROR(VLOOKUP(O45,Lembar1!$A$4:$I$457,9,FALSE),C45)</f>
        <v>BMW - Roudhotut Tholibin</v>
      </c>
    </row>
    <row r="46" spans="1:23" ht="15.75" hidden="1" thickBot="1" x14ac:dyDescent="0.3">
      <c r="A46" s="50">
        <v>46000.669560185182</v>
      </c>
      <c r="B46" s="53" t="s">
        <v>953</v>
      </c>
      <c r="C46" s="53" t="s">
        <v>609</v>
      </c>
      <c r="D46" s="53" t="s">
        <v>657</v>
      </c>
      <c r="E46" s="53" t="s">
        <v>10</v>
      </c>
      <c r="F46" s="57">
        <v>43172</v>
      </c>
      <c r="G46" s="53" t="s">
        <v>658</v>
      </c>
      <c r="H46" s="53" t="s">
        <v>659</v>
      </c>
      <c r="I46" s="53" t="s">
        <v>66</v>
      </c>
      <c r="J46" s="60" t="s">
        <v>1603</v>
      </c>
      <c r="K46" s="53" t="s">
        <v>1604</v>
      </c>
      <c r="L46" s="78" t="s">
        <v>656</v>
      </c>
      <c r="M46" s="32" t="s">
        <v>1605</v>
      </c>
      <c r="N46">
        <v>272</v>
      </c>
      <c r="O46" t="str">
        <f t="shared" si="7"/>
        <v>EBTAQ25-03.028</v>
      </c>
      <c r="P46" t="str">
        <f t="shared" si="8"/>
        <v>Fahril Maliqu Zhafran</v>
      </c>
      <c r="Q46" t="str">
        <f t="shared" si="9"/>
        <v>Laki-laki</v>
      </c>
      <c r="R46" t="str">
        <f t="shared" si="10"/>
        <v>Demak</v>
      </c>
      <c r="S46" s="21">
        <f t="shared" si="11"/>
        <v>43172</v>
      </c>
      <c r="T46" t="str">
        <f t="shared" si="12"/>
        <v>Ahmad Malik</v>
      </c>
      <c r="U46" t="str">
        <f t="shared" si="13"/>
        <v>Siti Khoiriyah</v>
      </c>
      <c r="V46" t="str">
        <f>VLOOKUP(O46,Lembar1!$A$4:$H$457,8,FALSE)</f>
        <v>BIO_Images/EBTAQ25-03.028.jpg</v>
      </c>
      <c r="W46" t="str">
        <f>IFERROR(VLOOKUP(O46,Lembar1!$A$4:$I$457,9,FALSE),C46)</f>
        <v>BMW - Roudhotut Tholibin</v>
      </c>
    </row>
    <row r="47" spans="1:23" ht="15.75" hidden="1" thickBot="1" x14ac:dyDescent="0.3">
      <c r="A47" s="28">
        <v>46000.672025462962</v>
      </c>
      <c r="B47" s="29" t="s">
        <v>953</v>
      </c>
      <c r="C47" s="29" t="s">
        <v>609</v>
      </c>
      <c r="D47" s="29" t="s">
        <v>662</v>
      </c>
      <c r="E47" s="29" t="s">
        <v>10</v>
      </c>
      <c r="F47" s="30">
        <v>42792</v>
      </c>
      <c r="G47" s="29" t="s">
        <v>663</v>
      </c>
      <c r="H47" s="29" t="s">
        <v>664</v>
      </c>
      <c r="I47" s="29" t="s">
        <v>2</v>
      </c>
      <c r="J47" s="31" t="s">
        <v>1611</v>
      </c>
      <c r="K47" s="29" t="s">
        <v>1612</v>
      </c>
      <c r="L47" s="77" t="s">
        <v>661</v>
      </c>
      <c r="M47" s="32" t="s">
        <v>1613</v>
      </c>
      <c r="N47">
        <v>273</v>
      </c>
      <c r="O47" t="str">
        <f t="shared" si="7"/>
        <v>EBTAQ25-03.029</v>
      </c>
      <c r="P47" t="str">
        <f t="shared" si="8"/>
        <v>Diah Puspita Sari</v>
      </c>
      <c r="Q47" t="str">
        <f t="shared" si="9"/>
        <v>Perempuan</v>
      </c>
      <c r="R47" t="str">
        <f t="shared" si="10"/>
        <v>Demak</v>
      </c>
      <c r="S47" s="21">
        <f t="shared" si="11"/>
        <v>42792</v>
      </c>
      <c r="T47" t="str">
        <f t="shared" si="12"/>
        <v>NurHadi</v>
      </c>
      <c r="U47" t="str">
        <f t="shared" si="13"/>
        <v>Tutik Ati</v>
      </c>
      <c r="V47" t="str">
        <f>VLOOKUP(O47,Lembar1!$A$4:$H$457,8,FALSE)</f>
        <v>BIO_Images/EBTAQ25-03.029.jpg</v>
      </c>
      <c r="W47" t="str">
        <f>IFERROR(VLOOKUP(O47,Lembar1!$A$4:$I$457,9,FALSE),C47)</f>
        <v>BMW - Roudhotut Tholibin</v>
      </c>
    </row>
    <row r="48" spans="1:23" ht="15.75" hidden="1" thickBot="1" x14ac:dyDescent="0.3">
      <c r="A48" s="33">
        <v>46000.687523148146</v>
      </c>
      <c r="B48" s="34" t="s">
        <v>953</v>
      </c>
      <c r="C48" s="34" t="s">
        <v>609</v>
      </c>
      <c r="D48" s="34" t="s">
        <v>684</v>
      </c>
      <c r="E48" s="34" t="s">
        <v>10</v>
      </c>
      <c r="F48" s="35">
        <v>42555</v>
      </c>
      <c r="G48" s="34" t="s">
        <v>685</v>
      </c>
      <c r="H48" s="34" t="s">
        <v>686</v>
      </c>
      <c r="I48" s="34" t="s">
        <v>66</v>
      </c>
      <c r="J48" s="36" t="s">
        <v>1638</v>
      </c>
      <c r="K48" s="34" t="s">
        <v>1639</v>
      </c>
      <c r="L48" s="78" t="s">
        <v>683</v>
      </c>
      <c r="M48" s="37" t="s">
        <v>1640</v>
      </c>
      <c r="N48">
        <v>274</v>
      </c>
      <c r="O48" t="str">
        <f t="shared" si="7"/>
        <v>EBTAQ25-03.032</v>
      </c>
      <c r="P48" t="str">
        <f t="shared" si="8"/>
        <v>Muhammad Ivan Ghifari</v>
      </c>
      <c r="Q48" t="str">
        <f t="shared" si="9"/>
        <v>Laki-laki</v>
      </c>
      <c r="R48" t="str">
        <f t="shared" si="10"/>
        <v>Demak</v>
      </c>
      <c r="S48" s="21">
        <f t="shared" si="11"/>
        <v>42555</v>
      </c>
      <c r="T48" t="str">
        <f t="shared" si="12"/>
        <v>Marsono</v>
      </c>
      <c r="U48" t="str">
        <f t="shared" si="13"/>
        <v>Siti Munawaroh</v>
      </c>
      <c r="V48" t="str">
        <f>VLOOKUP(O48,Lembar1!$A$4:$H$457,8,FALSE)</f>
        <v>BIO_Images/EBTAQ25-03.032.jpg</v>
      </c>
      <c r="W48" t="str">
        <f>IFERROR(VLOOKUP(O48,Lembar1!$A$4:$I$457,9,FALSE),C48)</f>
        <v>BMW - Roudhotut Tholibin</v>
      </c>
    </row>
    <row r="49" spans="1:23" ht="15.75" hidden="1" thickBot="1" x14ac:dyDescent="0.3">
      <c r="A49" s="49">
        <v>46001.599664351852</v>
      </c>
      <c r="B49" s="52" t="s">
        <v>953</v>
      </c>
      <c r="C49" s="52" t="s">
        <v>609</v>
      </c>
      <c r="D49" s="52" t="s">
        <v>2200</v>
      </c>
      <c r="E49" s="52" t="s">
        <v>10</v>
      </c>
      <c r="F49" s="56">
        <v>42015</v>
      </c>
      <c r="G49" s="52" t="s">
        <v>2201</v>
      </c>
      <c r="H49" s="52" t="s">
        <v>2202</v>
      </c>
      <c r="I49" s="52" t="s">
        <v>66</v>
      </c>
      <c r="J49" s="59" t="s">
        <v>2203</v>
      </c>
      <c r="K49" s="52" t="s">
        <v>2204</v>
      </c>
      <c r="L49" s="77" t="s">
        <v>2205</v>
      </c>
      <c r="M49" s="37" t="s">
        <v>2206</v>
      </c>
      <c r="N49">
        <v>275</v>
      </c>
      <c r="O49" t="str">
        <f t="shared" si="7"/>
        <v>EBTAQ25-03.047</v>
      </c>
      <c r="P49" t="str">
        <f t="shared" si="8"/>
        <v>Muhammad Ata Bahrul Labib</v>
      </c>
      <c r="Q49" t="str">
        <f t="shared" si="9"/>
        <v>Laki-laki</v>
      </c>
      <c r="R49" t="str">
        <f t="shared" si="10"/>
        <v>Demak</v>
      </c>
      <c r="S49" s="21">
        <f t="shared" si="11"/>
        <v>42015</v>
      </c>
      <c r="T49" t="str">
        <f t="shared" si="12"/>
        <v>Ali Fachrudin</v>
      </c>
      <c r="U49" t="str">
        <f t="shared" si="13"/>
        <v>Siti Khotijah</v>
      </c>
      <c r="V49" t="str">
        <f>VLOOKUP(O49,Lembar1!$A$4:$H$457,8,FALSE)</f>
        <v>BIO_Images/EBTAQ25-03.047.jpg</v>
      </c>
      <c r="W49" t="str">
        <f>IFERROR(VLOOKUP(O49,Lembar1!$A$4:$I$457,9,FALSE),C49)</f>
        <v>BMW - Roudhotut Tholibin</v>
      </c>
    </row>
    <row r="50" spans="1:23" ht="15.75" hidden="1" thickBot="1" x14ac:dyDescent="0.3">
      <c r="A50" s="33">
        <v>46001.603530092594</v>
      </c>
      <c r="B50" s="34" t="s">
        <v>953</v>
      </c>
      <c r="C50" s="34" t="s">
        <v>609</v>
      </c>
      <c r="D50" s="34" t="s">
        <v>2212</v>
      </c>
      <c r="E50" s="34" t="s">
        <v>10</v>
      </c>
      <c r="F50" s="35">
        <v>42632</v>
      </c>
      <c r="G50" s="34" t="s">
        <v>2213</v>
      </c>
      <c r="H50" s="34" t="s">
        <v>2214</v>
      </c>
      <c r="I50" s="34" t="s">
        <v>2</v>
      </c>
      <c r="J50" s="36" t="s">
        <v>2215</v>
      </c>
      <c r="K50" s="34" t="s">
        <v>2216</v>
      </c>
      <c r="L50" s="78" t="s">
        <v>2217</v>
      </c>
      <c r="M50" s="37" t="s">
        <v>2218</v>
      </c>
      <c r="N50">
        <v>276</v>
      </c>
      <c r="O50" t="str">
        <f t="shared" si="7"/>
        <v>EBTAQ25-03.049</v>
      </c>
      <c r="P50" t="str">
        <f t="shared" si="8"/>
        <v>Ida Ariful Jannah</v>
      </c>
      <c r="Q50" t="str">
        <f t="shared" si="9"/>
        <v>Perempuan</v>
      </c>
      <c r="R50" t="str">
        <f t="shared" si="10"/>
        <v>Demak</v>
      </c>
      <c r="S50" s="21">
        <f t="shared" si="11"/>
        <v>42632</v>
      </c>
      <c r="T50" t="str">
        <f t="shared" si="12"/>
        <v>Ali Fatkan</v>
      </c>
      <c r="U50" t="str">
        <f t="shared" si="13"/>
        <v>Nasroh</v>
      </c>
      <c r="V50" t="str">
        <f>VLOOKUP(O50,Lembar1!$A$4:$H$457,8,FALSE)</f>
        <v>BIO_Images/EBTAQ25-03.049.jpg</v>
      </c>
      <c r="W50" t="str">
        <f>IFERROR(VLOOKUP(O50,Lembar1!$A$4:$I$457,9,FALSE),C50)</f>
        <v>BMW - Roudhotut Tholibin</v>
      </c>
    </row>
    <row r="51" spans="1:23" ht="15.75" hidden="1" thickBot="1" x14ac:dyDescent="0.3">
      <c r="A51" s="28">
        <v>46001.607928240737</v>
      </c>
      <c r="B51" s="29" t="s">
        <v>953</v>
      </c>
      <c r="C51" s="29" t="s">
        <v>609</v>
      </c>
      <c r="D51" s="29" t="s">
        <v>2234</v>
      </c>
      <c r="E51" s="29" t="s">
        <v>10</v>
      </c>
      <c r="F51" s="30">
        <v>42645</v>
      </c>
      <c r="G51" s="29" t="s">
        <v>658</v>
      </c>
      <c r="H51" s="29" t="s">
        <v>659</v>
      </c>
      <c r="I51" s="29" t="s">
        <v>66</v>
      </c>
      <c r="J51" s="31" t="s">
        <v>2235</v>
      </c>
      <c r="K51" s="29" t="s">
        <v>1604</v>
      </c>
      <c r="L51" s="77" t="s">
        <v>2236</v>
      </c>
      <c r="M51" s="32" t="s">
        <v>2237</v>
      </c>
      <c r="N51">
        <v>277</v>
      </c>
      <c r="O51" t="str">
        <f t="shared" si="7"/>
        <v>EBTAQ25-03.050</v>
      </c>
      <c r="P51" t="str">
        <f t="shared" si="8"/>
        <v>Galeh Akmalul Albab</v>
      </c>
      <c r="Q51" t="str">
        <f t="shared" si="9"/>
        <v>Laki-laki</v>
      </c>
      <c r="R51" t="str">
        <f t="shared" si="10"/>
        <v>Demak</v>
      </c>
      <c r="S51" s="21">
        <f t="shared" si="11"/>
        <v>42645</v>
      </c>
      <c r="T51" t="str">
        <f t="shared" si="12"/>
        <v>Ahmad Malik</v>
      </c>
      <c r="U51" t="str">
        <f t="shared" si="13"/>
        <v>Siti Khoiriyah</v>
      </c>
      <c r="V51" t="str">
        <f>VLOOKUP(O51,Lembar1!$A$4:$H$457,8,FALSE)</f>
        <v>BIO_Images/EBTAQ25-03.050.jpg</v>
      </c>
      <c r="W51" t="str">
        <f>IFERROR(VLOOKUP(O51,Lembar1!$A$4:$I$457,9,FALSE),C51)</f>
        <v>BMW - Roudhotut Tholibin</v>
      </c>
    </row>
    <row r="52" spans="1:23" ht="15.75" hidden="1" thickBot="1" x14ac:dyDescent="0.3">
      <c r="A52" s="50">
        <v>46001.615659722222</v>
      </c>
      <c r="B52" s="53" t="s">
        <v>953</v>
      </c>
      <c r="C52" s="53" t="s">
        <v>609</v>
      </c>
      <c r="D52" s="53" t="s">
        <v>2245</v>
      </c>
      <c r="E52" s="53" t="s">
        <v>10</v>
      </c>
      <c r="F52" s="57">
        <v>42034</v>
      </c>
      <c r="G52" s="53" t="s">
        <v>2246</v>
      </c>
      <c r="H52" s="53" t="s">
        <v>2247</v>
      </c>
      <c r="I52" s="53" t="s">
        <v>66</v>
      </c>
      <c r="J52" s="60" t="s">
        <v>2248</v>
      </c>
      <c r="K52" s="53" t="s">
        <v>2249</v>
      </c>
      <c r="L52" s="78" t="s">
        <v>2250</v>
      </c>
      <c r="M52" s="32" t="s">
        <v>2251</v>
      </c>
      <c r="N52">
        <v>278</v>
      </c>
      <c r="O52" t="str">
        <f t="shared" si="7"/>
        <v>EBTAQ25-03.052</v>
      </c>
      <c r="P52" t="str">
        <f t="shared" si="8"/>
        <v>Muhammad Farid Hidayatulloh</v>
      </c>
      <c r="Q52" t="str">
        <f t="shared" si="9"/>
        <v>Laki-laki</v>
      </c>
      <c r="R52" t="str">
        <f t="shared" si="10"/>
        <v>Demak</v>
      </c>
      <c r="S52" s="21">
        <f t="shared" si="11"/>
        <v>42034</v>
      </c>
      <c r="T52" t="str">
        <f t="shared" si="12"/>
        <v>Sri Tarmuji</v>
      </c>
      <c r="U52" t="str">
        <f t="shared" si="13"/>
        <v>Sofiyah</v>
      </c>
      <c r="V52" t="str">
        <f>VLOOKUP(O52,Lembar1!$A$4:$H$457,8,FALSE)</f>
        <v>BIO_Images/EBTAQ25-03.052.jpg</v>
      </c>
      <c r="W52" t="str">
        <f>IFERROR(VLOOKUP(O52,Lembar1!$A$4:$I$457,9,FALSE),C52)</f>
        <v>BMW - Roudhotut Tholibin</v>
      </c>
    </row>
    <row r="53" spans="1:23" ht="15.75" hidden="1" thickBot="1" x14ac:dyDescent="0.3">
      <c r="A53" s="49">
        <v>46001.624467592592</v>
      </c>
      <c r="B53" s="52" t="s">
        <v>953</v>
      </c>
      <c r="C53" s="52" t="s">
        <v>609</v>
      </c>
      <c r="D53" s="52" t="s">
        <v>2266</v>
      </c>
      <c r="E53" s="52" t="s">
        <v>10</v>
      </c>
      <c r="F53" s="56">
        <v>41983</v>
      </c>
      <c r="G53" s="52" t="s">
        <v>2267</v>
      </c>
      <c r="H53" s="52" t="s">
        <v>2268</v>
      </c>
      <c r="I53" s="52" t="s">
        <v>66</v>
      </c>
      <c r="J53" s="59" t="s">
        <v>2269</v>
      </c>
      <c r="K53" s="52" t="s">
        <v>2270</v>
      </c>
      <c r="L53" s="77" t="s">
        <v>2271</v>
      </c>
      <c r="M53" s="37" t="s">
        <v>2272</v>
      </c>
      <c r="N53">
        <v>279</v>
      </c>
      <c r="O53" t="str">
        <f t="shared" si="7"/>
        <v>EBTAQ25-03.053</v>
      </c>
      <c r="P53" t="str">
        <f t="shared" si="8"/>
        <v>Muhammad Idham Kholid</v>
      </c>
      <c r="Q53" t="str">
        <f t="shared" si="9"/>
        <v>Laki-laki</v>
      </c>
      <c r="R53" t="str">
        <f t="shared" si="10"/>
        <v>Demak</v>
      </c>
      <c r="S53" s="21">
        <f t="shared" si="11"/>
        <v>41983</v>
      </c>
      <c r="T53" t="str">
        <f t="shared" si="12"/>
        <v>Nur Taufiq</v>
      </c>
      <c r="U53" t="str">
        <f t="shared" si="13"/>
        <v>Purwati</v>
      </c>
      <c r="V53" t="str">
        <f>VLOOKUP(O53,Lembar1!$A$4:$H$457,8,FALSE)</f>
        <v>BIO_Images/EBTAQ25-03.053.jpg</v>
      </c>
      <c r="W53" t="str">
        <f>IFERROR(VLOOKUP(O53,Lembar1!$A$4:$I$457,9,FALSE),C53)</f>
        <v>BMW - Roudhotut Tholibin</v>
      </c>
    </row>
    <row r="54" spans="1:23" ht="15.75" hidden="1" thickBot="1" x14ac:dyDescent="0.3">
      <c r="A54" s="50">
        <v>46001.628946759258</v>
      </c>
      <c r="B54" s="53" t="s">
        <v>953</v>
      </c>
      <c r="C54" s="53" t="s">
        <v>609</v>
      </c>
      <c r="D54" s="53" t="s">
        <v>2273</v>
      </c>
      <c r="E54" s="53" t="s">
        <v>10</v>
      </c>
      <c r="F54" s="57">
        <v>42250</v>
      </c>
      <c r="G54" s="53" t="s">
        <v>2274</v>
      </c>
      <c r="H54" s="53" t="s">
        <v>2275</v>
      </c>
      <c r="I54" s="53" t="s">
        <v>2</v>
      </c>
      <c r="J54" s="60" t="s">
        <v>2276</v>
      </c>
      <c r="K54" s="53" t="s">
        <v>2277</v>
      </c>
      <c r="L54" s="78" t="s">
        <v>2278</v>
      </c>
      <c r="M54" s="32" t="s">
        <v>2279</v>
      </c>
      <c r="N54">
        <v>280</v>
      </c>
      <c r="O54" t="str">
        <f t="shared" si="7"/>
        <v>EBTAQ25-03.054</v>
      </c>
      <c r="P54" t="str">
        <f t="shared" si="8"/>
        <v>Azfi Adibatuz zahra</v>
      </c>
      <c r="Q54" t="str">
        <f t="shared" si="9"/>
        <v>Perempuan</v>
      </c>
      <c r="R54" t="str">
        <f t="shared" si="10"/>
        <v>Demak</v>
      </c>
      <c r="S54" s="21">
        <f t="shared" si="11"/>
        <v>42250</v>
      </c>
      <c r="T54" t="str">
        <f t="shared" si="12"/>
        <v>Abdul Aziz</v>
      </c>
      <c r="U54" t="str">
        <f t="shared" si="13"/>
        <v>Nur Alfiatur Rohmaniah</v>
      </c>
      <c r="V54" t="str">
        <f>VLOOKUP(O54,Lembar1!$A$4:$H$457,8,FALSE)</f>
        <v>BIO_Images/EBTAQ25-03.054.jpg</v>
      </c>
      <c r="W54" t="str">
        <f>IFERROR(VLOOKUP(O54,Lembar1!$A$4:$I$457,9,FALSE),C54)</f>
        <v>BMW - Roudhotut Tholibin</v>
      </c>
    </row>
    <row r="55" spans="1:23" ht="15.75" hidden="1" thickBot="1" x14ac:dyDescent="0.3">
      <c r="A55" s="28">
        <v>46001.633310185185</v>
      </c>
      <c r="B55" s="29" t="s">
        <v>953</v>
      </c>
      <c r="C55" s="29" t="s">
        <v>609</v>
      </c>
      <c r="D55" s="29" t="s">
        <v>2302</v>
      </c>
      <c r="E55" s="29" t="s">
        <v>10</v>
      </c>
      <c r="F55" s="30">
        <v>42770</v>
      </c>
      <c r="G55" s="29" t="s">
        <v>2303</v>
      </c>
      <c r="H55" s="29" t="s">
        <v>2304</v>
      </c>
      <c r="I55" s="29" t="s">
        <v>2</v>
      </c>
      <c r="J55" s="31" t="s">
        <v>2305</v>
      </c>
      <c r="K55" s="29" t="s">
        <v>2306</v>
      </c>
      <c r="L55" s="77" t="s">
        <v>2307</v>
      </c>
      <c r="M55" s="32" t="s">
        <v>2308</v>
      </c>
      <c r="N55">
        <v>281</v>
      </c>
      <c r="O55" t="str">
        <f t="shared" si="7"/>
        <v>EBTAQ25-03.055</v>
      </c>
      <c r="P55" t="str">
        <f t="shared" si="8"/>
        <v>Farikha Hubbina Ilya</v>
      </c>
      <c r="Q55" t="str">
        <f t="shared" si="9"/>
        <v>Perempuan</v>
      </c>
      <c r="R55" t="str">
        <f t="shared" si="10"/>
        <v>Demak</v>
      </c>
      <c r="S55" s="21">
        <f t="shared" si="11"/>
        <v>42770</v>
      </c>
      <c r="T55" t="str">
        <f t="shared" si="12"/>
        <v>Sobirin</v>
      </c>
      <c r="U55" t="str">
        <f t="shared" si="13"/>
        <v>Siti Ainun</v>
      </c>
      <c r="V55" t="str">
        <f>VLOOKUP(O55,Lembar1!$A$4:$H$457,8,FALSE)</f>
        <v>BIO_Images/EBTAQ25-03.055.jpg</v>
      </c>
      <c r="W55" t="str">
        <f>IFERROR(VLOOKUP(O55,Lembar1!$A$4:$I$457,9,FALSE),C55)</f>
        <v>BMW - Roudhotut Tholibin</v>
      </c>
    </row>
    <row r="56" spans="1:23" ht="15.75" hidden="1" thickBot="1" x14ac:dyDescent="0.3">
      <c r="A56" s="50">
        <v>46001.640034722222</v>
      </c>
      <c r="B56" s="53" t="s">
        <v>953</v>
      </c>
      <c r="C56" s="53" t="s">
        <v>609</v>
      </c>
      <c r="D56" s="53" t="s">
        <v>2356</v>
      </c>
      <c r="E56" s="53" t="s">
        <v>10</v>
      </c>
      <c r="F56" s="57">
        <v>41968</v>
      </c>
      <c r="G56" s="53" t="s">
        <v>2357</v>
      </c>
      <c r="H56" s="53" t="s">
        <v>2358</v>
      </c>
      <c r="I56" s="53" t="s">
        <v>66</v>
      </c>
      <c r="J56" s="60" t="s">
        <v>2359</v>
      </c>
      <c r="K56" s="53" t="s">
        <v>2360</v>
      </c>
      <c r="L56" s="78" t="s">
        <v>2361</v>
      </c>
      <c r="M56" s="32" t="s">
        <v>2362</v>
      </c>
      <c r="N56">
        <v>282</v>
      </c>
      <c r="O56" t="str">
        <f t="shared" si="7"/>
        <v>EBTAQ25-03.056</v>
      </c>
      <c r="P56" t="str">
        <f t="shared" si="8"/>
        <v>Zakaria Ahmad</v>
      </c>
      <c r="Q56" t="str">
        <f t="shared" si="9"/>
        <v>Laki-laki</v>
      </c>
      <c r="R56" t="str">
        <f t="shared" si="10"/>
        <v>Demak</v>
      </c>
      <c r="S56" s="21">
        <f t="shared" si="11"/>
        <v>41968</v>
      </c>
      <c r="T56" t="str">
        <f t="shared" si="12"/>
        <v>Musafak</v>
      </c>
      <c r="U56" t="str">
        <f t="shared" si="13"/>
        <v>Siti Rukayah</v>
      </c>
      <c r="V56" t="str">
        <f>VLOOKUP(O56,Lembar1!$A$4:$H$457,8,FALSE)</f>
        <v>BIO_Images/EBTAQ25-03.056.jpg</v>
      </c>
      <c r="W56" t="str">
        <f>IFERROR(VLOOKUP(O56,Lembar1!$A$4:$I$457,9,FALSE),C56)</f>
        <v>BMW - Roudhotut Tholibin</v>
      </c>
    </row>
    <row r="57" spans="1:23" ht="15.75" hidden="1" thickBot="1" x14ac:dyDescent="0.3">
      <c r="A57" s="49">
        <v>46001.645254629628</v>
      </c>
      <c r="B57" s="52" t="s">
        <v>953</v>
      </c>
      <c r="C57" s="52" t="s">
        <v>609</v>
      </c>
      <c r="D57" s="52" t="s">
        <v>2370</v>
      </c>
      <c r="E57" s="52" t="s">
        <v>10</v>
      </c>
      <c r="F57" s="56">
        <v>41935</v>
      </c>
      <c r="G57" s="52" t="s">
        <v>2371</v>
      </c>
      <c r="H57" s="52" t="s">
        <v>2372</v>
      </c>
      <c r="I57" s="52" t="s">
        <v>2</v>
      </c>
      <c r="J57" s="59" t="s">
        <v>2373</v>
      </c>
      <c r="K57" s="52" t="s">
        <v>2374</v>
      </c>
      <c r="L57" s="77" t="s">
        <v>2375</v>
      </c>
      <c r="M57" s="37" t="s">
        <v>2376</v>
      </c>
      <c r="N57">
        <v>283</v>
      </c>
      <c r="O57" t="str">
        <f t="shared" si="7"/>
        <v>EBTAQ25-03.057</v>
      </c>
      <c r="P57" t="str">
        <f t="shared" si="8"/>
        <v>Kosidah</v>
      </c>
      <c r="Q57" t="str">
        <f t="shared" si="9"/>
        <v>Perempuan</v>
      </c>
      <c r="R57" t="str">
        <f t="shared" si="10"/>
        <v>Demak</v>
      </c>
      <c r="S57" s="21">
        <f t="shared" si="11"/>
        <v>41935</v>
      </c>
      <c r="T57" t="str">
        <f t="shared" si="12"/>
        <v>Kasmiran</v>
      </c>
      <c r="U57" t="str">
        <f t="shared" si="13"/>
        <v>Muniah</v>
      </c>
      <c r="V57" t="str">
        <f>VLOOKUP(O57,Lembar1!$A$4:$H$457,8,FALSE)</f>
        <v>BIO_Images/EBTAQ25-03.057.jpg</v>
      </c>
      <c r="W57" t="str">
        <f>IFERROR(VLOOKUP(O57,Lembar1!$A$4:$I$457,9,FALSE),C57)</f>
        <v>BMW - Roudhotut Tholibin</v>
      </c>
    </row>
    <row r="58" spans="1:23" ht="15.75" hidden="1" thickBot="1" x14ac:dyDescent="0.3">
      <c r="A58" s="50">
        <v>46001.648206018515</v>
      </c>
      <c r="B58" s="53" t="s">
        <v>953</v>
      </c>
      <c r="C58" s="53" t="s">
        <v>609</v>
      </c>
      <c r="D58" s="53" t="s">
        <v>2377</v>
      </c>
      <c r="E58" s="53" t="s">
        <v>2378</v>
      </c>
      <c r="F58" s="57">
        <v>42626</v>
      </c>
      <c r="G58" s="53" t="s">
        <v>2379</v>
      </c>
      <c r="H58" s="53" t="s">
        <v>2380</v>
      </c>
      <c r="I58" s="53" t="s">
        <v>2</v>
      </c>
      <c r="J58" s="60" t="s">
        <v>2381</v>
      </c>
      <c r="K58" s="53" t="s">
        <v>2382</v>
      </c>
      <c r="L58" s="78" t="s">
        <v>2383</v>
      </c>
      <c r="M58" s="32" t="s">
        <v>2384</v>
      </c>
      <c r="N58">
        <v>284</v>
      </c>
      <c r="O58" t="str">
        <f t="shared" si="7"/>
        <v>EBTAQ25-03.058</v>
      </c>
      <c r="P58" t="str">
        <f t="shared" si="8"/>
        <v>Aqila Farisa Mufia</v>
      </c>
      <c r="Q58" t="str">
        <f t="shared" si="9"/>
        <v>Perempuan</v>
      </c>
      <c r="R58" t="str">
        <f t="shared" si="10"/>
        <v>Kotabumi</v>
      </c>
      <c r="S58" s="21">
        <f t="shared" si="11"/>
        <v>42626</v>
      </c>
      <c r="T58" t="str">
        <f t="shared" si="12"/>
        <v>Abdul Rokhim</v>
      </c>
      <c r="U58" t="str">
        <f t="shared" si="13"/>
        <v>Fauziyah</v>
      </c>
      <c r="V58" t="str">
        <f>VLOOKUP(O58,Lembar1!$A$4:$H$457,8,FALSE)</f>
        <v>BIO_Images/EBTAQ25-03.058.jpg</v>
      </c>
      <c r="W58" t="str">
        <f>IFERROR(VLOOKUP(O58,Lembar1!$A$4:$I$457,9,FALSE),C58)</f>
        <v>BMW - Roudhotut Tholibin</v>
      </c>
    </row>
    <row r="59" spans="1:23" ht="15.75" hidden="1" thickBot="1" x14ac:dyDescent="0.3">
      <c r="A59" s="28">
        <v>46001.661909722221</v>
      </c>
      <c r="B59" s="29" t="s">
        <v>953</v>
      </c>
      <c r="C59" s="29" t="s">
        <v>609</v>
      </c>
      <c r="D59" s="29" t="s">
        <v>2424</v>
      </c>
      <c r="E59" s="29" t="s">
        <v>10</v>
      </c>
      <c r="F59" s="30">
        <v>42128</v>
      </c>
      <c r="G59" s="29" t="s">
        <v>2425</v>
      </c>
      <c r="H59" s="29" t="s">
        <v>2426</v>
      </c>
      <c r="I59" s="29" t="s">
        <v>66</v>
      </c>
      <c r="J59" s="31" t="s">
        <v>2427</v>
      </c>
      <c r="K59" s="29" t="s">
        <v>2428</v>
      </c>
      <c r="L59" s="77" t="s">
        <v>2429</v>
      </c>
      <c r="M59" s="32" t="s">
        <v>2430</v>
      </c>
      <c r="N59">
        <v>285</v>
      </c>
      <c r="O59" t="str">
        <f t="shared" si="7"/>
        <v>EBTAQ25-03.060</v>
      </c>
      <c r="P59" t="str">
        <f t="shared" si="8"/>
        <v>Ahmad Sultan Syamsuddin</v>
      </c>
      <c r="Q59" t="str">
        <f t="shared" si="9"/>
        <v>Laki-laki</v>
      </c>
      <c r="R59" t="str">
        <f t="shared" si="10"/>
        <v>Demak</v>
      </c>
      <c r="S59" s="21">
        <f t="shared" si="11"/>
        <v>42128</v>
      </c>
      <c r="T59" t="str">
        <f t="shared" si="12"/>
        <v>Rio Abdul Sodik</v>
      </c>
      <c r="U59" t="str">
        <f t="shared" si="13"/>
        <v>Masluroh</v>
      </c>
      <c r="V59" t="str">
        <f>VLOOKUP(O59,Lembar1!$A$4:$H$457,8,FALSE)</f>
        <v>BIO_Images/EBTAQ25-03.060.jpg</v>
      </c>
      <c r="W59" t="str">
        <f>IFERROR(VLOOKUP(O59,Lembar1!$A$4:$I$457,9,FALSE),C59)</f>
        <v>BMW - Roudhotut Tholibin</v>
      </c>
    </row>
    <row r="60" spans="1:23" ht="15.75" hidden="1" thickBot="1" x14ac:dyDescent="0.3">
      <c r="A60" s="33">
        <v>46001.670127314814</v>
      </c>
      <c r="B60" s="34" t="s">
        <v>953</v>
      </c>
      <c r="C60" s="34" t="s">
        <v>609</v>
      </c>
      <c r="D60" s="34" t="s">
        <v>2459</v>
      </c>
      <c r="E60" s="34" t="s">
        <v>10</v>
      </c>
      <c r="F60" s="35">
        <v>41978</v>
      </c>
      <c r="G60" s="34" t="s">
        <v>2460</v>
      </c>
      <c r="H60" s="34" t="s">
        <v>2461</v>
      </c>
      <c r="I60" s="34" t="s">
        <v>66</v>
      </c>
      <c r="J60" s="36" t="s">
        <v>2462</v>
      </c>
      <c r="K60" s="34" t="s">
        <v>2463</v>
      </c>
      <c r="L60" s="78" t="s">
        <v>2464</v>
      </c>
      <c r="M60" s="37" t="s">
        <v>2465</v>
      </c>
      <c r="N60">
        <v>286</v>
      </c>
      <c r="O60" t="str">
        <f t="shared" si="7"/>
        <v>EBTAQ25-03.062</v>
      </c>
      <c r="P60" t="str">
        <f t="shared" si="8"/>
        <v>Muhammad Iqbal Wildan</v>
      </c>
      <c r="Q60" t="str">
        <f t="shared" si="9"/>
        <v>Laki-laki</v>
      </c>
      <c r="R60" t="str">
        <f t="shared" si="10"/>
        <v>Demak</v>
      </c>
      <c r="S60" s="21">
        <f t="shared" si="11"/>
        <v>41978</v>
      </c>
      <c r="T60" t="str">
        <f t="shared" si="12"/>
        <v>Nur Khamid</v>
      </c>
      <c r="U60" t="str">
        <f t="shared" si="13"/>
        <v>Jaryati</v>
      </c>
      <c r="V60" t="str">
        <f>VLOOKUP(O60,Lembar1!$A$4:$H$457,8,FALSE)</f>
        <v>BIO_Images/EBTAQ25-03.062.jpg</v>
      </c>
      <c r="W60" t="str">
        <f>IFERROR(VLOOKUP(O60,Lembar1!$A$4:$I$457,9,FALSE),C60)</f>
        <v>BMW - Roudhotut Tholibin</v>
      </c>
    </row>
    <row r="61" spans="1:23" ht="15.75" hidden="1" thickBot="1" x14ac:dyDescent="0.3">
      <c r="A61" s="49">
        <v>46001.674895833334</v>
      </c>
      <c r="B61" s="52" t="s">
        <v>953</v>
      </c>
      <c r="C61" s="52" t="s">
        <v>609</v>
      </c>
      <c r="D61" s="52" t="s">
        <v>2479</v>
      </c>
      <c r="E61" s="52" t="s">
        <v>10</v>
      </c>
      <c r="F61" s="56">
        <v>41843</v>
      </c>
      <c r="G61" s="52" t="s">
        <v>2480</v>
      </c>
      <c r="H61" s="52" t="s">
        <v>2481</v>
      </c>
      <c r="I61" s="52" t="s">
        <v>2</v>
      </c>
      <c r="J61" s="59" t="s">
        <v>2482</v>
      </c>
      <c r="K61" s="52" t="s">
        <v>2483</v>
      </c>
      <c r="L61" s="77" t="s">
        <v>2484</v>
      </c>
      <c r="M61" s="37" t="s">
        <v>2485</v>
      </c>
      <c r="N61">
        <v>287</v>
      </c>
      <c r="O61" t="str">
        <f t="shared" si="7"/>
        <v>EBTAQ25-03.063</v>
      </c>
      <c r="P61" t="str">
        <f t="shared" si="8"/>
        <v>Rahayu Nia Ramadhani</v>
      </c>
      <c r="Q61" t="str">
        <f t="shared" si="9"/>
        <v>Perempuan</v>
      </c>
      <c r="R61" t="str">
        <f t="shared" si="10"/>
        <v>Demak</v>
      </c>
      <c r="S61" s="21">
        <f t="shared" si="11"/>
        <v>41843</v>
      </c>
      <c r="T61" t="str">
        <f t="shared" si="12"/>
        <v>Zaenudin</v>
      </c>
      <c r="U61" t="str">
        <f t="shared" si="13"/>
        <v>Yumroah</v>
      </c>
      <c r="V61" t="str">
        <f>VLOOKUP(O61,Lembar1!$A$4:$H$457,8,FALSE)</f>
        <v>BIO_Images/EBTAQ25-03.063.jpg</v>
      </c>
      <c r="W61" t="str">
        <f>IFERROR(VLOOKUP(O61,Lembar1!$A$4:$I$457,9,FALSE),C61)</f>
        <v>BMW - Roudhotut Tholibin</v>
      </c>
    </row>
    <row r="62" spans="1:23" ht="15.75" hidden="1" thickBot="1" x14ac:dyDescent="0.3">
      <c r="A62" s="33">
        <v>46001.680509259262</v>
      </c>
      <c r="B62" s="34" t="s">
        <v>953</v>
      </c>
      <c r="C62" s="34" t="s">
        <v>609</v>
      </c>
      <c r="D62" s="34" t="s">
        <v>2528</v>
      </c>
      <c r="E62" s="34" t="s">
        <v>2529</v>
      </c>
      <c r="F62" s="35">
        <v>41782</v>
      </c>
      <c r="G62" s="34" t="s">
        <v>1546</v>
      </c>
      <c r="H62" s="34" t="s">
        <v>2530</v>
      </c>
      <c r="I62" s="34" t="s">
        <v>66</v>
      </c>
      <c r="J62" s="36" t="s">
        <v>2531</v>
      </c>
      <c r="K62" s="34" t="s">
        <v>2532</v>
      </c>
      <c r="L62" s="78" t="s">
        <v>2533</v>
      </c>
      <c r="M62" s="37" t="s">
        <v>2534</v>
      </c>
      <c r="N62">
        <v>288</v>
      </c>
      <c r="O62" t="str">
        <f t="shared" si="7"/>
        <v>EBTAQ25-03.065</v>
      </c>
      <c r="P62" t="str">
        <f t="shared" si="8"/>
        <v>Muhammad Sigit Mubarok</v>
      </c>
      <c r="Q62" t="str">
        <f t="shared" si="9"/>
        <v>Laki-laki</v>
      </c>
      <c r="R62" t="str">
        <f t="shared" si="10"/>
        <v>Kapuas Hulu</v>
      </c>
      <c r="S62" s="21">
        <f t="shared" si="11"/>
        <v>41782</v>
      </c>
      <c r="T62" t="str">
        <f t="shared" si="12"/>
        <v>Purnomo</v>
      </c>
      <c r="U62" t="str">
        <f t="shared" si="13"/>
        <v>Mursidah</v>
      </c>
      <c r="V62" t="str">
        <f>VLOOKUP(O62,Lembar1!$A$4:$H$457,8,FALSE)</f>
        <v>BIO_Images/EBTAQ25-03.065.jpg</v>
      </c>
      <c r="W62" t="str">
        <f>IFERROR(VLOOKUP(O62,Lembar1!$A$4:$I$457,9,FALSE),C62)</f>
        <v>BMW - Roudhotut Tholibin</v>
      </c>
    </row>
    <row r="63" spans="1:23" ht="15.75" hidden="1" thickBot="1" x14ac:dyDescent="0.3">
      <c r="A63" s="49">
        <v>46001.685601851852</v>
      </c>
      <c r="B63" s="52" t="s">
        <v>953</v>
      </c>
      <c r="C63" s="52" t="s">
        <v>609</v>
      </c>
      <c r="D63" s="52" t="s">
        <v>2548</v>
      </c>
      <c r="E63" s="52" t="s">
        <v>10</v>
      </c>
      <c r="F63" s="56">
        <v>41996</v>
      </c>
      <c r="G63" s="52" t="s">
        <v>2549</v>
      </c>
      <c r="H63" s="52" t="s">
        <v>2550</v>
      </c>
      <c r="I63" s="52" t="s">
        <v>2</v>
      </c>
      <c r="J63" s="59" t="s">
        <v>2551</v>
      </c>
      <c r="K63" s="52" t="s">
        <v>2552</v>
      </c>
      <c r="L63" s="77" t="s">
        <v>2553</v>
      </c>
      <c r="M63" s="37" t="s">
        <v>2554</v>
      </c>
      <c r="N63">
        <v>289</v>
      </c>
      <c r="O63" t="str">
        <f t="shared" si="7"/>
        <v>EBTAQ25-03.066</v>
      </c>
      <c r="P63" t="str">
        <f t="shared" si="8"/>
        <v>Astiani Putri</v>
      </c>
      <c r="Q63" t="str">
        <f t="shared" si="9"/>
        <v>Perempuan</v>
      </c>
      <c r="R63" t="str">
        <f t="shared" si="10"/>
        <v>Demak</v>
      </c>
      <c r="S63" s="21">
        <f t="shared" si="11"/>
        <v>41996</v>
      </c>
      <c r="T63" t="str">
        <f t="shared" si="12"/>
        <v>Suwardi</v>
      </c>
      <c r="U63" t="str">
        <f t="shared" si="13"/>
        <v>Ratna Kurnia Wati</v>
      </c>
      <c r="V63" t="str">
        <f>VLOOKUP(O63,Lembar1!$A$4:$H$457,8,FALSE)</f>
        <v>BIO_Images/EBTAQ25-03.066.jpg</v>
      </c>
      <c r="W63" t="str">
        <f>IFERROR(VLOOKUP(O63,Lembar1!$A$4:$I$457,9,FALSE),C63)</f>
        <v>BMW - Roudhotut Tholibin</v>
      </c>
    </row>
    <row r="64" spans="1:23" ht="15.75" hidden="1" thickBot="1" x14ac:dyDescent="0.3">
      <c r="A64" s="33">
        <v>46001.69085648148</v>
      </c>
      <c r="B64" s="34" t="s">
        <v>953</v>
      </c>
      <c r="C64" s="34" t="s">
        <v>609</v>
      </c>
      <c r="D64" s="34" t="s">
        <v>2562</v>
      </c>
      <c r="E64" s="34" t="s">
        <v>10</v>
      </c>
      <c r="F64" s="35">
        <v>42528</v>
      </c>
      <c r="G64" s="34" t="s">
        <v>2563</v>
      </c>
      <c r="H64" s="34" t="s">
        <v>2564</v>
      </c>
      <c r="I64" s="34" t="s">
        <v>2</v>
      </c>
      <c r="J64" s="36" t="s">
        <v>2565</v>
      </c>
      <c r="K64" s="34" t="s">
        <v>2566</v>
      </c>
      <c r="L64" s="78" t="s">
        <v>2567</v>
      </c>
      <c r="M64" s="37" t="s">
        <v>2568</v>
      </c>
      <c r="N64">
        <v>290</v>
      </c>
      <c r="O64" t="str">
        <f t="shared" si="7"/>
        <v>EBTAQ25-03.068</v>
      </c>
      <c r="P64" t="str">
        <f t="shared" si="8"/>
        <v>Syarifa Nailil Muna</v>
      </c>
      <c r="Q64" t="str">
        <f t="shared" si="9"/>
        <v>Perempuan</v>
      </c>
      <c r="R64" t="str">
        <f t="shared" si="10"/>
        <v>Demak</v>
      </c>
      <c r="S64" s="21">
        <f t="shared" si="11"/>
        <v>42528</v>
      </c>
      <c r="T64" t="str">
        <f t="shared" si="12"/>
        <v>Bukhori</v>
      </c>
      <c r="U64" t="str">
        <f t="shared" si="13"/>
        <v>Uswatun kasanah</v>
      </c>
      <c r="V64" t="str">
        <f>VLOOKUP(O64,Lembar1!$A$4:$H$457,8,FALSE)</f>
        <v>BIO_Images/EBTAQ25-03.068.jpg</v>
      </c>
      <c r="W64" t="str">
        <f>IFERROR(VLOOKUP(O64,Lembar1!$A$4:$I$457,9,FALSE),C64)</f>
        <v>BMW - Roudhotut Tholibin</v>
      </c>
    </row>
    <row r="65" spans="1:23" ht="15.75" hidden="1" thickBot="1" x14ac:dyDescent="0.3">
      <c r="A65" s="28">
        <v>46001.717766203707</v>
      </c>
      <c r="B65" s="29" t="s">
        <v>953</v>
      </c>
      <c r="C65" s="29" t="s">
        <v>609</v>
      </c>
      <c r="D65" s="29" t="s">
        <v>2662</v>
      </c>
      <c r="E65" s="29" t="s">
        <v>10</v>
      </c>
      <c r="F65" s="30">
        <v>42501</v>
      </c>
      <c r="G65" s="29" t="s">
        <v>2663</v>
      </c>
      <c r="H65" s="29" t="s">
        <v>2664</v>
      </c>
      <c r="I65" s="29" t="s">
        <v>2</v>
      </c>
      <c r="J65" s="31" t="s">
        <v>2665</v>
      </c>
      <c r="K65" s="29" t="s">
        <v>2666</v>
      </c>
      <c r="L65" s="77" t="s">
        <v>2667</v>
      </c>
      <c r="M65" s="32" t="s">
        <v>2668</v>
      </c>
      <c r="N65">
        <v>291</v>
      </c>
      <c r="O65" t="str">
        <f t="shared" si="7"/>
        <v>EBTAQ25-03.073</v>
      </c>
      <c r="P65" t="str">
        <f t="shared" si="8"/>
        <v>Lamhatur Rosyidah</v>
      </c>
      <c r="Q65" t="str">
        <f t="shared" si="9"/>
        <v>Perempuan</v>
      </c>
      <c r="R65" t="str">
        <f t="shared" si="10"/>
        <v>Demak</v>
      </c>
      <c r="S65" s="21">
        <f t="shared" si="11"/>
        <v>42501</v>
      </c>
      <c r="T65" t="str">
        <f t="shared" si="12"/>
        <v>Ahmad Nur Rohim</v>
      </c>
      <c r="U65" t="str">
        <f t="shared" si="13"/>
        <v>Kodriyah</v>
      </c>
      <c r="V65" t="str">
        <f>VLOOKUP(O65,Lembar1!$A$4:$H$457,8,FALSE)</f>
        <v>BIO_Images/EBTAQ25-03.073.jpg</v>
      </c>
      <c r="W65" t="str">
        <f>IFERROR(VLOOKUP(O65,Lembar1!$A$4:$I$457,9,FALSE),C65)</f>
        <v>BMW - Roudhotut Tholibin</v>
      </c>
    </row>
    <row r="66" spans="1:23" ht="15.75" hidden="1" thickBot="1" x14ac:dyDescent="0.3">
      <c r="A66" s="33">
        <v>46000.687164351853</v>
      </c>
      <c r="B66" s="34" t="s">
        <v>953</v>
      </c>
      <c r="C66" s="34" t="s">
        <v>677</v>
      </c>
      <c r="D66" s="34" t="s">
        <v>673</v>
      </c>
      <c r="E66" s="34" t="s">
        <v>28</v>
      </c>
      <c r="F66" s="35">
        <v>42683</v>
      </c>
      <c r="G66" s="34" t="s">
        <v>674</v>
      </c>
      <c r="H66" s="34" t="s">
        <v>675</v>
      </c>
      <c r="I66" s="34" t="s">
        <v>2</v>
      </c>
      <c r="J66" s="36" t="s">
        <v>1632</v>
      </c>
      <c r="K66" s="34" t="s">
        <v>1633</v>
      </c>
      <c r="L66" s="78" t="s">
        <v>672</v>
      </c>
      <c r="M66" s="37" t="s">
        <v>1634</v>
      </c>
      <c r="N66">
        <v>292</v>
      </c>
      <c r="O66" t="str">
        <f t="shared" si="7"/>
        <v>EBTAQ25-03.030</v>
      </c>
      <c r="P66" t="str">
        <f t="shared" si="8"/>
        <v>NAURA AUBA RAFIKA</v>
      </c>
      <c r="Q66" t="str">
        <f t="shared" si="9"/>
        <v>Perempuan</v>
      </c>
      <c r="R66" t="str">
        <f t="shared" si="10"/>
        <v>DEMAK</v>
      </c>
      <c r="S66" s="21">
        <f t="shared" si="11"/>
        <v>42683</v>
      </c>
      <c r="T66" t="str">
        <f t="shared" si="12"/>
        <v>AHMAD ROFIQ</v>
      </c>
      <c r="U66" t="str">
        <f t="shared" si="13"/>
        <v>KHOIRROTUN NISA'</v>
      </c>
      <c r="V66" t="str">
        <f>VLOOKUP(O66,Lembar1!$A$4:$H$457,8,FALSE)</f>
        <v>BIO_Images/EBTAQ25-03.030.jpg</v>
      </c>
      <c r="W66" t="str">
        <f>IFERROR(VLOOKUP(O66,Lembar1!$A$4:$I$457,9,FALSE),C66)</f>
        <v>BMW - Subulussalam</v>
      </c>
    </row>
    <row r="67" spans="1:23" ht="15.75" hidden="1" thickBot="1" x14ac:dyDescent="0.3">
      <c r="A67" s="28">
        <v>46000.687222222223</v>
      </c>
      <c r="B67" s="29" t="s">
        <v>953</v>
      </c>
      <c r="C67" s="29" t="s">
        <v>677</v>
      </c>
      <c r="D67" s="29" t="s">
        <v>679</v>
      </c>
      <c r="E67" s="29" t="s">
        <v>365</v>
      </c>
      <c r="F67" s="30">
        <v>42773</v>
      </c>
      <c r="G67" s="29" t="s">
        <v>680</v>
      </c>
      <c r="H67" s="29" t="s">
        <v>681</v>
      </c>
      <c r="I67" s="29" t="s">
        <v>2</v>
      </c>
      <c r="J67" s="31" t="s">
        <v>1635</v>
      </c>
      <c r="K67" s="29" t="s">
        <v>1636</v>
      </c>
      <c r="L67" s="77" t="s">
        <v>678</v>
      </c>
      <c r="M67" s="32" t="s">
        <v>1637</v>
      </c>
      <c r="N67">
        <v>293</v>
      </c>
      <c r="O67" t="str">
        <f t="shared" si="7"/>
        <v>EBTAQ25-03.031</v>
      </c>
      <c r="P67" t="str">
        <f t="shared" si="8"/>
        <v>ZIDA FARA NABILA</v>
      </c>
      <c r="Q67" t="str">
        <f t="shared" si="9"/>
        <v>Perempuan</v>
      </c>
      <c r="R67" t="str">
        <f t="shared" si="10"/>
        <v>KUDUS</v>
      </c>
      <c r="S67" s="21">
        <f t="shared" si="11"/>
        <v>42773</v>
      </c>
      <c r="T67" t="str">
        <f t="shared" si="12"/>
        <v>Muhamad ismail</v>
      </c>
      <c r="U67" t="str">
        <f t="shared" si="13"/>
        <v>khilya syafaatun ni'mah</v>
      </c>
      <c r="V67" t="str">
        <f>VLOOKUP(O67,Lembar1!$A$4:$H$457,8,FALSE)</f>
        <v>BIO_Images/EBTAQ25-03.031.jpg</v>
      </c>
      <c r="W67" t="str">
        <f>IFERROR(VLOOKUP(O67,Lembar1!$A$4:$I$457,9,FALSE),C67)</f>
        <v>BMW - Subulussalam</v>
      </c>
    </row>
    <row r="68" spans="1:23" ht="15.75" hidden="1" thickBot="1" x14ac:dyDescent="0.3">
      <c r="A68" s="50">
        <v>46000.687858796293</v>
      </c>
      <c r="B68" s="53" t="s">
        <v>953</v>
      </c>
      <c r="C68" s="53" t="s">
        <v>677</v>
      </c>
      <c r="D68" s="53" t="s">
        <v>689</v>
      </c>
      <c r="E68" s="53" t="s">
        <v>59</v>
      </c>
      <c r="F68" s="57">
        <v>42689</v>
      </c>
      <c r="G68" s="53" t="s">
        <v>690</v>
      </c>
      <c r="H68" s="53" t="s">
        <v>691</v>
      </c>
      <c r="I68" s="53" t="s">
        <v>2</v>
      </c>
      <c r="J68" s="60" t="s">
        <v>1641</v>
      </c>
      <c r="K68" s="53" t="s">
        <v>1642</v>
      </c>
      <c r="L68" s="78" t="s">
        <v>688</v>
      </c>
      <c r="M68" s="32" t="s">
        <v>1643</v>
      </c>
      <c r="N68">
        <v>294</v>
      </c>
      <c r="O68" t="str">
        <f t="shared" si="7"/>
        <v>EBTAQ25-03.033</v>
      </c>
      <c r="P68" t="str">
        <f t="shared" si="8"/>
        <v>Tsania Khoirun Nisa</v>
      </c>
      <c r="Q68" t="str">
        <f t="shared" si="9"/>
        <v>Perempuan</v>
      </c>
      <c r="R68" t="str">
        <f t="shared" si="10"/>
        <v>Semarang</v>
      </c>
      <c r="S68" s="21">
        <f t="shared" si="11"/>
        <v>42689</v>
      </c>
      <c r="T68" t="str">
        <f t="shared" si="12"/>
        <v>Eko Prasetyo</v>
      </c>
      <c r="U68" t="str">
        <f t="shared" si="13"/>
        <v>Sitta Zulfiana</v>
      </c>
      <c r="V68" t="str">
        <f>VLOOKUP(O68,Lembar1!$A$4:$H$457,8,FALSE)</f>
        <v>BIO_Images/EBTAQ25-03.033.jpg</v>
      </c>
      <c r="W68" t="str">
        <f>IFERROR(VLOOKUP(O68,Lembar1!$A$4:$I$457,9,FALSE),C68)</f>
        <v>BMW - Subulussalam</v>
      </c>
    </row>
    <row r="69" spans="1:23" ht="15.75" hidden="1" thickBot="1" x14ac:dyDescent="0.3">
      <c r="A69" s="28">
        <v>46000.690092592595</v>
      </c>
      <c r="B69" s="29" t="s">
        <v>953</v>
      </c>
      <c r="C69" s="29" t="s">
        <v>677</v>
      </c>
      <c r="D69" s="29" t="s">
        <v>701</v>
      </c>
      <c r="E69" s="29" t="s">
        <v>10</v>
      </c>
      <c r="F69" s="30">
        <v>42950</v>
      </c>
      <c r="G69" s="29" t="s">
        <v>702</v>
      </c>
      <c r="H69" s="29" t="s">
        <v>703</v>
      </c>
      <c r="I69" s="29" t="s">
        <v>2</v>
      </c>
      <c r="J69" s="31" t="s">
        <v>1647</v>
      </c>
      <c r="K69" s="29" t="s">
        <v>1648</v>
      </c>
      <c r="L69" s="77" t="s">
        <v>700</v>
      </c>
      <c r="M69" s="32" t="s">
        <v>1649</v>
      </c>
      <c r="N69">
        <v>295</v>
      </c>
      <c r="O69" t="str">
        <f t="shared" si="7"/>
        <v>EBTAQ25-03.034</v>
      </c>
      <c r="P69" t="str">
        <f t="shared" si="8"/>
        <v>YUMEINA RAISA SYAKIRA</v>
      </c>
      <c r="Q69" t="str">
        <f t="shared" si="9"/>
        <v>Perempuan</v>
      </c>
      <c r="R69" t="str">
        <f t="shared" si="10"/>
        <v>Demak</v>
      </c>
      <c r="S69" s="21">
        <f t="shared" si="11"/>
        <v>42950</v>
      </c>
      <c r="T69" t="str">
        <f t="shared" si="12"/>
        <v>RIJAL AULADI</v>
      </c>
      <c r="U69" t="str">
        <f t="shared" si="13"/>
        <v>NUR BAITI</v>
      </c>
      <c r="V69" t="str">
        <f>VLOOKUP(O69,Lembar1!$A$4:$H$457,8,FALSE)</f>
        <v>BIO_Images/EBTAQ25-03.034.jpg</v>
      </c>
      <c r="W69" t="str">
        <f>IFERROR(VLOOKUP(O69,Lembar1!$A$4:$I$457,9,FALSE),C69)</f>
        <v>BMW - Subulussalam</v>
      </c>
    </row>
    <row r="70" spans="1:23" ht="15.75" hidden="1" thickBot="1" x14ac:dyDescent="0.3">
      <c r="A70" s="50">
        <v>46000.690879629627</v>
      </c>
      <c r="B70" s="53" t="s">
        <v>953</v>
      </c>
      <c r="C70" s="53" t="s">
        <v>677</v>
      </c>
      <c r="D70" s="53" t="s">
        <v>706</v>
      </c>
      <c r="E70" s="53" t="s">
        <v>10</v>
      </c>
      <c r="F70" s="57">
        <v>42855</v>
      </c>
      <c r="G70" s="53" t="s">
        <v>707</v>
      </c>
      <c r="H70" s="53" t="s">
        <v>708</v>
      </c>
      <c r="I70" s="53" t="s">
        <v>2</v>
      </c>
      <c r="J70" s="60" t="s">
        <v>1657</v>
      </c>
      <c r="K70" s="53" t="s">
        <v>1658</v>
      </c>
      <c r="L70" s="78" t="s">
        <v>705</v>
      </c>
      <c r="M70" s="32" t="s">
        <v>1659</v>
      </c>
      <c r="N70">
        <v>296</v>
      </c>
      <c r="O70" t="str">
        <f t="shared" si="7"/>
        <v>EBTAQ25-03.036</v>
      </c>
      <c r="P70" t="str">
        <f t="shared" si="8"/>
        <v>Layyin almeera</v>
      </c>
      <c r="Q70" t="str">
        <f t="shared" si="9"/>
        <v>Perempuan</v>
      </c>
      <c r="R70" t="str">
        <f t="shared" si="10"/>
        <v>Demak</v>
      </c>
      <c r="S70" s="21">
        <f t="shared" si="11"/>
        <v>42855</v>
      </c>
      <c r="T70" t="str">
        <f t="shared" si="12"/>
        <v>Mohammad showam</v>
      </c>
      <c r="U70" t="str">
        <f t="shared" si="13"/>
        <v>Erna setya ningsih</v>
      </c>
      <c r="V70" t="str">
        <f>VLOOKUP(O70,Lembar1!$A$4:$H$457,8,FALSE)</f>
        <v>BIO_Images/EBTAQ25-03.036.jpg</v>
      </c>
      <c r="W70" t="str">
        <f>IFERROR(VLOOKUP(O70,Lembar1!$A$4:$I$457,9,FALSE),C70)</f>
        <v>BMW - Subulussalam</v>
      </c>
    </row>
    <row r="71" spans="1:23" ht="15.75" hidden="1" thickBot="1" x14ac:dyDescent="0.3">
      <c r="A71" s="49">
        <v>46000.694398148145</v>
      </c>
      <c r="B71" s="52" t="s">
        <v>953</v>
      </c>
      <c r="C71" s="52" t="s">
        <v>677</v>
      </c>
      <c r="D71" s="52" t="s">
        <v>711</v>
      </c>
      <c r="E71" s="52" t="s">
        <v>10</v>
      </c>
      <c r="F71" s="56">
        <v>42884</v>
      </c>
      <c r="G71" s="52" t="s">
        <v>712</v>
      </c>
      <c r="H71" s="52" t="s">
        <v>713</v>
      </c>
      <c r="I71" s="52" t="s">
        <v>66</v>
      </c>
      <c r="J71" s="59" t="s">
        <v>1681</v>
      </c>
      <c r="K71" s="52" t="s">
        <v>1682</v>
      </c>
      <c r="L71" s="77" t="s">
        <v>710</v>
      </c>
      <c r="M71" s="37" t="s">
        <v>1683</v>
      </c>
      <c r="N71">
        <v>297</v>
      </c>
      <c r="O71" t="str">
        <f t="shared" si="7"/>
        <v>EBTAQ25-03.037</v>
      </c>
      <c r="P71" t="str">
        <f t="shared" si="8"/>
        <v>Muhammadzakaramadhan</v>
      </c>
      <c r="Q71" t="str">
        <f t="shared" si="9"/>
        <v>Laki-laki</v>
      </c>
      <c r="R71" t="str">
        <f t="shared" si="10"/>
        <v>Demak</v>
      </c>
      <c r="S71" s="21">
        <f t="shared" si="11"/>
        <v>42884</v>
      </c>
      <c r="T71" t="str">
        <f t="shared" si="12"/>
        <v>Ahmad faizin</v>
      </c>
      <c r="U71" t="str">
        <f t="shared" si="13"/>
        <v>Nailul Muna</v>
      </c>
      <c r="V71" t="str">
        <f>VLOOKUP(O71,Lembar1!$A$4:$H$457,8,FALSE)</f>
        <v>BIO_Images/EBTAQ25-03.037.jpg</v>
      </c>
      <c r="W71" t="str">
        <f>IFERROR(VLOOKUP(O71,Lembar1!$A$4:$I$457,9,FALSE),C71)</f>
        <v>BMW - Subulussalam</v>
      </c>
    </row>
    <row r="72" spans="1:23" ht="15.75" hidden="1" thickBot="1" x14ac:dyDescent="0.3">
      <c r="A72" s="33">
        <v>46000.698379629626</v>
      </c>
      <c r="B72" s="34" t="s">
        <v>953</v>
      </c>
      <c r="C72" s="34" t="s">
        <v>677</v>
      </c>
      <c r="D72" s="34" t="s">
        <v>716</v>
      </c>
      <c r="E72" s="34" t="s">
        <v>10</v>
      </c>
      <c r="F72" s="35">
        <v>42948</v>
      </c>
      <c r="G72" s="34" t="s">
        <v>717</v>
      </c>
      <c r="H72" s="34" t="s">
        <v>718</v>
      </c>
      <c r="I72" s="34" t="s">
        <v>2</v>
      </c>
      <c r="J72" s="36" t="s">
        <v>1689</v>
      </c>
      <c r="K72" s="34" t="s">
        <v>1690</v>
      </c>
      <c r="L72" s="78" t="s">
        <v>715</v>
      </c>
      <c r="M72" s="37" t="s">
        <v>1691</v>
      </c>
      <c r="N72">
        <v>298</v>
      </c>
      <c r="O72" t="str">
        <f t="shared" si="7"/>
        <v>EBTAQ25-03.038</v>
      </c>
      <c r="P72" t="str">
        <f t="shared" si="8"/>
        <v>ARSYILA AINUN MAHYA</v>
      </c>
      <c r="Q72" t="str">
        <f t="shared" si="9"/>
        <v>Perempuan</v>
      </c>
      <c r="R72" t="str">
        <f t="shared" si="10"/>
        <v>Demak</v>
      </c>
      <c r="S72" s="21">
        <f t="shared" si="11"/>
        <v>42948</v>
      </c>
      <c r="T72" t="str">
        <f t="shared" si="12"/>
        <v>LUKMAN HAKIM</v>
      </c>
      <c r="U72" t="str">
        <f t="shared" si="13"/>
        <v>AYU NINA</v>
      </c>
      <c r="V72" t="str">
        <f>VLOOKUP(O72,Lembar1!$A$4:$H$457,8,FALSE)</f>
        <v>BIO_Images/EBTAQ25-03.038.jpg</v>
      </c>
      <c r="W72" t="str">
        <f>IFERROR(VLOOKUP(O72,Lembar1!$A$4:$I$457,9,FALSE),C72)</f>
        <v>BMW - Subulussalam</v>
      </c>
    </row>
    <row r="73" spans="1:23" ht="15.75" hidden="1" thickBot="1" x14ac:dyDescent="0.3">
      <c r="A73" s="28">
        <v>46000.70103009259</v>
      </c>
      <c r="B73" s="29" t="s">
        <v>953</v>
      </c>
      <c r="C73" s="29" t="s">
        <v>677</v>
      </c>
      <c r="D73" s="29" t="s">
        <v>733</v>
      </c>
      <c r="E73" s="29" t="s">
        <v>28</v>
      </c>
      <c r="F73" s="30">
        <v>42702</v>
      </c>
      <c r="G73" s="29" t="s">
        <v>734</v>
      </c>
      <c r="H73" s="29" t="s">
        <v>735</v>
      </c>
      <c r="I73" s="29" t="s">
        <v>2</v>
      </c>
      <c r="J73" s="31" t="s">
        <v>1698</v>
      </c>
      <c r="K73" s="29" t="s">
        <v>1699</v>
      </c>
      <c r="L73" s="77" t="s">
        <v>732</v>
      </c>
      <c r="M73" s="32" t="s">
        <v>1700</v>
      </c>
      <c r="N73">
        <v>299</v>
      </c>
      <c r="O73" t="str">
        <f t="shared" si="7"/>
        <v>EBTAQ25-03.041</v>
      </c>
      <c r="P73" t="str">
        <f t="shared" si="8"/>
        <v>SAFIROTUL NURHAYATI</v>
      </c>
      <c r="Q73" t="str">
        <f t="shared" si="9"/>
        <v>Perempuan</v>
      </c>
      <c r="R73" t="str">
        <f t="shared" si="10"/>
        <v>DEMAK</v>
      </c>
      <c r="S73" s="21">
        <f t="shared" si="11"/>
        <v>42702</v>
      </c>
      <c r="T73" t="str">
        <f t="shared" si="12"/>
        <v>AUNUR ROFIQ</v>
      </c>
      <c r="U73" t="str">
        <f t="shared" si="13"/>
        <v>TATIK QOMARIYAH</v>
      </c>
      <c r="V73" t="str">
        <f>VLOOKUP(O73,Lembar1!$A$4:$H$457,8,FALSE)</f>
        <v>BIO_Images/EBTAQ25-03.041.jpg</v>
      </c>
      <c r="W73" t="str">
        <f>IFERROR(VLOOKUP(O73,Lembar1!$A$4:$I$457,9,FALSE),C73)</f>
        <v>BMW - Subulussalam</v>
      </c>
    </row>
    <row r="74" spans="1:23" ht="15.75" hidden="1" thickBot="1" x14ac:dyDescent="0.3">
      <c r="A74" s="33">
        <v>45973.586828703701</v>
      </c>
      <c r="B74" s="34" t="s">
        <v>953</v>
      </c>
      <c r="C74" s="34" t="s">
        <v>96</v>
      </c>
      <c r="D74" s="34" t="s">
        <v>92</v>
      </c>
      <c r="E74" s="34" t="s">
        <v>10</v>
      </c>
      <c r="F74" s="35">
        <v>42899</v>
      </c>
      <c r="G74" s="34" t="s">
        <v>93</v>
      </c>
      <c r="H74" s="34" t="s">
        <v>94</v>
      </c>
      <c r="I74" s="34" t="s">
        <v>66</v>
      </c>
      <c r="J74" s="36" t="s">
        <v>954</v>
      </c>
      <c r="K74" s="34" t="s">
        <v>955</v>
      </c>
      <c r="L74" s="78" t="s">
        <v>91</v>
      </c>
      <c r="M74" s="37" t="s">
        <v>957</v>
      </c>
      <c r="N74">
        <v>300</v>
      </c>
      <c r="O74" t="str">
        <f t="shared" si="7"/>
        <v>EBTAQ25.03.001</v>
      </c>
      <c r="P74" t="str">
        <f t="shared" si="8"/>
        <v>MUHAMMAD ARHAB REYHAN ARDHANI</v>
      </c>
      <c r="Q74" t="str">
        <f t="shared" si="9"/>
        <v>Laki-laki</v>
      </c>
      <c r="R74" t="str">
        <f t="shared" si="10"/>
        <v>Demak</v>
      </c>
      <c r="S74" s="21">
        <f t="shared" si="11"/>
        <v>42899</v>
      </c>
      <c r="T74" t="str">
        <f t="shared" si="12"/>
        <v>FATIKHIN</v>
      </c>
      <c r="U74" t="str">
        <f t="shared" si="13"/>
        <v>NURUL INAROH</v>
      </c>
      <c r="V74" t="str">
        <f>VLOOKUP(O74,Lembar1!$A$4:$H$457,8,FALSE)</f>
        <v>BIO_Images/EBTAQ25-03.001.jpg</v>
      </c>
      <c r="W74" t="str">
        <f>IFERROR(VLOOKUP(O74,Lembar1!$A$4:$I$457,9,FALSE),C74)</f>
        <v>BMW - Taisirul Qurro'</v>
      </c>
    </row>
    <row r="75" spans="1:23" ht="15.75" hidden="1" thickBot="1" x14ac:dyDescent="0.3">
      <c r="A75" s="28">
        <v>45973.845138888886</v>
      </c>
      <c r="B75" s="29" t="s">
        <v>953</v>
      </c>
      <c r="C75" s="29" t="s">
        <v>96</v>
      </c>
      <c r="D75" s="29" t="s">
        <v>98</v>
      </c>
      <c r="E75" s="29" t="s">
        <v>28</v>
      </c>
      <c r="F75" s="30">
        <v>42865</v>
      </c>
      <c r="G75" s="29" t="s">
        <v>99</v>
      </c>
      <c r="H75" s="29" t="s">
        <v>100</v>
      </c>
      <c r="I75" s="29" t="s">
        <v>2</v>
      </c>
      <c r="J75" s="31" t="s">
        <v>958</v>
      </c>
      <c r="K75" s="29" t="s">
        <v>959</v>
      </c>
      <c r="L75" s="77" t="s">
        <v>97</v>
      </c>
      <c r="M75" s="32" t="s">
        <v>960</v>
      </c>
      <c r="N75">
        <v>301</v>
      </c>
      <c r="O75" t="str">
        <f t="shared" si="7"/>
        <v>EBTAQ25-03.002</v>
      </c>
      <c r="P75" t="str">
        <f t="shared" si="8"/>
        <v>QORROTUL AINI ZULFA</v>
      </c>
      <c r="Q75" t="str">
        <f t="shared" si="9"/>
        <v>Perempuan</v>
      </c>
      <c r="R75" t="str">
        <f t="shared" si="10"/>
        <v>DEMAK</v>
      </c>
      <c r="S75" s="21">
        <f t="shared" si="11"/>
        <v>42865</v>
      </c>
      <c r="T75" t="str">
        <f t="shared" si="12"/>
        <v>ABDUL ROKHIB</v>
      </c>
      <c r="U75" t="str">
        <f t="shared" si="13"/>
        <v>KOIDAH</v>
      </c>
      <c r="V75" t="str">
        <f>VLOOKUP(O75,Lembar1!$A$4:$H$457,8,FALSE)</f>
        <v>BIO_Images/EBTAQ25-03.002.jpg</v>
      </c>
      <c r="W75" t="str">
        <f>IFERROR(VLOOKUP(O75,Lembar1!$A$4:$I$457,9,FALSE),C75)</f>
        <v>BMW - Taisirul Qurro'</v>
      </c>
    </row>
    <row r="76" spans="1:23" ht="15.75" hidden="1" thickBot="1" x14ac:dyDescent="0.3">
      <c r="A76" s="33">
        <v>45973.86513888889</v>
      </c>
      <c r="B76" s="34" t="s">
        <v>953</v>
      </c>
      <c r="C76" s="34" t="s">
        <v>96</v>
      </c>
      <c r="D76" s="34" t="s">
        <v>103</v>
      </c>
      <c r="E76" s="34" t="s">
        <v>104</v>
      </c>
      <c r="F76" s="35">
        <v>43137</v>
      </c>
      <c r="G76" s="34" t="s">
        <v>105</v>
      </c>
      <c r="H76" s="34" t="s">
        <v>106</v>
      </c>
      <c r="I76" s="34" t="s">
        <v>66</v>
      </c>
      <c r="J76" s="36" t="s">
        <v>961</v>
      </c>
      <c r="K76" s="34" t="s">
        <v>962</v>
      </c>
      <c r="L76" s="78" t="s">
        <v>102</v>
      </c>
      <c r="M76" s="37" t="s">
        <v>963</v>
      </c>
      <c r="N76">
        <v>302</v>
      </c>
      <c r="O76" t="str">
        <f t="shared" ref="O76:O97" si="14">L76</f>
        <v>EBTAQ25-03.003</v>
      </c>
      <c r="P76" t="str">
        <f t="shared" ref="P76:P97" si="15">D76</f>
        <v>AHMAD RAFIF AYDIN ALVARO</v>
      </c>
      <c r="Q76" t="str">
        <f t="shared" ref="Q76:Q97" si="16">I76</f>
        <v>Laki-laki</v>
      </c>
      <c r="R76" t="str">
        <f t="shared" ref="R76:R97" si="17">E76</f>
        <v>JEPARA</v>
      </c>
      <c r="S76" s="21">
        <f t="shared" ref="S76:S97" si="18">F76</f>
        <v>43137</v>
      </c>
      <c r="T76" t="str">
        <f t="shared" ref="T76:T97" si="19">G76</f>
        <v>AHMAD SYUKRON</v>
      </c>
      <c r="U76" t="str">
        <f t="shared" ref="U76:U97" si="20">H76</f>
        <v>SITI TRI ALFI</v>
      </c>
      <c r="V76" t="str">
        <f>VLOOKUP(O76,Lembar1!$A$4:$H$457,8,FALSE)</f>
        <v>BIO_Images/EBTAQ25-03.003.jpg</v>
      </c>
      <c r="W76" t="str">
        <f>IFERROR(VLOOKUP(O76,Lembar1!$A$4:$I$457,9,FALSE),C76)</f>
        <v>BMW - Taisirul Qurro'</v>
      </c>
    </row>
    <row r="77" spans="1:23" ht="15.75" thickBot="1" x14ac:dyDescent="0.3">
      <c r="A77" s="72">
        <v>46000.692060185182</v>
      </c>
      <c r="B77" s="73" t="s">
        <v>1317</v>
      </c>
      <c r="C77" s="73" t="s">
        <v>742</v>
      </c>
      <c r="D77" s="73" t="s">
        <v>1660</v>
      </c>
      <c r="E77" s="73" t="s">
        <v>10</v>
      </c>
      <c r="F77" s="74">
        <v>41537</v>
      </c>
      <c r="G77" s="73" t="s">
        <v>1661</v>
      </c>
      <c r="H77" s="73" t="s">
        <v>1662</v>
      </c>
      <c r="I77" s="73" t="s">
        <v>2</v>
      </c>
      <c r="J77" s="75" t="s">
        <v>1663</v>
      </c>
      <c r="K77" s="73" t="s">
        <v>1664</v>
      </c>
      <c r="L77" s="80" t="s">
        <v>3064</v>
      </c>
      <c r="M77" s="71"/>
      <c r="N77">
        <v>593</v>
      </c>
      <c r="O77" t="str">
        <f t="shared" si="14"/>
        <v>EBTAQ25-04.015</v>
      </c>
      <c r="P77" t="str">
        <f t="shared" si="15"/>
        <v>ADIRA AZZAHRA</v>
      </c>
      <c r="Q77" t="str">
        <f t="shared" si="16"/>
        <v>Perempuan</v>
      </c>
      <c r="R77" t="str">
        <f t="shared" si="17"/>
        <v>Demak</v>
      </c>
      <c r="S77" s="21">
        <f t="shared" si="18"/>
        <v>41537</v>
      </c>
      <c r="T77" t="str">
        <f t="shared" si="19"/>
        <v>Khamidul Manan</v>
      </c>
      <c r="U77" t="str">
        <f t="shared" si="20"/>
        <v>Rubiah</v>
      </c>
      <c r="V77" t="e">
        <f>VLOOKUP(O77,Lembar1!$A$4:$H$457,8,FALSE)</f>
        <v>#N/A</v>
      </c>
      <c r="W77" t="str">
        <f>IFERROR(VLOOKUP(O77,Lembar1!$A$4:$I$457,9,FALSE),C77)</f>
        <v>Karangga - Al Ijtihad Al Mubarok</v>
      </c>
    </row>
    <row r="78" spans="1:23" ht="15.75" hidden="1" thickBot="1" x14ac:dyDescent="0.3">
      <c r="A78" s="50">
        <v>46000.69971064815</v>
      </c>
      <c r="B78" s="53" t="s">
        <v>953</v>
      </c>
      <c r="C78" s="53" t="s">
        <v>725</v>
      </c>
      <c r="D78" s="53" t="s">
        <v>721</v>
      </c>
      <c r="E78" s="53" t="s">
        <v>28</v>
      </c>
      <c r="F78" s="57">
        <v>41969</v>
      </c>
      <c r="G78" s="53" t="s">
        <v>722</v>
      </c>
      <c r="H78" s="53" t="s">
        <v>723</v>
      </c>
      <c r="I78" s="53" t="s">
        <v>2</v>
      </c>
      <c r="J78" s="60" t="s">
        <v>1692</v>
      </c>
      <c r="K78" s="53" t="s">
        <v>1693</v>
      </c>
      <c r="L78" s="78" t="s">
        <v>720</v>
      </c>
      <c r="M78" s="32" t="s">
        <v>1694</v>
      </c>
      <c r="N78">
        <v>304</v>
      </c>
      <c r="O78" t="str">
        <f t="shared" si="14"/>
        <v>EBTAQ25-03.039</v>
      </c>
      <c r="P78" t="str">
        <f t="shared" si="15"/>
        <v>MAULIDA SAMHA MAHIRA</v>
      </c>
      <c r="Q78" t="str">
        <f t="shared" si="16"/>
        <v>Perempuan</v>
      </c>
      <c r="R78" t="str">
        <f t="shared" si="17"/>
        <v>DEMAK</v>
      </c>
      <c r="S78" s="21">
        <f t="shared" si="18"/>
        <v>41969</v>
      </c>
      <c r="T78" t="str">
        <f t="shared" si="19"/>
        <v>ANIS SOLEH AFENDI</v>
      </c>
      <c r="U78" t="str">
        <f t="shared" si="20"/>
        <v>AINI NURUL AF'IDAH</v>
      </c>
      <c r="V78" t="str">
        <f>VLOOKUP(O78,Lembar1!$A$4:$H$457,8,FALSE)</f>
        <v>BIO_Images/EBTAQ25-03.039.jpg</v>
      </c>
      <c r="W78" t="str">
        <f>IFERROR(VLOOKUP(O78,Lembar1!$A$4:$I$457,9,FALSE),C78)</f>
        <v>BMW - Yanbu'ul Qur'an</v>
      </c>
    </row>
    <row r="79" spans="1:23" ht="15.75" hidden="1" thickBot="1" x14ac:dyDescent="0.3">
      <c r="A79" s="49">
        <v>46000.70039351852</v>
      </c>
      <c r="B79" s="52" t="s">
        <v>953</v>
      </c>
      <c r="C79" s="52" t="s">
        <v>725</v>
      </c>
      <c r="D79" s="52" t="s">
        <v>727</v>
      </c>
      <c r="E79" s="52" t="s">
        <v>28</v>
      </c>
      <c r="F79" s="56">
        <v>42316</v>
      </c>
      <c r="G79" s="52" t="s">
        <v>729</v>
      </c>
      <c r="H79" s="52" t="s">
        <v>730</v>
      </c>
      <c r="I79" s="52" t="s">
        <v>728</v>
      </c>
      <c r="J79" s="59" t="s">
        <v>1695</v>
      </c>
      <c r="K79" s="52" t="s">
        <v>1696</v>
      </c>
      <c r="L79" s="77" t="s">
        <v>726</v>
      </c>
      <c r="M79" s="37" t="s">
        <v>1697</v>
      </c>
      <c r="N79">
        <v>305</v>
      </c>
      <c r="O79" t="str">
        <f t="shared" si="14"/>
        <v>EBTAQ25-03.040</v>
      </c>
      <c r="P79" t="str">
        <f t="shared" si="15"/>
        <v>WILLIS GANESA PUTRI</v>
      </c>
      <c r="Q79" t="str">
        <f t="shared" si="16"/>
        <v>Laki-laki, Perempuan</v>
      </c>
      <c r="R79" t="str">
        <f t="shared" si="17"/>
        <v>DEMAK</v>
      </c>
      <c r="S79" s="21">
        <f t="shared" si="18"/>
        <v>42316</v>
      </c>
      <c r="T79" t="str">
        <f t="shared" si="19"/>
        <v>SUTRISNO</v>
      </c>
      <c r="U79" t="str">
        <f t="shared" si="20"/>
        <v>UMI FADLILAH</v>
      </c>
      <c r="V79" t="str">
        <f>VLOOKUP(O79,Lembar1!$A$4:$H$457,8,FALSE)</f>
        <v>BIO_Images/EBTAQ25-03.040.jpg</v>
      </c>
      <c r="W79" t="str">
        <f>IFERROR(VLOOKUP(O79,Lembar1!$A$4:$I$457,9,FALSE),C79)</f>
        <v>BMW - Yanbu'ul Qur'an</v>
      </c>
    </row>
    <row r="80" spans="1:23" ht="15.75" hidden="1" thickBot="1" x14ac:dyDescent="0.3">
      <c r="A80" s="33">
        <v>46000.717858796299</v>
      </c>
      <c r="B80" s="34" t="s">
        <v>953</v>
      </c>
      <c r="C80" s="34" t="s">
        <v>725</v>
      </c>
      <c r="D80" s="34" t="s">
        <v>744</v>
      </c>
      <c r="E80" s="34" t="s">
        <v>28</v>
      </c>
      <c r="F80" s="35">
        <v>41824</v>
      </c>
      <c r="G80" s="34" t="s">
        <v>745</v>
      </c>
      <c r="H80" s="34" t="s">
        <v>746</v>
      </c>
      <c r="I80" s="34" t="s">
        <v>2</v>
      </c>
      <c r="J80" s="36" t="s">
        <v>1739</v>
      </c>
      <c r="K80" s="34" t="s">
        <v>1740</v>
      </c>
      <c r="L80" s="78" t="s">
        <v>743</v>
      </c>
      <c r="M80" s="37" t="s">
        <v>1741</v>
      </c>
      <c r="N80">
        <v>306</v>
      </c>
      <c r="O80" t="str">
        <f t="shared" si="14"/>
        <v>EBTAQ25-03.042</v>
      </c>
      <c r="P80" t="str">
        <f t="shared" si="15"/>
        <v>RAHMA ARDI RAMADHANI</v>
      </c>
      <c r="Q80" t="str">
        <f t="shared" si="16"/>
        <v>Perempuan</v>
      </c>
      <c r="R80" t="str">
        <f t="shared" si="17"/>
        <v>DEMAK</v>
      </c>
      <c r="S80" s="21">
        <f t="shared" si="18"/>
        <v>41824</v>
      </c>
      <c r="T80" t="str">
        <f t="shared" si="19"/>
        <v>SUHARDI</v>
      </c>
      <c r="U80" t="str">
        <f t="shared" si="20"/>
        <v>ROFIAH</v>
      </c>
      <c r="V80" t="str">
        <f>VLOOKUP(O80,Lembar1!$A$4:$H$457,8,FALSE)</f>
        <v>BIO_Images/EBTAQ25-03.042.jpg</v>
      </c>
      <c r="W80" t="str">
        <f>IFERROR(VLOOKUP(O80,Lembar1!$A$4:$I$457,9,FALSE),C80)</f>
        <v>BMW - Yanbu'ul Qur'an</v>
      </c>
    </row>
    <row r="81" spans="1:23" ht="15.75" hidden="1" thickBot="1" x14ac:dyDescent="0.3">
      <c r="A81" s="28">
        <v>46000.755462962959</v>
      </c>
      <c r="B81" s="29" t="s">
        <v>953</v>
      </c>
      <c r="C81" s="29" t="s">
        <v>725</v>
      </c>
      <c r="D81" s="29" t="s">
        <v>780</v>
      </c>
      <c r="E81" s="29" t="s">
        <v>10</v>
      </c>
      <c r="F81" s="30">
        <v>43091</v>
      </c>
      <c r="G81" s="29" t="s">
        <v>781</v>
      </c>
      <c r="H81" s="29" t="s">
        <v>782</v>
      </c>
      <c r="I81" s="29" t="s">
        <v>2</v>
      </c>
      <c r="J81" s="31" t="s">
        <v>1795</v>
      </c>
      <c r="K81" s="29" t="s">
        <v>1796</v>
      </c>
      <c r="L81" s="77" t="s">
        <v>779</v>
      </c>
      <c r="M81" s="32" t="s">
        <v>1797</v>
      </c>
      <c r="N81">
        <v>307</v>
      </c>
      <c r="O81" t="str">
        <f t="shared" si="14"/>
        <v>EBTAQ25-03.044</v>
      </c>
      <c r="P81" t="str">
        <f t="shared" si="15"/>
        <v>ARNAWA BAHIROTUN NAZIKHA</v>
      </c>
      <c r="Q81" t="str">
        <f t="shared" si="16"/>
        <v>Perempuan</v>
      </c>
      <c r="R81" t="str">
        <f t="shared" si="17"/>
        <v>Demak</v>
      </c>
      <c r="S81" s="21">
        <f t="shared" si="18"/>
        <v>43091</v>
      </c>
      <c r="T81" t="str">
        <f t="shared" si="19"/>
        <v>Rindin Ulin Nuha</v>
      </c>
      <c r="U81" t="str">
        <f t="shared" si="20"/>
        <v>Mustainah</v>
      </c>
      <c r="V81" t="str">
        <f>VLOOKUP(O81,Lembar1!$A$4:$H$457,8,FALSE)</f>
        <v>BIO_Images/EBTAQ25-03.044.jpg</v>
      </c>
      <c r="W81" t="str">
        <f>IFERROR(VLOOKUP(O81,Lembar1!$A$4:$I$457,9,FALSE),C81)</f>
        <v>BMW - Yanbu'ul Qur'an</v>
      </c>
    </row>
    <row r="82" spans="1:23" ht="15.75" hidden="1" thickBot="1" x14ac:dyDescent="0.3">
      <c r="A82" s="33">
        <v>46000.761250000003</v>
      </c>
      <c r="B82" s="34" t="s">
        <v>953</v>
      </c>
      <c r="C82" s="34" t="s">
        <v>725</v>
      </c>
      <c r="D82" s="34" t="s">
        <v>795</v>
      </c>
      <c r="E82" s="34" t="s">
        <v>10</v>
      </c>
      <c r="F82" s="35">
        <v>42977</v>
      </c>
      <c r="G82" s="34" t="s">
        <v>796</v>
      </c>
      <c r="H82" s="34" t="s">
        <v>797</v>
      </c>
      <c r="I82" s="34" t="s">
        <v>2</v>
      </c>
      <c r="J82" s="36" t="s">
        <v>1804</v>
      </c>
      <c r="K82" s="34" t="s">
        <v>1805</v>
      </c>
      <c r="L82" s="78" t="s">
        <v>794</v>
      </c>
      <c r="M82" s="37" t="s">
        <v>1806</v>
      </c>
      <c r="N82">
        <v>308</v>
      </c>
      <c r="O82" t="str">
        <f t="shared" si="14"/>
        <v>EBTAQ25-03.045</v>
      </c>
      <c r="P82" t="str">
        <f t="shared" si="15"/>
        <v>AVA SHAKINA FITRI</v>
      </c>
      <c r="Q82" t="str">
        <f t="shared" si="16"/>
        <v>Perempuan</v>
      </c>
      <c r="R82" t="str">
        <f t="shared" si="17"/>
        <v>Demak</v>
      </c>
      <c r="S82" s="21">
        <f t="shared" si="18"/>
        <v>42977</v>
      </c>
      <c r="T82" t="str">
        <f t="shared" si="19"/>
        <v>RIKHA LUTFI</v>
      </c>
      <c r="U82" t="str">
        <f t="shared" si="20"/>
        <v>SRI WAHYUNI</v>
      </c>
      <c r="V82" t="str">
        <f>VLOOKUP(O82,Lembar1!$A$4:$H$457,8,FALSE)</f>
        <v>BIO_Images/EBTAQ25-03.045.jpg</v>
      </c>
      <c r="W82" t="str">
        <f>IFERROR(VLOOKUP(O82,Lembar1!$A$4:$I$457,9,FALSE),C82)</f>
        <v>BMW - Yanbu'ul Qur'an</v>
      </c>
    </row>
    <row r="83" spans="1:23" ht="15.75" hidden="1" thickBot="1" x14ac:dyDescent="0.3">
      <c r="A83" s="28">
        <v>46001.584537037037</v>
      </c>
      <c r="B83" s="29" t="s">
        <v>953</v>
      </c>
      <c r="C83" s="29" t="s">
        <v>725</v>
      </c>
      <c r="D83" s="29" t="s">
        <v>2184</v>
      </c>
      <c r="E83" s="29" t="s">
        <v>10</v>
      </c>
      <c r="F83" s="30">
        <v>41824</v>
      </c>
      <c r="G83" s="29" t="s">
        <v>2185</v>
      </c>
      <c r="H83" s="29" t="s">
        <v>2186</v>
      </c>
      <c r="I83" s="29" t="s">
        <v>2</v>
      </c>
      <c r="J83" s="31" t="s">
        <v>2187</v>
      </c>
      <c r="K83" s="29" t="s">
        <v>1740</v>
      </c>
      <c r="L83" s="77" t="s">
        <v>2188</v>
      </c>
      <c r="M83" s="32" t="s">
        <v>2189</v>
      </c>
      <c r="N83">
        <v>309</v>
      </c>
      <c r="O83" t="str">
        <f t="shared" si="14"/>
        <v>EBTAQ25-03.046</v>
      </c>
      <c r="P83" t="str">
        <f t="shared" si="15"/>
        <v>Rahma Ardi ramadhani</v>
      </c>
      <c r="Q83" t="str">
        <f t="shared" si="16"/>
        <v>Perempuan</v>
      </c>
      <c r="R83" t="str">
        <f t="shared" si="17"/>
        <v>Demak</v>
      </c>
      <c r="S83" s="21">
        <f t="shared" si="18"/>
        <v>41824</v>
      </c>
      <c r="T83" t="str">
        <f t="shared" si="19"/>
        <v>Suhardi</v>
      </c>
      <c r="U83" t="str">
        <f t="shared" si="20"/>
        <v>Rofiah</v>
      </c>
      <c r="V83" t="str">
        <f>VLOOKUP(O83,Lembar1!$A$4:$H$457,8,FALSE)</f>
        <v>BIO_Images/EBTAQ25-03.046.jpg</v>
      </c>
      <c r="W83" t="str">
        <f>IFERROR(VLOOKUP(O83,Lembar1!$A$4:$I$457,9,FALSE),C83)</f>
        <v>BMW - Yanbu'ul Qur'an</v>
      </c>
    </row>
    <row r="84" spans="1:23" ht="15.75" hidden="1" thickBot="1" x14ac:dyDescent="0.3">
      <c r="A84" s="50">
        <v>46001.600555555553</v>
      </c>
      <c r="B84" s="53" t="s">
        <v>953</v>
      </c>
      <c r="C84" s="53" t="s">
        <v>725</v>
      </c>
      <c r="D84" s="53" t="s">
        <v>780</v>
      </c>
      <c r="E84" s="53" t="s">
        <v>10</v>
      </c>
      <c r="F84" s="57">
        <v>43091</v>
      </c>
      <c r="G84" s="53" t="s">
        <v>2207</v>
      </c>
      <c r="H84" s="53" t="s">
        <v>2208</v>
      </c>
      <c r="I84" s="53" t="s">
        <v>2</v>
      </c>
      <c r="J84" s="60" t="s">
        <v>2209</v>
      </c>
      <c r="K84" s="53" t="s">
        <v>1796</v>
      </c>
      <c r="L84" s="78" t="s">
        <v>2210</v>
      </c>
      <c r="M84" s="32" t="s">
        <v>2211</v>
      </c>
      <c r="N84">
        <v>310</v>
      </c>
      <c r="O84" t="str">
        <f t="shared" si="14"/>
        <v>EBTAQ25-03.048</v>
      </c>
      <c r="P84" t="str">
        <f t="shared" si="15"/>
        <v>ARNAWA BAHIROTUN NAZIKHA</v>
      </c>
      <c r="Q84" t="str">
        <f t="shared" si="16"/>
        <v>Perempuan</v>
      </c>
      <c r="R84" t="str">
        <f t="shared" si="17"/>
        <v>Demak</v>
      </c>
      <c r="S84" s="21">
        <f t="shared" si="18"/>
        <v>43091</v>
      </c>
      <c r="T84" t="str">
        <f t="shared" si="19"/>
        <v>RINDIN ULIN NUHA</v>
      </c>
      <c r="U84" t="str">
        <f t="shared" si="20"/>
        <v>MUSTAINAH</v>
      </c>
      <c r="V84" t="str">
        <f>VLOOKUP(O84,Lembar1!$A$4:$H$457,8,FALSE)</f>
        <v>BIO_Images/EBTAQ25-03.048.jpg</v>
      </c>
      <c r="W84" t="str">
        <f>IFERROR(VLOOKUP(O84,Lembar1!$A$4:$I$457,9,FALSE),C84)</f>
        <v>BMW - Yanbu'ul Qur'an</v>
      </c>
    </row>
    <row r="85" spans="1:23" ht="15.75" hidden="1" thickBot="1" x14ac:dyDescent="0.3">
      <c r="A85" s="49">
        <v>46001.612592592595</v>
      </c>
      <c r="B85" s="52" t="s">
        <v>953</v>
      </c>
      <c r="C85" s="52" t="s">
        <v>725</v>
      </c>
      <c r="D85" s="52" t="s">
        <v>2238</v>
      </c>
      <c r="E85" s="52" t="s">
        <v>10</v>
      </c>
      <c r="F85" s="56">
        <v>42422</v>
      </c>
      <c r="G85" s="52" t="s">
        <v>2239</v>
      </c>
      <c r="H85" s="52" t="s">
        <v>2240</v>
      </c>
      <c r="I85" s="52" t="s">
        <v>2</v>
      </c>
      <c r="J85" s="59" t="s">
        <v>2241</v>
      </c>
      <c r="K85" s="52" t="s">
        <v>2242</v>
      </c>
      <c r="L85" s="77" t="s">
        <v>2243</v>
      </c>
      <c r="M85" s="37" t="s">
        <v>2244</v>
      </c>
      <c r="N85">
        <v>311</v>
      </c>
      <c r="O85" t="str">
        <f t="shared" si="14"/>
        <v>EBTAQ25-03.051</v>
      </c>
      <c r="P85" t="str">
        <f t="shared" si="15"/>
        <v>AQILA ZAKIYATUL KHUSNAH</v>
      </c>
      <c r="Q85" t="str">
        <f t="shared" si="16"/>
        <v>Perempuan</v>
      </c>
      <c r="R85" t="str">
        <f t="shared" si="17"/>
        <v>Demak</v>
      </c>
      <c r="S85" s="21">
        <f t="shared" si="18"/>
        <v>42422</v>
      </c>
      <c r="T85" t="str">
        <f t="shared" si="19"/>
        <v>SAIFUL MUAJAB</v>
      </c>
      <c r="U85" t="str">
        <f t="shared" si="20"/>
        <v>ISTIANAH</v>
      </c>
      <c r="V85" t="str">
        <f>VLOOKUP(O85,Lembar1!$A$4:$H$457,8,FALSE)</f>
        <v>BIO_Images/EBTAQ25-03.051.jpg</v>
      </c>
      <c r="W85" t="str">
        <f>IFERROR(VLOOKUP(O85,Lembar1!$A$4:$I$457,9,FALSE),C85)</f>
        <v>BMW - Yanbu'ul Qur'an</v>
      </c>
    </row>
    <row r="86" spans="1:23" ht="15.75" hidden="1" thickBot="1" x14ac:dyDescent="0.3">
      <c r="A86" s="50">
        <v>46001.651747685188</v>
      </c>
      <c r="B86" s="53" t="s">
        <v>953</v>
      </c>
      <c r="C86" s="53" t="s">
        <v>725</v>
      </c>
      <c r="D86" s="53" t="s">
        <v>856</v>
      </c>
      <c r="E86" s="53" t="s">
        <v>204</v>
      </c>
      <c r="F86" s="57">
        <v>42456</v>
      </c>
      <c r="G86" s="53" t="s">
        <v>857</v>
      </c>
      <c r="H86" s="53" t="s">
        <v>858</v>
      </c>
      <c r="I86" s="53" t="s">
        <v>2</v>
      </c>
      <c r="J86" s="60" t="s">
        <v>2389</v>
      </c>
      <c r="K86" s="53" t="s">
        <v>2390</v>
      </c>
      <c r="L86" s="78" t="s">
        <v>2391</v>
      </c>
      <c r="M86" s="32" t="s">
        <v>2392</v>
      </c>
      <c r="N86">
        <v>312</v>
      </c>
      <c r="O86" t="str">
        <f t="shared" si="14"/>
        <v>EBTAQ25-03.059</v>
      </c>
      <c r="P86" t="str">
        <f t="shared" si="15"/>
        <v>KHANZA AZZAHRA SAID</v>
      </c>
      <c r="Q86" t="str">
        <f t="shared" si="16"/>
        <v>Perempuan</v>
      </c>
      <c r="R86" t="str">
        <f t="shared" si="17"/>
        <v>SEMARANG</v>
      </c>
      <c r="S86" s="21">
        <f t="shared" si="18"/>
        <v>42456</v>
      </c>
      <c r="T86" t="str">
        <f t="shared" si="19"/>
        <v>ANWAR SAID</v>
      </c>
      <c r="U86" t="str">
        <f t="shared" si="20"/>
        <v>ROIKHATIN NI'MAH</v>
      </c>
      <c r="V86" t="str">
        <f>VLOOKUP(O86,Lembar1!$A$4:$H$457,8,FALSE)</f>
        <v>BIO_Images/EBTAQ25-03.059.jpg</v>
      </c>
      <c r="W86" t="str">
        <f>IFERROR(VLOOKUP(O86,Lembar1!$A$4:$I$457,9,FALSE),C86)</f>
        <v>BMW - Yanbu'ul Qur'an</v>
      </c>
    </row>
    <row r="87" spans="1:23" ht="15.75" hidden="1" thickBot="1" x14ac:dyDescent="0.3">
      <c r="A87" s="28">
        <v>46001.669120370374</v>
      </c>
      <c r="B87" s="29" t="s">
        <v>953</v>
      </c>
      <c r="C87" s="29" t="s">
        <v>725</v>
      </c>
      <c r="D87" s="29" t="s">
        <v>2452</v>
      </c>
      <c r="E87" s="29" t="s">
        <v>28</v>
      </c>
      <c r="F87" s="30">
        <v>41682</v>
      </c>
      <c r="G87" s="29" t="s">
        <v>2453</v>
      </c>
      <c r="H87" s="29" t="s">
        <v>2454</v>
      </c>
      <c r="I87" s="29" t="s">
        <v>2</v>
      </c>
      <c r="J87" s="31" t="s">
        <v>2455</v>
      </c>
      <c r="K87" s="29" t="s">
        <v>2456</v>
      </c>
      <c r="L87" s="77" t="s">
        <v>2457</v>
      </c>
      <c r="M87" s="32" t="s">
        <v>2458</v>
      </c>
      <c r="N87">
        <v>313</v>
      </c>
      <c r="O87" t="str">
        <f t="shared" si="14"/>
        <v>EBTAQ25-03.061</v>
      </c>
      <c r="P87" t="str">
        <f t="shared" si="15"/>
        <v>DWI RETNO ARUM</v>
      </c>
      <c r="Q87" t="str">
        <f t="shared" si="16"/>
        <v>Perempuan</v>
      </c>
      <c r="R87" t="str">
        <f t="shared" si="17"/>
        <v>DEMAK</v>
      </c>
      <c r="S87" s="21">
        <f t="shared" si="18"/>
        <v>41682</v>
      </c>
      <c r="T87" t="str">
        <f t="shared" si="19"/>
        <v>MURTADHO</v>
      </c>
      <c r="U87" t="str">
        <f t="shared" si="20"/>
        <v>MUKAYAROH</v>
      </c>
      <c r="V87" t="str">
        <f>VLOOKUP(O87,Lembar1!$A$4:$H$457,8,FALSE)</f>
        <v>BIO_Images/EBTAQ25-03.061.jpg</v>
      </c>
      <c r="W87" t="str">
        <f>IFERROR(VLOOKUP(O87,Lembar1!$A$4:$I$457,9,FALSE),C87)</f>
        <v>BMW - Yanbu'ul Qur'an</v>
      </c>
    </row>
    <row r="88" spans="1:23" ht="15.75" hidden="1" thickBot="1" x14ac:dyDescent="0.3">
      <c r="A88" s="33">
        <v>46001.676712962966</v>
      </c>
      <c r="B88" s="34" t="s">
        <v>953</v>
      </c>
      <c r="C88" s="34" t="s">
        <v>725</v>
      </c>
      <c r="D88" s="34" t="s">
        <v>2489</v>
      </c>
      <c r="E88" s="34" t="s">
        <v>2490</v>
      </c>
      <c r="F88" s="35">
        <v>42364</v>
      </c>
      <c r="G88" s="34" t="s">
        <v>2491</v>
      </c>
      <c r="H88" s="34" t="s">
        <v>2351</v>
      </c>
      <c r="I88" s="34" t="s">
        <v>2</v>
      </c>
      <c r="J88" s="36" t="s">
        <v>2492</v>
      </c>
      <c r="K88" s="34" t="s">
        <v>2493</v>
      </c>
      <c r="L88" s="78" t="s">
        <v>2494</v>
      </c>
      <c r="M88" s="37" t="s">
        <v>2495</v>
      </c>
      <c r="N88">
        <v>314</v>
      </c>
      <c r="O88" t="str">
        <f t="shared" si="14"/>
        <v>EBTAQ25-03.064</v>
      </c>
      <c r="P88" t="str">
        <f t="shared" si="15"/>
        <v>MIKHAYLA KHANZA MURRASID</v>
      </c>
      <c r="Q88" t="str">
        <f t="shared" si="16"/>
        <v>Perempuan</v>
      </c>
      <c r="R88" t="str">
        <f t="shared" si="17"/>
        <v>BALIKPAPAN</v>
      </c>
      <c r="S88" s="21">
        <f t="shared" si="18"/>
        <v>42364</v>
      </c>
      <c r="T88" t="str">
        <f t="shared" si="19"/>
        <v>HALIM MURRASID</v>
      </c>
      <c r="U88" t="str">
        <f t="shared" si="20"/>
        <v>MARIA ULFA</v>
      </c>
      <c r="V88" t="str">
        <f>VLOOKUP(O88,Lembar1!$A$4:$H$457,8,FALSE)</f>
        <v>BIO_Images/EBTAQ25-03.064.jpg</v>
      </c>
      <c r="W88" t="str">
        <f>IFERROR(VLOOKUP(O88,Lembar1!$A$4:$I$457,9,FALSE),C88)</f>
        <v>BMW - Yanbu'ul Qur'an</v>
      </c>
    </row>
    <row r="89" spans="1:23" ht="15.75" hidden="1" thickBot="1" x14ac:dyDescent="0.3">
      <c r="A89" s="28">
        <v>46001.688935185186</v>
      </c>
      <c r="B89" s="29" t="s">
        <v>953</v>
      </c>
      <c r="C89" s="29" t="s">
        <v>725</v>
      </c>
      <c r="D89" s="29" t="s">
        <v>2555</v>
      </c>
      <c r="E89" s="29" t="s">
        <v>28</v>
      </c>
      <c r="F89" s="30">
        <v>42659</v>
      </c>
      <c r="G89" s="29" t="s">
        <v>2556</v>
      </c>
      <c r="H89" s="29" t="s">
        <v>2557</v>
      </c>
      <c r="I89" s="29" t="s">
        <v>2</v>
      </c>
      <c r="J89" s="31" t="s">
        <v>2558</v>
      </c>
      <c r="K89" s="29" t="s">
        <v>2559</v>
      </c>
      <c r="L89" s="77" t="s">
        <v>2560</v>
      </c>
      <c r="M89" s="32" t="s">
        <v>2561</v>
      </c>
      <c r="N89">
        <v>315</v>
      </c>
      <c r="O89" t="str">
        <f t="shared" si="14"/>
        <v>EBTAQ25-03.067</v>
      </c>
      <c r="P89" t="str">
        <f t="shared" si="15"/>
        <v>DALISHA LULU MUMTAZAH</v>
      </c>
      <c r="Q89" t="str">
        <f t="shared" si="16"/>
        <v>Perempuan</v>
      </c>
      <c r="R89" t="str">
        <f t="shared" si="17"/>
        <v>DEMAK</v>
      </c>
      <c r="S89" s="21">
        <f t="shared" si="18"/>
        <v>42659</v>
      </c>
      <c r="T89" t="str">
        <f t="shared" si="19"/>
        <v>ABDUR ROUF</v>
      </c>
      <c r="U89" t="str">
        <f t="shared" si="20"/>
        <v>SRI SULASTRI</v>
      </c>
      <c r="V89" t="str">
        <f>VLOOKUP(O89,Lembar1!$A$4:$H$457,8,FALSE)</f>
        <v>BIO_Images/EBTAQ25-03.067.jpg</v>
      </c>
      <c r="W89" t="str">
        <f>IFERROR(VLOOKUP(O89,Lembar1!$A$4:$I$457,9,FALSE),C89)</f>
        <v>BMW - Yanbu'ul Qur'an</v>
      </c>
    </row>
    <row r="90" spans="1:23" ht="15.75" hidden="1" thickBot="1" x14ac:dyDescent="0.3">
      <c r="A90" s="50">
        <v>46001.694479166668</v>
      </c>
      <c r="B90" s="53" t="s">
        <v>953</v>
      </c>
      <c r="C90" s="53" t="s">
        <v>725</v>
      </c>
      <c r="D90" s="53" t="s">
        <v>2580</v>
      </c>
      <c r="E90" s="53" t="s">
        <v>28</v>
      </c>
      <c r="F90" s="57">
        <v>41747</v>
      </c>
      <c r="G90" s="53" t="s">
        <v>2581</v>
      </c>
      <c r="H90" s="53" t="s">
        <v>2582</v>
      </c>
      <c r="I90" s="53" t="s">
        <v>66</v>
      </c>
      <c r="J90" s="60" t="s">
        <v>2583</v>
      </c>
      <c r="K90" s="53" t="s">
        <v>2584</v>
      </c>
      <c r="L90" s="78" t="s">
        <v>2585</v>
      </c>
      <c r="M90" s="32" t="s">
        <v>2586</v>
      </c>
      <c r="N90">
        <v>316</v>
      </c>
      <c r="O90" t="str">
        <f t="shared" si="14"/>
        <v>EBTAQ25-03.069</v>
      </c>
      <c r="P90" t="str">
        <f t="shared" si="15"/>
        <v>FIQI MUBAROK</v>
      </c>
      <c r="Q90" t="str">
        <f t="shared" si="16"/>
        <v>Laki-laki</v>
      </c>
      <c r="R90" t="str">
        <f t="shared" si="17"/>
        <v>DEMAK</v>
      </c>
      <c r="S90" s="21">
        <f t="shared" si="18"/>
        <v>41747</v>
      </c>
      <c r="T90" t="str">
        <f t="shared" si="19"/>
        <v>AMRU MAHMUDI</v>
      </c>
      <c r="U90" t="str">
        <f t="shared" si="20"/>
        <v>ULIL MUBAROKAH</v>
      </c>
      <c r="V90" t="str">
        <f>VLOOKUP(O90,Lembar1!$A$4:$H$457,8,FALSE)</f>
        <v>BIO_Images/EBTAQ25-03.069.jpg</v>
      </c>
      <c r="W90" t="str">
        <f>IFERROR(VLOOKUP(O90,Lembar1!$A$4:$I$457,9,FALSE),C90)</f>
        <v>BMW - Yanbu'ul Qur'an</v>
      </c>
    </row>
    <row r="91" spans="1:23" ht="15.75" hidden="1" thickBot="1" x14ac:dyDescent="0.3">
      <c r="A91" s="49">
        <v>46001.695636574077</v>
      </c>
      <c r="B91" s="52" t="s">
        <v>953</v>
      </c>
      <c r="C91" s="52" t="s">
        <v>725</v>
      </c>
      <c r="D91" s="52" t="s">
        <v>2587</v>
      </c>
      <c r="E91" s="52" t="s">
        <v>28</v>
      </c>
      <c r="F91" s="56">
        <v>41774</v>
      </c>
      <c r="G91" s="52" t="s">
        <v>2588</v>
      </c>
      <c r="H91" s="52" t="s">
        <v>2589</v>
      </c>
      <c r="I91" s="52" t="s">
        <v>2</v>
      </c>
      <c r="J91" s="59" t="s">
        <v>2590</v>
      </c>
      <c r="K91" s="52" t="s">
        <v>2591</v>
      </c>
      <c r="L91" s="77" t="s">
        <v>2592</v>
      </c>
      <c r="M91" s="37" t="s">
        <v>2593</v>
      </c>
      <c r="N91">
        <v>317</v>
      </c>
      <c r="O91" t="str">
        <f t="shared" si="14"/>
        <v>EBTAQ25-03.070</v>
      </c>
      <c r="P91" t="str">
        <f t="shared" si="15"/>
        <v>HANI ALFIYATUN NASHIROH</v>
      </c>
      <c r="Q91" t="str">
        <f t="shared" si="16"/>
        <v>Perempuan</v>
      </c>
      <c r="R91" t="str">
        <f t="shared" si="17"/>
        <v>DEMAK</v>
      </c>
      <c r="S91" s="21">
        <f t="shared" si="18"/>
        <v>41774</v>
      </c>
      <c r="T91" t="str">
        <f t="shared" si="19"/>
        <v>AMINUDDIN HADI</v>
      </c>
      <c r="U91" t="str">
        <f t="shared" si="20"/>
        <v>SAMIKHATUN NIKMAH</v>
      </c>
      <c r="V91" t="str">
        <f>VLOOKUP(O91,Lembar1!$A$4:$H$457,8,FALSE)</f>
        <v>BIO_Images/EBTAQ25-03.070.jpg</v>
      </c>
      <c r="W91" t="str">
        <f>IFERROR(VLOOKUP(O91,Lembar1!$A$4:$I$457,9,FALSE),C91)</f>
        <v>BMW - Yanbu'ul Qur'an</v>
      </c>
    </row>
    <row r="92" spans="1:23" ht="15.75" hidden="1" thickBot="1" x14ac:dyDescent="0.3">
      <c r="A92" s="33">
        <v>46001.743622685186</v>
      </c>
      <c r="B92" s="34" t="s">
        <v>953</v>
      </c>
      <c r="C92" s="34" t="s">
        <v>725</v>
      </c>
      <c r="D92" s="34" t="s">
        <v>2774</v>
      </c>
      <c r="E92" s="34" t="s">
        <v>10</v>
      </c>
      <c r="F92" s="35">
        <v>41814</v>
      </c>
      <c r="G92" s="34" t="s">
        <v>2775</v>
      </c>
      <c r="H92" s="34" t="s">
        <v>2776</v>
      </c>
      <c r="I92" s="34" t="s">
        <v>2</v>
      </c>
      <c r="J92" s="36" t="s">
        <v>2777</v>
      </c>
      <c r="K92" s="34" t="s">
        <v>2778</v>
      </c>
      <c r="L92" s="78" t="s">
        <v>2779</v>
      </c>
      <c r="M92" s="37" t="s">
        <v>2780</v>
      </c>
      <c r="N92">
        <v>318</v>
      </c>
      <c r="O92" t="str">
        <f t="shared" si="14"/>
        <v>EBTAQ25-03.077</v>
      </c>
      <c r="P92" t="str">
        <f t="shared" si="15"/>
        <v>FIA LARASATI</v>
      </c>
      <c r="Q92" t="str">
        <f t="shared" si="16"/>
        <v>Perempuan</v>
      </c>
      <c r="R92" t="str">
        <f t="shared" si="17"/>
        <v>Demak</v>
      </c>
      <c r="S92" s="21">
        <f t="shared" si="18"/>
        <v>41814</v>
      </c>
      <c r="T92" t="str">
        <f t="shared" si="19"/>
        <v>MIFTA KHARIS</v>
      </c>
      <c r="U92" t="str">
        <f t="shared" si="20"/>
        <v>SHOFIYATI</v>
      </c>
      <c r="V92" t="str">
        <f>VLOOKUP(O92,Lembar1!$A$4:$H$457,8,FALSE)</f>
        <v>BIO_Images/EBTAQ25-03.077.jpg</v>
      </c>
      <c r="W92" t="str">
        <f>IFERROR(VLOOKUP(O92,Lembar1!$A$4:$I$457,9,FALSE),C92)</f>
        <v>BMW - Yanbu'ul Qur'an</v>
      </c>
    </row>
    <row r="93" spans="1:23" ht="15.75" hidden="1" thickBot="1" x14ac:dyDescent="0.3">
      <c r="A93" s="49">
        <v>46001.77065972222</v>
      </c>
      <c r="B93" s="52" t="s">
        <v>953</v>
      </c>
      <c r="C93" s="52" t="s">
        <v>725</v>
      </c>
      <c r="D93" s="52" t="s">
        <v>2814</v>
      </c>
      <c r="E93" s="52" t="s">
        <v>10</v>
      </c>
      <c r="F93" s="56">
        <v>41824</v>
      </c>
      <c r="G93" s="52" t="s">
        <v>2185</v>
      </c>
      <c r="H93" s="52" t="s">
        <v>2186</v>
      </c>
      <c r="I93" s="52" t="s">
        <v>2</v>
      </c>
      <c r="J93" s="59" t="s">
        <v>2815</v>
      </c>
      <c r="K93" s="52" t="s">
        <v>1740</v>
      </c>
      <c r="L93" s="77" t="s">
        <v>2816</v>
      </c>
      <c r="M93" s="37" t="s">
        <v>2817</v>
      </c>
      <c r="N93">
        <v>319</v>
      </c>
      <c r="O93" t="str">
        <f t="shared" si="14"/>
        <v>EBTAQ25-03.082</v>
      </c>
      <c r="P93" t="str">
        <f t="shared" si="15"/>
        <v>Rahma Ardi Ramadhani</v>
      </c>
      <c r="Q93" t="str">
        <f t="shared" si="16"/>
        <v>Perempuan</v>
      </c>
      <c r="R93" t="str">
        <f t="shared" si="17"/>
        <v>Demak</v>
      </c>
      <c r="S93" s="21">
        <f t="shared" si="18"/>
        <v>41824</v>
      </c>
      <c r="T93" t="str">
        <f t="shared" si="19"/>
        <v>Suhardi</v>
      </c>
      <c r="U93" t="str">
        <f t="shared" si="20"/>
        <v>Rofiah</v>
      </c>
      <c r="V93" t="str">
        <f>VLOOKUP(O93,Lembar1!$A$4:$H$457,8,FALSE)</f>
        <v>BIO_Images/EBTAQ25-03.082.jpg</v>
      </c>
      <c r="W93" t="str">
        <f>IFERROR(VLOOKUP(O93,Lembar1!$A$4:$I$457,9,FALSE),C93)</f>
        <v>BMW - Yanbu'ul Qur'an</v>
      </c>
    </row>
    <row r="94" spans="1:23" ht="15.75" hidden="1" thickBot="1" x14ac:dyDescent="0.3">
      <c r="A94" s="33">
        <v>46001.772291666668</v>
      </c>
      <c r="B94" s="34" t="s">
        <v>953</v>
      </c>
      <c r="C94" s="34" t="s">
        <v>725</v>
      </c>
      <c r="D94" s="34" t="s">
        <v>744</v>
      </c>
      <c r="E94" s="34" t="s">
        <v>10</v>
      </c>
      <c r="F94" s="35">
        <v>41824</v>
      </c>
      <c r="G94" s="34" t="s">
        <v>2185</v>
      </c>
      <c r="H94" s="34" t="s">
        <v>2186</v>
      </c>
      <c r="I94" s="34" t="s">
        <v>2</v>
      </c>
      <c r="J94" s="36" t="s">
        <v>2822</v>
      </c>
      <c r="K94" s="34" t="s">
        <v>1740</v>
      </c>
      <c r="L94" s="78" t="s">
        <v>2823</v>
      </c>
      <c r="M94" s="37" t="s">
        <v>2824</v>
      </c>
      <c r="N94">
        <v>320</v>
      </c>
      <c r="O94" t="str">
        <f t="shared" si="14"/>
        <v>EBTAQ25-03.084</v>
      </c>
      <c r="P94" t="str">
        <f t="shared" si="15"/>
        <v>RAHMA ARDI RAMADHANI</v>
      </c>
      <c r="Q94" t="str">
        <f t="shared" si="16"/>
        <v>Perempuan</v>
      </c>
      <c r="R94" t="str">
        <f t="shared" si="17"/>
        <v>Demak</v>
      </c>
      <c r="S94" s="21">
        <f t="shared" si="18"/>
        <v>41824</v>
      </c>
      <c r="T94" t="str">
        <f t="shared" si="19"/>
        <v>Suhardi</v>
      </c>
      <c r="U94" t="str">
        <f t="shared" si="20"/>
        <v>Rofiah</v>
      </c>
      <c r="V94" t="str">
        <f>VLOOKUP(O94,Lembar1!$A$4:$H$457,8,FALSE)</f>
        <v>BIO_Images/EBTAQ25-03.084.jpg</v>
      </c>
      <c r="W94" t="str">
        <f>IFERROR(VLOOKUP(O94,Lembar1!$A$4:$I$457,9,FALSE),C94)</f>
        <v>BMW - Yanbu'ul Qur'an</v>
      </c>
    </row>
    <row r="95" spans="1:23" ht="15.75" hidden="1" thickBot="1" x14ac:dyDescent="0.3">
      <c r="A95" s="28">
        <v>46001.772407407407</v>
      </c>
      <c r="B95" s="29" t="s">
        <v>953</v>
      </c>
      <c r="C95" s="29" t="s">
        <v>725</v>
      </c>
      <c r="D95" s="29" t="s">
        <v>2818</v>
      </c>
      <c r="E95" s="29" t="s">
        <v>10</v>
      </c>
      <c r="F95" s="30">
        <v>41814</v>
      </c>
      <c r="G95" s="29" t="s">
        <v>2775</v>
      </c>
      <c r="H95" s="29" t="s">
        <v>2776</v>
      </c>
      <c r="I95" s="29" t="s">
        <v>2</v>
      </c>
      <c r="J95" s="31" t="s">
        <v>2819</v>
      </c>
      <c r="K95" s="29" t="s">
        <v>2778</v>
      </c>
      <c r="L95" s="77" t="s">
        <v>2820</v>
      </c>
      <c r="M95" s="32" t="s">
        <v>2821</v>
      </c>
      <c r="N95">
        <v>321</v>
      </c>
      <c r="O95" t="str">
        <f t="shared" si="14"/>
        <v>EBTAQ25-03.083</v>
      </c>
      <c r="P95" t="str">
        <f t="shared" si="15"/>
        <v>FIA LARASSATI</v>
      </c>
      <c r="Q95" t="str">
        <f t="shared" si="16"/>
        <v>Perempuan</v>
      </c>
      <c r="R95" t="str">
        <f t="shared" si="17"/>
        <v>Demak</v>
      </c>
      <c r="S95" s="21">
        <f t="shared" si="18"/>
        <v>41814</v>
      </c>
      <c r="T95" t="str">
        <f t="shared" si="19"/>
        <v>MIFTA KHARIS</v>
      </c>
      <c r="U95" t="str">
        <f t="shared" si="20"/>
        <v>SHOFIYATI</v>
      </c>
      <c r="V95" t="str">
        <f>VLOOKUP(O95,Lembar1!$A$4:$H$457,8,FALSE)</f>
        <v>BIO_Images/EBTAQ25-03.083.jpg</v>
      </c>
      <c r="W95" t="str">
        <f>IFERROR(VLOOKUP(O95,Lembar1!$A$4:$I$457,9,FALSE),C95)</f>
        <v>BMW - Yanbu'ul Qur'an</v>
      </c>
    </row>
    <row r="96" spans="1:23" ht="15.75" hidden="1" thickBot="1" x14ac:dyDescent="0.3">
      <c r="A96" s="33">
        <v>46001.81621527778</v>
      </c>
      <c r="B96" s="34" t="s">
        <v>953</v>
      </c>
      <c r="C96" s="34" t="s">
        <v>725</v>
      </c>
      <c r="D96" s="34" t="s">
        <v>2866</v>
      </c>
      <c r="E96" s="34" t="s">
        <v>28</v>
      </c>
      <c r="F96" s="35">
        <v>41741</v>
      </c>
      <c r="G96" s="34" t="s">
        <v>2867</v>
      </c>
      <c r="H96" s="34" t="s">
        <v>2868</v>
      </c>
      <c r="I96" s="34" t="s">
        <v>2</v>
      </c>
      <c r="J96" s="36" t="s">
        <v>2869</v>
      </c>
      <c r="K96" s="34" t="s">
        <v>2870</v>
      </c>
      <c r="L96" s="78" t="s">
        <v>2871</v>
      </c>
      <c r="M96" s="37" t="s">
        <v>2872</v>
      </c>
      <c r="N96">
        <v>322</v>
      </c>
      <c r="O96" t="str">
        <f t="shared" si="14"/>
        <v>EBTAQ25-03.085</v>
      </c>
      <c r="P96" t="str">
        <f t="shared" si="15"/>
        <v>ULFI LUTFIYATI</v>
      </c>
      <c r="Q96" t="str">
        <f t="shared" si="16"/>
        <v>Perempuan</v>
      </c>
      <c r="R96" t="str">
        <f t="shared" si="17"/>
        <v>DEMAK</v>
      </c>
      <c r="S96" s="21">
        <f t="shared" si="18"/>
        <v>41741</v>
      </c>
      <c r="T96" t="str">
        <f t="shared" si="19"/>
        <v>AHMAD KHUNAISIR</v>
      </c>
      <c r="U96" t="str">
        <f t="shared" si="20"/>
        <v>SULASTRI</v>
      </c>
      <c r="V96" t="str">
        <f>VLOOKUP(O96,Lembar1!$A$4:$H$457,8,FALSE)</f>
        <v>BIO_Images/EBTAQ25-03.085.jpg</v>
      </c>
      <c r="W96" t="str">
        <f>IFERROR(VLOOKUP(O96,Lembar1!$A$4:$I$457,9,FALSE),C96)</f>
        <v>BMW - Yanbu'ul Qur'an</v>
      </c>
    </row>
    <row r="97" spans="1:23" ht="15.75" hidden="1" thickBot="1" x14ac:dyDescent="0.3">
      <c r="A97" s="28">
        <v>46000.83048611111</v>
      </c>
      <c r="B97" s="82" t="s">
        <v>953</v>
      </c>
      <c r="C97" s="29" t="s">
        <v>609</v>
      </c>
      <c r="D97" s="29" t="s">
        <v>825</v>
      </c>
      <c r="E97" s="29" t="s">
        <v>10</v>
      </c>
      <c r="F97" s="30">
        <v>41714</v>
      </c>
      <c r="G97" s="29" t="s">
        <v>826</v>
      </c>
      <c r="H97" s="29" t="s">
        <v>827</v>
      </c>
      <c r="I97" s="29" t="s">
        <v>2</v>
      </c>
      <c r="J97" s="31" t="s">
        <v>1883</v>
      </c>
      <c r="K97" s="29" t="s">
        <v>1884</v>
      </c>
      <c r="L97" s="77" t="s">
        <v>824</v>
      </c>
      <c r="M97" s="32" t="s">
        <v>1885</v>
      </c>
      <c r="N97">
        <v>323</v>
      </c>
      <c r="O97" t="str">
        <f t="shared" si="14"/>
        <v>EBTAQ25-01.209</v>
      </c>
      <c r="P97" t="str">
        <f t="shared" si="15"/>
        <v>A'inur Riza Wafiroh</v>
      </c>
      <c r="Q97" t="str">
        <f t="shared" si="16"/>
        <v>Perempuan</v>
      </c>
      <c r="R97" t="str">
        <f t="shared" si="17"/>
        <v>Demak</v>
      </c>
      <c r="S97" s="21">
        <f t="shared" si="18"/>
        <v>41714</v>
      </c>
      <c r="T97" t="str">
        <f t="shared" si="19"/>
        <v>Saeful Hadi</v>
      </c>
      <c r="U97" t="str">
        <f t="shared" si="20"/>
        <v>Alm.Munawaroh</v>
      </c>
      <c r="V97" t="str">
        <f>VLOOKUP(O97,Lembar1!$A$4:$H$457,8,FALSE)</f>
        <v>BIO_Images/EBTAQ25-01.209.jpg</v>
      </c>
      <c r="W97" t="str">
        <f>IFERROR(VLOOKUP(O97,Lembar1!$A$4:$I$457,9,FALSE),C97)</f>
        <v>BMW - Roudhotut Tholibin</v>
      </c>
    </row>
    <row r="98" spans="1:23" ht="15.75" hidden="1" thickBot="1" x14ac:dyDescent="0.3">
      <c r="A98" s="50">
        <v>45982.340011574073</v>
      </c>
      <c r="B98" s="53" t="s">
        <v>10</v>
      </c>
      <c r="C98" s="53" t="s">
        <v>113</v>
      </c>
      <c r="D98" s="53" t="s">
        <v>964</v>
      </c>
      <c r="E98" s="53" t="s">
        <v>10</v>
      </c>
      <c r="F98" s="57">
        <v>41369</v>
      </c>
      <c r="G98" s="53" t="s">
        <v>965</v>
      </c>
      <c r="H98" s="53" t="s">
        <v>966</v>
      </c>
      <c r="I98" s="53" t="s">
        <v>66</v>
      </c>
      <c r="J98" s="60" t="s">
        <v>967</v>
      </c>
      <c r="K98" s="53" t="s">
        <v>968</v>
      </c>
      <c r="L98" s="78" t="s">
        <v>969</v>
      </c>
      <c r="M98" s="32" t="s">
        <v>970</v>
      </c>
      <c r="N98">
        <v>323</v>
      </c>
      <c r="O98" t="s">
        <v>130</v>
      </c>
      <c r="P98" t="s">
        <v>131</v>
      </c>
      <c r="Q98" t="s">
        <v>66</v>
      </c>
      <c r="R98" t="s">
        <v>28</v>
      </c>
      <c r="S98" s="21">
        <v>41369</v>
      </c>
      <c r="T98" t="s">
        <v>132</v>
      </c>
      <c r="U98" t="s">
        <v>133</v>
      </c>
      <c r="V98" t="s">
        <v>134</v>
      </c>
      <c r="W98" t="str">
        <f>IFERROR(VLOOKUP(O98,Lembar1!$A$4:$I$457,9,FALSE),C98)</f>
        <v>Demak - AL IMAN Mangunjiwan</v>
      </c>
    </row>
    <row r="99" spans="1:23" ht="15.75" hidden="1" thickBot="1" x14ac:dyDescent="0.3">
      <c r="A99" s="49">
        <v>45982.362615740742</v>
      </c>
      <c r="B99" s="52" t="s">
        <v>10</v>
      </c>
      <c r="C99" s="52" t="s">
        <v>113</v>
      </c>
      <c r="D99" s="52" t="s">
        <v>109</v>
      </c>
      <c r="E99" s="52" t="s">
        <v>59</v>
      </c>
      <c r="F99" s="56">
        <v>42563</v>
      </c>
      <c r="G99" s="52" t="s">
        <v>110</v>
      </c>
      <c r="H99" s="52" t="s">
        <v>111</v>
      </c>
      <c r="I99" s="52" t="s">
        <v>66</v>
      </c>
      <c r="J99" s="59" t="s">
        <v>971</v>
      </c>
      <c r="K99" s="52" t="s">
        <v>972</v>
      </c>
      <c r="L99" s="77" t="s">
        <v>108</v>
      </c>
      <c r="M99" s="37" t="s">
        <v>973</v>
      </c>
      <c r="N99">
        <v>325</v>
      </c>
      <c r="O99" t="str">
        <f t="shared" ref="O99:O162" si="21">L99</f>
        <v>EBTAQ25-01.121</v>
      </c>
      <c r="P99" t="str">
        <f t="shared" ref="P99:P162" si="22">D99</f>
        <v>Mirza Raja Al Fath</v>
      </c>
      <c r="Q99" t="str">
        <f t="shared" ref="Q99:Q162" si="23">I99</f>
        <v>Laki-laki</v>
      </c>
      <c r="R99" t="str">
        <f t="shared" ref="R99:R162" si="24">E99</f>
        <v>Semarang</v>
      </c>
      <c r="S99" s="21">
        <f t="shared" ref="S99:S162" si="25">F99</f>
        <v>42563</v>
      </c>
      <c r="T99" t="str">
        <f t="shared" ref="T99:T162" si="26">G99</f>
        <v>Agus Suyitno</v>
      </c>
      <c r="U99" t="str">
        <f t="shared" ref="U99:U162" si="27">H99</f>
        <v>Anik Eka Anasari</v>
      </c>
      <c r="V99" t="str">
        <f>VLOOKUP(O99,Lembar1!$A$4:$H$457,8,FALSE)</f>
        <v>BIO_Images/EBTAQ25-01.121.jpg</v>
      </c>
      <c r="W99" t="str">
        <f>IFERROR(VLOOKUP(O99,Lembar1!$A$4:$I$457,9,FALSE),C99)</f>
        <v>Demak - AL IMAN Mangunjiwan</v>
      </c>
    </row>
    <row r="100" spans="1:23" ht="15.75" hidden="1" thickBot="1" x14ac:dyDescent="0.3">
      <c r="A100" s="50">
        <v>45982.36546296296</v>
      </c>
      <c r="B100" s="53" t="s">
        <v>10</v>
      </c>
      <c r="C100" s="53" t="s">
        <v>113</v>
      </c>
      <c r="D100" s="53" t="s">
        <v>115</v>
      </c>
      <c r="E100" s="53" t="s">
        <v>116</v>
      </c>
      <c r="F100" s="57">
        <v>42997</v>
      </c>
      <c r="G100" s="53" t="s">
        <v>117</v>
      </c>
      <c r="H100" s="53" t="s">
        <v>118</v>
      </c>
      <c r="I100" s="53" t="s">
        <v>2</v>
      </c>
      <c r="J100" s="60" t="s">
        <v>974</v>
      </c>
      <c r="K100" s="53" t="s">
        <v>975</v>
      </c>
      <c r="L100" s="78" t="s">
        <v>114</v>
      </c>
      <c r="M100" s="32" t="s">
        <v>976</v>
      </c>
      <c r="N100">
        <v>326</v>
      </c>
      <c r="O100" t="str">
        <f t="shared" si="21"/>
        <v>EBTAQ25-01.122</v>
      </c>
      <c r="P100" t="str">
        <f t="shared" si="22"/>
        <v>Elmeera Sheenaz Khalifa</v>
      </c>
      <c r="Q100" t="str">
        <f t="shared" si="23"/>
        <v>Perempuan</v>
      </c>
      <c r="R100" t="str">
        <f t="shared" si="24"/>
        <v>Kudus</v>
      </c>
      <c r="S100" s="21">
        <f t="shared" si="25"/>
        <v>42997</v>
      </c>
      <c r="T100" t="str">
        <f t="shared" si="26"/>
        <v>Ikha Dalinar Kurnia Putra</v>
      </c>
      <c r="U100" t="str">
        <f t="shared" si="27"/>
        <v>Siti Chanifah</v>
      </c>
      <c r="V100" t="str">
        <f>VLOOKUP(O100,Lembar1!$A$4:$H$457,8,FALSE)</f>
        <v>BIO_Images/EBTAQ25-01.122.jpg</v>
      </c>
      <c r="W100" t="str">
        <f>IFERROR(VLOOKUP(O100,Lembar1!$A$4:$I$457,9,FALSE),C100)</f>
        <v>Demak - AL IMAN Mangunjiwan</v>
      </c>
    </row>
    <row r="101" spans="1:23" ht="15.75" hidden="1" thickBot="1" x14ac:dyDescent="0.3">
      <c r="A101" s="49">
        <v>45982.369421296295</v>
      </c>
      <c r="B101" s="52" t="s">
        <v>10</v>
      </c>
      <c r="C101" s="52" t="s">
        <v>113</v>
      </c>
      <c r="D101" s="52" t="s">
        <v>121</v>
      </c>
      <c r="E101" s="52" t="s">
        <v>28</v>
      </c>
      <c r="F101" s="56">
        <v>42812</v>
      </c>
      <c r="G101" s="52" t="s">
        <v>122</v>
      </c>
      <c r="H101" s="52" t="s">
        <v>123</v>
      </c>
      <c r="I101" s="52" t="s">
        <v>66</v>
      </c>
      <c r="J101" s="59" t="s">
        <v>977</v>
      </c>
      <c r="K101" s="52" t="s">
        <v>978</v>
      </c>
      <c r="L101" s="77" t="s">
        <v>120</v>
      </c>
      <c r="M101" s="37" t="s">
        <v>979</v>
      </c>
      <c r="N101">
        <v>327</v>
      </c>
      <c r="O101" t="str">
        <f t="shared" si="21"/>
        <v>EBTAQ25-01.123</v>
      </c>
      <c r="P101" t="str">
        <f t="shared" si="22"/>
        <v>MUHAMMAD AFFAN MUHADDZIB ABQARY</v>
      </c>
      <c r="Q101" t="str">
        <f t="shared" si="23"/>
        <v>Laki-laki</v>
      </c>
      <c r="R101" t="str">
        <f t="shared" si="24"/>
        <v>DEMAK</v>
      </c>
      <c r="S101" s="21">
        <f t="shared" si="25"/>
        <v>42812</v>
      </c>
      <c r="T101" t="str">
        <f t="shared" si="26"/>
        <v>AHMAD SOLIKIN</v>
      </c>
      <c r="U101" t="str">
        <f t="shared" si="27"/>
        <v>ANISSA NIRMA CAHYANINGRUM</v>
      </c>
      <c r="V101" t="str">
        <f>VLOOKUP(O101,Lembar1!$A$4:$H$457,8,FALSE)</f>
        <v>BIO_Images/EBTAQ25-01.123.jpg</v>
      </c>
      <c r="W101" t="str">
        <f>IFERROR(VLOOKUP(O101,Lembar1!$A$4:$I$457,9,FALSE),C101)</f>
        <v>Demak - AL IMAN Mangunjiwan</v>
      </c>
    </row>
    <row r="102" spans="1:23" ht="15.75" hidden="1" thickBot="1" x14ac:dyDescent="0.3">
      <c r="A102" s="50">
        <v>45982.370451388888</v>
      </c>
      <c r="B102" s="53" t="s">
        <v>10</v>
      </c>
      <c r="C102" s="53" t="s">
        <v>113</v>
      </c>
      <c r="D102" s="53" t="s">
        <v>126</v>
      </c>
      <c r="E102" s="53" t="s">
        <v>10</v>
      </c>
      <c r="F102" s="57">
        <v>42110</v>
      </c>
      <c r="G102" s="53" t="s">
        <v>127</v>
      </c>
      <c r="H102" s="53" t="s">
        <v>128</v>
      </c>
      <c r="I102" s="53" t="s">
        <v>66</v>
      </c>
      <c r="J102" s="60" t="s">
        <v>980</v>
      </c>
      <c r="K102" s="53" t="s">
        <v>981</v>
      </c>
      <c r="L102" s="78" t="s">
        <v>125</v>
      </c>
      <c r="M102" s="32" t="s">
        <v>982</v>
      </c>
      <c r="N102">
        <v>328</v>
      </c>
      <c r="O102" t="str">
        <f t="shared" si="21"/>
        <v>EBTAQ25-01.124</v>
      </c>
      <c r="P102" t="str">
        <f t="shared" si="22"/>
        <v>Hamizan Arsakha Rasyid</v>
      </c>
      <c r="Q102" t="str">
        <f t="shared" si="23"/>
        <v>Laki-laki</v>
      </c>
      <c r="R102" t="str">
        <f t="shared" si="24"/>
        <v>Demak</v>
      </c>
      <c r="S102" s="21">
        <f t="shared" si="25"/>
        <v>42110</v>
      </c>
      <c r="T102" t="str">
        <f t="shared" si="26"/>
        <v>Riyuniawan Subekti</v>
      </c>
      <c r="U102" t="str">
        <f t="shared" si="27"/>
        <v>Paramitha Hanifia</v>
      </c>
      <c r="V102" t="str">
        <f>VLOOKUP(O102,Lembar1!$A$4:$H$457,8,FALSE)</f>
        <v>BIO_Images/EBTAQ25-01.124.jpg</v>
      </c>
      <c r="W102" t="str">
        <f>IFERROR(VLOOKUP(O102,Lembar1!$A$4:$I$457,9,FALSE),C102)</f>
        <v>Demak - AL IMAN Mangunjiwan</v>
      </c>
    </row>
    <row r="103" spans="1:23" ht="15.75" hidden="1" thickBot="1" x14ac:dyDescent="0.3">
      <c r="A103" s="49">
        <v>45982.411944444444</v>
      </c>
      <c r="B103" s="52" t="s">
        <v>10</v>
      </c>
      <c r="C103" s="52" t="s">
        <v>113</v>
      </c>
      <c r="D103" s="52" t="s">
        <v>131</v>
      </c>
      <c r="E103" s="52" t="s">
        <v>28</v>
      </c>
      <c r="F103" s="56">
        <v>41369</v>
      </c>
      <c r="G103" s="52" t="s">
        <v>132</v>
      </c>
      <c r="H103" s="52" t="s">
        <v>133</v>
      </c>
      <c r="I103" s="52" t="s">
        <v>66</v>
      </c>
      <c r="J103" s="59" t="s">
        <v>983</v>
      </c>
      <c r="K103" s="52" t="s">
        <v>984</v>
      </c>
      <c r="L103" s="77" t="s">
        <v>130</v>
      </c>
      <c r="M103" s="37" t="s">
        <v>985</v>
      </c>
      <c r="N103">
        <v>329</v>
      </c>
      <c r="O103" t="str">
        <f t="shared" si="21"/>
        <v>EBTAQ25-01.125</v>
      </c>
      <c r="P103" t="str">
        <f t="shared" si="22"/>
        <v>MUHAMMAD GHANI AQILLEO</v>
      </c>
      <c r="Q103" t="str">
        <f t="shared" si="23"/>
        <v>Laki-laki</v>
      </c>
      <c r="R103" t="str">
        <f t="shared" si="24"/>
        <v>DEMAK</v>
      </c>
      <c r="S103" s="21">
        <f t="shared" si="25"/>
        <v>41369</v>
      </c>
      <c r="T103" t="str">
        <f t="shared" si="26"/>
        <v>ABDUL ROUF</v>
      </c>
      <c r="U103" t="str">
        <f t="shared" si="27"/>
        <v>LAILI SURYANI</v>
      </c>
      <c r="V103" t="str">
        <f>VLOOKUP(O103,Lembar1!$A$4:$H$457,8,FALSE)</f>
        <v>BIO_Images/EBTAQ25-01.125.jpeg</v>
      </c>
      <c r="W103" t="str">
        <f>IFERROR(VLOOKUP(O103,Lembar1!$A$4:$I$457,9,FALSE),C103)</f>
        <v>Demak - AL IMAN Mangunjiwan</v>
      </c>
    </row>
    <row r="104" spans="1:23" ht="15.75" hidden="1" thickBot="1" x14ac:dyDescent="0.3">
      <c r="A104" s="50">
        <v>45985.321192129632</v>
      </c>
      <c r="B104" s="53" t="s">
        <v>10</v>
      </c>
      <c r="C104" s="53" t="s">
        <v>113</v>
      </c>
      <c r="D104" s="53" t="s">
        <v>136</v>
      </c>
      <c r="E104" s="53" t="s">
        <v>10</v>
      </c>
      <c r="F104" s="57">
        <v>42133</v>
      </c>
      <c r="G104" s="53" t="s">
        <v>137</v>
      </c>
      <c r="H104" s="53" t="s">
        <v>138</v>
      </c>
      <c r="I104" s="53" t="s">
        <v>66</v>
      </c>
      <c r="J104" s="60" t="s">
        <v>986</v>
      </c>
      <c r="K104" s="53" t="s">
        <v>987</v>
      </c>
      <c r="L104" s="78" t="s">
        <v>135</v>
      </c>
      <c r="M104" s="32" t="s">
        <v>988</v>
      </c>
      <c r="N104">
        <v>330</v>
      </c>
      <c r="O104" t="str">
        <f t="shared" si="21"/>
        <v>EBTAQ25-01.126</v>
      </c>
      <c r="P104" t="str">
        <f t="shared" si="22"/>
        <v>Arkana Adhiyatsa Rayhan</v>
      </c>
      <c r="Q104" t="str">
        <f t="shared" si="23"/>
        <v>Laki-laki</v>
      </c>
      <c r="R104" t="str">
        <f t="shared" si="24"/>
        <v>Demak</v>
      </c>
      <c r="S104" s="21">
        <f t="shared" si="25"/>
        <v>42133</v>
      </c>
      <c r="T104" t="str">
        <f t="shared" si="26"/>
        <v>Nurul Ariyanto</v>
      </c>
      <c r="U104" t="str">
        <f t="shared" si="27"/>
        <v>Herlia Murbawati</v>
      </c>
      <c r="V104" t="str">
        <f>VLOOKUP(O104,Lembar1!$A$4:$H$457,8,FALSE)</f>
        <v>BIO_Images/EBTAQ25-01.126.jpg</v>
      </c>
      <c r="W104" t="str">
        <f>IFERROR(VLOOKUP(O104,Lembar1!$A$4:$I$457,9,FALSE),C104)</f>
        <v>Demak - AL IMAN Mangunjiwan</v>
      </c>
    </row>
    <row r="105" spans="1:23" ht="15.75" hidden="1" thickBot="1" x14ac:dyDescent="0.3">
      <c r="A105" s="49">
        <v>45985.322523148148</v>
      </c>
      <c r="B105" s="52" t="s">
        <v>10</v>
      </c>
      <c r="C105" s="52" t="s">
        <v>113</v>
      </c>
      <c r="D105" s="52" t="s">
        <v>141</v>
      </c>
      <c r="E105" s="52" t="s">
        <v>10</v>
      </c>
      <c r="F105" s="56">
        <v>42970</v>
      </c>
      <c r="G105" s="52" t="s">
        <v>142</v>
      </c>
      <c r="H105" s="52" t="s">
        <v>143</v>
      </c>
      <c r="I105" s="52" t="s">
        <v>2</v>
      </c>
      <c r="J105" s="59" t="s">
        <v>989</v>
      </c>
      <c r="K105" s="52" t="s">
        <v>990</v>
      </c>
      <c r="L105" s="77" t="s">
        <v>140</v>
      </c>
      <c r="M105" s="37" t="s">
        <v>991</v>
      </c>
      <c r="N105">
        <v>331</v>
      </c>
      <c r="O105" t="str">
        <f t="shared" si="21"/>
        <v>EBTAQ25-01.127</v>
      </c>
      <c r="P105" t="str">
        <f t="shared" si="22"/>
        <v>Lubna Atsila Basyasyah</v>
      </c>
      <c r="Q105" t="str">
        <f t="shared" si="23"/>
        <v>Perempuan</v>
      </c>
      <c r="R105" t="str">
        <f t="shared" si="24"/>
        <v>Demak</v>
      </c>
      <c r="S105" s="21">
        <f t="shared" si="25"/>
        <v>42970</v>
      </c>
      <c r="T105" t="str">
        <f t="shared" si="26"/>
        <v>Wahid Hasyim</v>
      </c>
      <c r="U105" t="str">
        <f t="shared" si="27"/>
        <v>Laili Pandiawati</v>
      </c>
      <c r="V105" t="str">
        <f>VLOOKUP(O105,Lembar1!$A$4:$H$457,8,FALSE)</f>
        <v>BIO_Images/EBTAQ25-01.127.jpg</v>
      </c>
      <c r="W105" t="str">
        <f>IFERROR(VLOOKUP(O105,Lembar1!$A$4:$I$457,9,FALSE),C105)</f>
        <v>Demak - AL IMAN Mangunjiwan</v>
      </c>
    </row>
    <row r="106" spans="1:23" ht="15.75" hidden="1" thickBot="1" x14ac:dyDescent="0.3">
      <c r="A106" s="50">
        <v>45985.365601851852</v>
      </c>
      <c r="B106" s="53" t="s">
        <v>10</v>
      </c>
      <c r="C106" s="53" t="s">
        <v>113</v>
      </c>
      <c r="D106" s="53" t="s">
        <v>146</v>
      </c>
      <c r="E106" s="53" t="s">
        <v>28</v>
      </c>
      <c r="F106" s="57">
        <v>42663</v>
      </c>
      <c r="G106" s="53" t="s">
        <v>147</v>
      </c>
      <c r="H106" s="53" t="s">
        <v>148</v>
      </c>
      <c r="I106" s="53" t="s">
        <v>66</v>
      </c>
      <c r="J106" s="60" t="s">
        <v>992</v>
      </c>
      <c r="K106" s="53" t="s">
        <v>993</v>
      </c>
      <c r="L106" s="78" t="s">
        <v>145</v>
      </c>
      <c r="M106" s="32" t="s">
        <v>994</v>
      </c>
      <c r="N106">
        <v>332</v>
      </c>
      <c r="O106" t="str">
        <f t="shared" si="21"/>
        <v>EBTAQ25-01.128</v>
      </c>
      <c r="P106" t="str">
        <f t="shared" si="22"/>
        <v>MUHAMMAD SAKHA MAHATVAVIRYA</v>
      </c>
      <c r="Q106" t="str">
        <f t="shared" si="23"/>
        <v>Laki-laki</v>
      </c>
      <c r="R106" t="str">
        <f t="shared" si="24"/>
        <v>DEMAK</v>
      </c>
      <c r="S106" s="21">
        <f t="shared" si="25"/>
        <v>42663</v>
      </c>
      <c r="T106" t="str">
        <f t="shared" si="26"/>
        <v>JEIHAN YOGANA</v>
      </c>
      <c r="U106" t="str">
        <f t="shared" si="27"/>
        <v>ISNA KURNIA ANDINTIAS</v>
      </c>
      <c r="V106" t="str">
        <f>VLOOKUP(O106,Lembar1!$A$4:$H$457,8,FALSE)</f>
        <v>BIO_Images/EBTAQ25-01.128.jpeg</v>
      </c>
      <c r="W106" t="str">
        <f>IFERROR(VLOOKUP(O106,Lembar1!$A$4:$I$457,9,FALSE),C106)</f>
        <v>Demak - AL IMAN Mangunjiwan</v>
      </c>
    </row>
    <row r="107" spans="1:23" ht="15.75" hidden="1" thickBot="1" x14ac:dyDescent="0.3">
      <c r="A107" s="49">
        <v>45985.374259259261</v>
      </c>
      <c r="B107" s="52" t="s">
        <v>10</v>
      </c>
      <c r="C107" s="52" t="s">
        <v>113</v>
      </c>
      <c r="D107" s="52" t="s">
        <v>151</v>
      </c>
      <c r="E107" s="52" t="s">
        <v>10</v>
      </c>
      <c r="F107" s="56">
        <v>42181</v>
      </c>
      <c r="G107" s="52" t="s">
        <v>152</v>
      </c>
      <c r="H107" s="52" t="s">
        <v>153</v>
      </c>
      <c r="I107" s="52" t="s">
        <v>2</v>
      </c>
      <c r="J107" s="59" t="s">
        <v>995</v>
      </c>
      <c r="K107" s="52" t="s">
        <v>996</v>
      </c>
      <c r="L107" s="77" t="s">
        <v>150</v>
      </c>
      <c r="M107" s="37" t="s">
        <v>997</v>
      </c>
      <c r="N107">
        <v>333</v>
      </c>
      <c r="O107" t="str">
        <f t="shared" si="21"/>
        <v>EBTAQ25-01.129</v>
      </c>
      <c r="P107" t="str">
        <f t="shared" si="22"/>
        <v>Hanun El Rusyda Saputra</v>
      </c>
      <c r="Q107" t="str">
        <f t="shared" si="23"/>
        <v>Perempuan</v>
      </c>
      <c r="R107" t="str">
        <f t="shared" si="24"/>
        <v>Demak</v>
      </c>
      <c r="S107" s="21">
        <f t="shared" si="25"/>
        <v>42181</v>
      </c>
      <c r="T107" t="str">
        <f t="shared" si="26"/>
        <v>Pamungkas Hijrah Saputra</v>
      </c>
      <c r="U107" t="str">
        <f t="shared" si="27"/>
        <v>Dwi Octaviyanti</v>
      </c>
      <c r="V107" t="str">
        <f>VLOOKUP(O107,Lembar1!$A$4:$H$457,8,FALSE)</f>
        <v>BIO_Images/EBTAQ25-01.129.jpg</v>
      </c>
      <c r="W107" t="str">
        <f>IFERROR(VLOOKUP(O107,Lembar1!$A$4:$I$457,9,FALSE),C107)</f>
        <v>Demak - AL IMAN Mangunjiwan</v>
      </c>
    </row>
    <row r="108" spans="1:23" ht="15.75" hidden="1" thickBot="1" x14ac:dyDescent="0.3">
      <c r="A108" s="33">
        <v>46000.413148148145</v>
      </c>
      <c r="B108" s="34" t="s">
        <v>10</v>
      </c>
      <c r="C108" s="34" t="s">
        <v>550</v>
      </c>
      <c r="D108" s="34" t="s">
        <v>546</v>
      </c>
      <c r="E108" s="34" t="s">
        <v>28</v>
      </c>
      <c r="F108" s="35">
        <v>43177</v>
      </c>
      <c r="G108" s="34" t="s">
        <v>547</v>
      </c>
      <c r="H108" s="34" t="s">
        <v>548</v>
      </c>
      <c r="I108" s="34" t="s">
        <v>2</v>
      </c>
      <c r="J108" s="36" t="s">
        <v>1490</v>
      </c>
      <c r="K108" s="34" t="s">
        <v>1491</v>
      </c>
      <c r="L108" s="78" t="s">
        <v>545</v>
      </c>
      <c r="M108" s="37" t="s">
        <v>1492</v>
      </c>
      <c r="N108">
        <v>334</v>
      </c>
      <c r="O108" t="str">
        <f t="shared" si="21"/>
        <v>EBTAQ25-01.182</v>
      </c>
      <c r="P108" t="str">
        <f t="shared" si="22"/>
        <v>HASNA ARSYILA FATIMA</v>
      </c>
      <c r="Q108" t="str">
        <f t="shared" si="23"/>
        <v>Perempuan</v>
      </c>
      <c r="R108" t="str">
        <f t="shared" si="24"/>
        <v>DEMAK</v>
      </c>
      <c r="S108" s="21">
        <f t="shared" si="25"/>
        <v>43177</v>
      </c>
      <c r="T108" t="str">
        <f t="shared" si="26"/>
        <v>RACHMAD FAYSHAL</v>
      </c>
      <c r="U108" t="str">
        <f t="shared" si="27"/>
        <v>NUR LAILATUL JANNAH</v>
      </c>
      <c r="V108" t="str">
        <f>VLOOKUP(O108,Lembar1!$A$4:$H$457,8,FALSE)</f>
        <v>BIO_Images/EBTAQ25-01.182.jpg</v>
      </c>
      <c r="W108" t="str">
        <f>IFERROR(VLOOKUP(O108,Lembar1!$A$4:$I$457,9,FALSE),C108)</f>
        <v>Demak - SD BUQ BET.DEMAK</v>
      </c>
    </row>
    <row r="109" spans="1:23" ht="15.75" hidden="1" thickBot="1" x14ac:dyDescent="0.3">
      <c r="A109" s="28">
        <v>46001.829861111109</v>
      </c>
      <c r="B109" s="29" t="s">
        <v>10</v>
      </c>
      <c r="C109" s="82" t="s">
        <v>2880</v>
      </c>
      <c r="D109" s="29" t="s">
        <v>2881</v>
      </c>
      <c r="E109" s="29" t="s">
        <v>365</v>
      </c>
      <c r="F109" s="30">
        <v>42709</v>
      </c>
      <c r="G109" s="29" t="s">
        <v>2882</v>
      </c>
      <c r="H109" s="29" t="s">
        <v>2883</v>
      </c>
      <c r="I109" s="29" t="s">
        <v>2</v>
      </c>
      <c r="J109" s="31" t="s">
        <v>2884</v>
      </c>
      <c r="K109" s="29" t="s">
        <v>2013</v>
      </c>
      <c r="L109" s="77" t="s">
        <v>2885</v>
      </c>
      <c r="M109" s="32" t="s">
        <v>2886</v>
      </c>
      <c r="N109">
        <v>335</v>
      </c>
      <c r="O109" t="str">
        <f t="shared" si="21"/>
        <v>EBTAQ25-01.320</v>
      </c>
      <c r="P109" t="str">
        <f t="shared" si="22"/>
        <v>ANASTASYA VIOLA NAZAFARIN</v>
      </c>
      <c r="Q109" t="str">
        <f t="shared" si="23"/>
        <v>Perempuan</v>
      </c>
      <c r="R109" t="str">
        <f t="shared" si="24"/>
        <v>KUDUS</v>
      </c>
      <c r="S109" s="21">
        <f t="shared" si="25"/>
        <v>42709</v>
      </c>
      <c r="T109" t="str">
        <f t="shared" si="26"/>
        <v>MUSLIM</v>
      </c>
      <c r="U109" t="str">
        <f t="shared" si="27"/>
        <v>IKA PUJI SISWANTI</v>
      </c>
      <c r="V109" t="str">
        <f>VLOOKUP(O109,Lembar1!$A$4:$H$457,8,FALSE)</f>
        <v>BIO_Images/EBTAQ25-01.320.jpg</v>
      </c>
      <c r="W109" t="str">
        <f>IFERROR(VLOOKUP(O109,Lembar1!$A$4:$I$457,9,FALSE),C109)</f>
        <v>Demak - SD BUQ BET.DEMAK, Demak - TPQ MIFTAHUL JANNAH</v>
      </c>
    </row>
    <row r="110" spans="1:23" ht="15.75" hidden="1" thickBot="1" x14ac:dyDescent="0.3">
      <c r="A110" s="33">
        <v>45999.67560185185</v>
      </c>
      <c r="B110" s="34" t="s">
        <v>10</v>
      </c>
      <c r="C110" s="34" t="s">
        <v>441</v>
      </c>
      <c r="D110" s="34" t="s">
        <v>437</v>
      </c>
      <c r="E110" s="34" t="s">
        <v>28</v>
      </c>
      <c r="F110" s="35">
        <v>41900</v>
      </c>
      <c r="G110" s="34" t="s">
        <v>438</v>
      </c>
      <c r="H110" s="34" t="s">
        <v>439</v>
      </c>
      <c r="I110" s="34" t="s">
        <v>66</v>
      </c>
      <c r="J110" s="36" t="s">
        <v>1382</v>
      </c>
      <c r="K110" s="34" t="s">
        <v>1383</v>
      </c>
      <c r="L110" s="78" t="s">
        <v>436</v>
      </c>
      <c r="M110" s="37" t="s">
        <v>1384</v>
      </c>
      <c r="N110">
        <v>336</v>
      </c>
      <c r="O110" t="str">
        <f t="shared" si="21"/>
        <v>EBTAQ25-01.165</v>
      </c>
      <c r="P110" t="str">
        <f t="shared" si="22"/>
        <v>ABDULLAH ARFA</v>
      </c>
      <c r="Q110" t="str">
        <f t="shared" si="23"/>
        <v>Laki-laki</v>
      </c>
      <c r="R110" t="str">
        <f t="shared" si="24"/>
        <v>DEMAK</v>
      </c>
      <c r="S110" s="21">
        <f t="shared" si="25"/>
        <v>41900</v>
      </c>
      <c r="T110" t="str">
        <f t="shared" si="26"/>
        <v>M. Arif Effendi</v>
      </c>
      <c r="U110" t="str">
        <f t="shared" si="27"/>
        <v>SRI UTAMI</v>
      </c>
      <c r="V110" t="str">
        <f>VLOOKUP(O110,Lembar1!$A$4:$H$457,8,FALSE)</f>
        <v>BIO_Images/EBTAQ25-01.165.jpeg</v>
      </c>
      <c r="W110" t="str">
        <f>IFERROR(VLOOKUP(O110,Lembar1!$A$4:$I$457,9,FALSE),C110)</f>
        <v>Demak - SD NURUL HUDA</v>
      </c>
    </row>
    <row r="111" spans="1:23" ht="15.75" hidden="1" thickBot="1" x14ac:dyDescent="0.3">
      <c r="A111" s="49">
        <v>46001.442372685182</v>
      </c>
      <c r="B111" s="52" t="s">
        <v>10</v>
      </c>
      <c r="C111" s="52" t="s">
        <v>441</v>
      </c>
      <c r="D111" s="52" t="s">
        <v>2016</v>
      </c>
      <c r="E111" s="52" t="s">
        <v>10</v>
      </c>
      <c r="F111" s="56">
        <v>42460</v>
      </c>
      <c r="G111" s="52" t="s">
        <v>2017</v>
      </c>
      <c r="H111" s="52" t="s">
        <v>2018</v>
      </c>
      <c r="I111" s="52" t="s">
        <v>66</v>
      </c>
      <c r="J111" s="59" t="s">
        <v>2019</v>
      </c>
      <c r="K111" s="52" t="s">
        <v>2020</v>
      </c>
      <c r="L111" s="77" t="s">
        <v>2021</v>
      </c>
      <c r="M111" s="37" t="s">
        <v>2022</v>
      </c>
      <c r="N111">
        <v>337</v>
      </c>
      <c r="O111" t="str">
        <f t="shared" si="21"/>
        <v>EBTAQ25-01.230</v>
      </c>
      <c r="P111" t="str">
        <f t="shared" si="22"/>
        <v>Abdullah Dhanu Narendra</v>
      </c>
      <c r="Q111" t="str">
        <f t="shared" si="23"/>
        <v>Laki-laki</v>
      </c>
      <c r="R111" t="str">
        <f t="shared" si="24"/>
        <v>Demak</v>
      </c>
      <c r="S111" s="21">
        <f t="shared" si="25"/>
        <v>42460</v>
      </c>
      <c r="T111" t="str">
        <f t="shared" si="26"/>
        <v>Agus Abdullah Mukti</v>
      </c>
      <c r="U111" t="str">
        <f t="shared" si="27"/>
        <v>Etty Sugiasih</v>
      </c>
      <c r="V111" t="str">
        <f>VLOOKUP(O111,Lembar1!$A$4:$H$457,8,FALSE)</f>
        <v>BIO_Images/EBTAQ25-01.230.jpg</v>
      </c>
      <c r="W111" t="str">
        <f>IFERROR(VLOOKUP(O111,Lembar1!$A$4:$I$457,9,FALSE),C111)</f>
        <v>Demak - SD NURUL HUDA</v>
      </c>
    </row>
    <row r="112" spans="1:23" ht="15.75" hidden="1" thickBot="1" x14ac:dyDescent="0.3">
      <c r="A112" s="50">
        <v>46001.448622685188</v>
      </c>
      <c r="B112" s="53" t="s">
        <v>10</v>
      </c>
      <c r="C112" s="53" t="s">
        <v>441</v>
      </c>
      <c r="D112" s="53" t="s">
        <v>2023</v>
      </c>
      <c r="E112" s="53" t="s">
        <v>10</v>
      </c>
      <c r="F112" s="57">
        <v>42294</v>
      </c>
      <c r="G112" s="53" t="s">
        <v>2024</v>
      </c>
      <c r="H112" s="53" t="s">
        <v>2025</v>
      </c>
      <c r="I112" s="53" t="s">
        <v>66</v>
      </c>
      <c r="J112" s="60" t="s">
        <v>2026</v>
      </c>
      <c r="K112" s="53" t="s">
        <v>2020</v>
      </c>
      <c r="L112" s="78" t="s">
        <v>2027</v>
      </c>
      <c r="M112" s="32" t="s">
        <v>2028</v>
      </c>
      <c r="N112">
        <v>338</v>
      </c>
      <c r="O112" t="str">
        <f t="shared" si="21"/>
        <v>EBTAQ25-01.231</v>
      </c>
      <c r="P112" t="str">
        <f t="shared" si="22"/>
        <v>Abrizam Ahkim Aisyhafiy</v>
      </c>
      <c r="Q112" t="str">
        <f t="shared" si="23"/>
        <v>Laki-laki</v>
      </c>
      <c r="R112" t="str">
        <f t="shared" si="24"/>
        <v>Demak</v>
      </c>
      <c r="S112" s="21">
        <f t="shared" si="25"/>
        <v>42294</v>
      </c>
      <c r="T112" t="str">
        <f t="shared" si="26"/>
        <v>Sigit Suharto</v>
      </c>
      <c r="U112" t="str">
        <f t="shared" si="27"/>
        <v>Nelfa Erly Fransiskasari</v>
      </c>
      <c r="V112" t="str">
        <f>VLOOKUP(O112,Lembar1!$A$4:$H$457,8,FALSE)</f>
        <v>BIO_Images/EBTAQ25-01.231.jpg</v>
      </c>
      <c r="W112" t="str">
        <f>IFERROR(VLOOKUP(O112,Lembar1!$A$4:$I$457,9,FALSE),C112)</f>
        <v>Demak - SD NURUL HUDA</v>
      </c>
    </row>
    <row r="113" spans="1:23" ht="15.75" hidden="1" thickBot="1" x14ac:dyDescent="0.3">
      <c r="A113" s="28">
        <v>46001.452418981484</v>
      </c>
      <c r="B113" s="29" t="s">
        <v>10</v>
      </c>
      <c r="C113" s="29" t="s">
        <v>441</v>
      </c>
      <c r="D113" s="29" t="s">
        <v>2030</v>
      </c>
      <c r="E113" s="29" t="s">
        <v>10</v>
      </c>
      <c r="F113" s="30">
        <v>42746</v>
      </c>
      <c r="G113" s="29" t="s">
        <v>2031</v>
      </c>
      <c r="H113" s="29" t="s">
        <v>2032</v>
      </c>
      <c r="I113" s="29" t="s">
        <v>66</v>
      </c>
      <c r="J113" s="31" t="s">
        <v>2033</v>
      </c>
      <c r="K113" s="29" t="s">
        <v>1383</v>
      </c>
      <c r="L113" s="77" t="s">
        <v>2034</v>
      </c>
      <c r="M113" s="32" t="s">
        <v>2035</v>
      </c>
      <c r="N113">
        <v>339</v>
      </c>
      <c r="O113" t="str">
        <f t="shared" si="21"/>
        <v>EBTAQ25-01.232</v>
      </c>
      <c r="P113" t="str">
        <f t="shared" si="22"/>
        <v>ADITYA NAUFAL DARY ABIYYU</v>
      </c>
      <c r="Q113" t="str">
        <f t="shared" si="23"/>
        <v>Laki-laki</v>
      </c>
      <c r="R113" t="str">
        <f t="shared" si="24"/>
        <v>Demak</v>
      </c>
      <c r="S113" s="21">
        <f t="shared" si="25"/>
        <v>42746</v>
      </c>
      <c r="T113" t="str">
        <f t="shared" si="26"/>
        <v>NASICHIN</v>
      </c>
      <c r="U113" t="str">
        <f t="shared" si="27"/>
        <v>ASTRI CAHYA PRATIWI</v>
      </c>
      <c r="V113" t="str">
        <f>VLOOKUP(O113,Lembar1!$A$4:$H$457,8,FALSE)</f>
        <v>BIO_Images/EBTAQ25-01.232.jpeg</v>
      </c>
      <c r="W113" t="str">
        <f>IFERROR(VLOOKUP(O113,Lembar1!$A$4:$I$457,9,FALSE),C113)</f>
        <v>Demak - SD NURUL HUDA</v>
      </c>
    </row>
    <row r="114" spans="1:23" ht="15.75" hidden="1" thickBot="1" x14ac:dyDescent="0.3">
      <c r="A114" s="50">
        <v>46001.458761574075</v>
      </c>
      <c r="B114" s="53" t="s">
        <v>10</v>
      </c>
      <c r="C114" s="53" t="s">
        <v>441</v>
      </c>
      <c r="D114" s="53" t="s">
        <v>2047</v>
      </c>
      <c r="E114" s="53" t="s">
        <v>59</v>
      </c>
      <c r="F114" s="57">
        <v>42358</v>
      </c>
      <c r="G114" s="53" t="s">
        <v>2048</v>
      </c>
      <c r="H114" s="53" t="s">
        <v>2049</v>
      </c>
      <c r="I114" s="53" t="s">
        <v>2</v>
      </c>
      <c r="J114" s="60" t="s">
        <v>2050</v>
      </c>
      <c r="K114" s="53" t="s">
        <v>1383</v>
      </c>
      <c r="L114" s="78" t="s">
        <v>2051</v>
      </c>
      <c r="M114" s="32" t="s">
        <v>2052</v>
      </c>
      <c r="N114">
        <v>340</v>
      </c>
      <c r="O114" t="str">
        <f t="shared" si="21"/>
        <v>EBTAQ25-01.234</v>
      </c>
      <c r="P114" t="str">
        <f t="shared" si="22"/>
        <v>ADZKIA MYESHA NABILA</v>
      </c>
      <c r="Q114" t="str">
        <f t="shared" si="23"/>
        <v>Perempuan</v>
      </c>
      <c r="R114" t="str">
        <f t="shared" si="24"/>
        <v>Semarang</v>
      </c>
      <c r="S114" s="21">
        <f t="shared" si="25"/>
        <v>42358</v>
      </c>
      <c r="T114" t="str">
        <f t="shared" si="26"/>
        <v>MUHAMAD SUKRON</v>
      </c>
      <c r="U114" t="str">
        <f t="shared" si="27"/>
        <v>DWI RESTIYANI</v>
      </c>
      <c r="V114" t="str">
        <f>VLOOKUP(O114,Lembar1!$A$4:$H$457,8,FALSE)</f>
        <v>BIO_Images/EBTAQ25-01.234.jpeg</v>
      </c>
      <c r="W114" t="str">
        <f>IFERROR(VLOOKUP(O114,Lembar1!$A$4:$I$457,9,FALSE),C114)</f>
        <v>Demak - SD NURUL HUDA</v>
      </c>
    </row>
    <row r="115" spans="1:23" ht="15.75" hidden="1" thickBot="1" x14ac:dyDescent="0.3">
      <c r="A115" s="49">
        <v>46001.463229166664</v>
      </c>
      <c r="B115" s="52" t="s">
        <v>10</v>
      </c>
      <c r="C115" s="52" t="s">
        <v>441</v>
      </c>
      <c r="D115" s="52" t="s">
        <v>2053</v>
      </c>
      <c r="E115" s="52" t="s">
        <v>10</v>
      </c>
      <c r="F115" s="56">
        <v>41646</v>
      </c>
      <c r="G115" s="52" t="s">
        <v>2054</v>
      </c>
      <c r="H115" s="52" t="s">
        <v>2055</v>
      </c>
      <c r="I115" s="52" t="s">
        <v>66</v>
      </c>
      <c r="J115" s="59" t="s">
        <v>2056</v>
      </c>
      <c r="K115" s="52" t="s">
        <v>1383</v>
      </c>
      <c r="L115" s="77" t="s">
        <v>2057</v>
      </c>
      <c r="M115" s="37" t="s">
        <v>2058</v>
      </c>
      <c r="N115">
        <v>341</v>
      </c>
      <c r="O115" t="str">
        <f t="shared" si="21"/>
        <v>EBTAQ25-01.235</v>
      </c>
      <c r="P115" t="str">
        <f t="shared" si="22"/>
        <v>AHMAD ALIF MAULANA</v>
      </c>
      <c r="Q115" t="str">
        <f t="shared" si="23"/>
        <v>Laki-laki</v>
      </c>
      <c r="R115" t="str">
        <f t="shared" si="24"/>
        <v>Demak</v>
      </c>
      <c r="S115" s="21">
        <f t="shared" si="25"/>
        <v>41646</v>
      </c>
      <c r="T115" t="str">
        <f t="shared" si="26"/>
        <v>HUMAM CHAMBALI</v>
      </c>
      <c r="U115" t="str">
        <f t="shared" si="27"/>
        <v>TUKIRAH</v>
      </c>
      <c r="V115" t="str">
        <f>VLOOKUP(O115,Lembar1!$A$4:$H$457,8,FALSE)</f>
        <v>BIO_Images/EBTAQ25-01.235.jpeg</v>
      </c>
      <c r="W115" t="str">
        <f>IFERROR(VLOOKUP(O115,Lembar1!$A$4:$I$457,9,FALSE),C115)</f>
        <v>Demak - SD NURUL HUDA</v>
      </c>
    </row>
    <row r="116" spans="1:23" ht="15.75" hidden="1" thickBot="1" x14ac:dyDescent="0.3">
      <c r="A116" s="50">
        <v>46001.49894675926</v>
      </c>
      <c r="B116" s="53" t="s">
        <v>10</v>
      </c>
      <c r="C116" s="53" t="s">
        <v>441</v>
      </c>
      <c r="D116" s="53" t="s">
        <v>2099</v>
      </c>
      <c r="E116" s="53" t="s">
        <v>10</v>
      </c>
      <c r="F116" s="57">
        <v>42265</v>
      </c>
      <c r="G116" s="53" t="s">
        <v>2100</v>
      </c>
      <c r="H116" s="53" t="s">
        <v>2101</v>
      </c>
      <c r="I116" s="53" t="s">
        <v>66</v>
      </c>
      <c r="J116" s="60" t="s">
        <v>2102</v>
      </c>
      <c r="K116" s="53" t="s">
        <v>1383</v>
      </c>
      <c r="L116" s="78" t="s">
        <v>2103</v>
      </c>
      <c r="M116" s="32" t="s">
        <v>2104</v>
      </c>
      <c r="N116">
        <v>342</v>
      </c>
      <c r="O116" t="str">
        <f t="shared" si="21"/>
        <v>EBTAQ25-01.242</v>
      </c>
      <c r="P116" t="str">
        <f t="shared" si="22"/>
        <v>AHMAD FAQIH ZAMZAMI</v>
      </c>
      <c r="Q116" t="str">
        <f t="shared" si="23"/>
        <v>Laki-laki</v>
      </c>
      <c r="R116" t="str">
        <f t="shared" si="24"/>
        <v>Demak</v>
      </c>
      <c r="S116" s="21">
        <f t="shared" si="25"/>
        <v>42265</v>
      </c>
      <c r="T116" t="str">
        <f t="shared" si="26"/>
        <v>AHMAD ABROR</v>
      </c>
      <c r="U116" t="str">
        <f t="shared" si="27"/>
        <v>HAJAR</v>
      </c>
      <c r="V116" t="str">
        <f>VLOOKUP(O116,Lembar1!$A$4:$H$457,8,FALSE)</f>
        <v>BIO_Images/EBTAQ25-01.242.jpeg</v>
      </c>
      <c r="W116" t="str">
        <f>IFERROR(VLOOKUP(O116,Lembar1!$A$4:$I$457,9,FALSE),C116)</f>
        <v>Demak - SD NURUL HUDA</v>
      </c>
    </row>
    <row r="117" spans="1:23" ht="15.75" hidden="1" thickBot="1" x14ac:dyDescent="0.3">
      <c r="A117" s="28">
        <v>46001.502650462964</v>
      </c>
      <c r="B117" s="29" t="s">
        <v>10</v>
      </c>
      <c r="C117" s="29" t="s">
        <v>441</v>
      </c>
      <c r="D117" s="29" t="s">
        <v>2106</v>
      </c>
      <c r="E117" s="29" t="s">
        <v>2107</v>
      </c>
      <c r="F117" s="30">
        <v>41420</v>
      </c>
      <c r="G117" s="29" t="s">
        <v>2108</v>
      </c>
      <c r="H117" s="29" t="s">
        <v>2109</v>
      </c>
      <c r="I117" s="29" t="s">
        <v>66</v>
      </c>
      <c r="J117" s="31" t="s">
        <v>2110</v>
      </c>
      <c r="K117" s="29" t="s">
        <v>1383</v>
      </c>
      <c r="L117" s="77" t="s">
        <v>2111</v>
      </c>
      <c r="M117" s="32" t="s">
        <v>2112</v>
      </c>
      <c r="N117">
        <v>343</v>
      </c>
      <c r="O117" t="str">
        <f t="shared" si="21"/>
        <v>EBTAQ25-01.243</v>
      </c>
      <c r="P117" t="str">
        <f t="shared" si="22"/>
        <v>Ahmad Taufiq Rizky</v>
      </c>
      <c r="Q117" t="str">
        <f t="shared" si="23"/>
        <v>Laki-laki</v>
      </c>
      <c r="R117" t="str">
        <f t="shared" si="24"/>
        <v>Jakarta</v>
      </c>
      <c r="S117" s="21">
        <f t="shared" si="25"/>
        <v>41420</v>
      </c>
      <c r="T117" t="str">
        <f t="shared" si="26"/>
        <v>Kustriyono</v>
      </c>
      <c r="U117" t="str">
        <f t="shared" si="27"/>
        <v>Tuti Herawati</v>
      </c>
      <c r="V117" t="str">
        <f>VLOOKUP(O117,Lembar1!$A$4:$H$457,8,FALSE)</f>
        <v>BIO_Images/EBTAQ25-01.243.jpeg</v>
      </c>
      <c r="W117" t="str">
        <f>IFERROR(VLOOKUP(O117,Lembar1!$A$4:$I$457,9,FALSE),C117)</f>
        <v>Demak - SD NURUL HUDA</v>
      </c>
    </row>
    <row r="118" spans="1:23" ht="15.75" hidden="1" thickBot="1" x14ac:dyDescent="0.3">
      <c r="A118" s="33">
        <v>46001.506932870368</v>
      </c>
      <c r="B118" s="34" t="s">
        <v>10</v>
      </c>
      <c r="C118" s="34" t="s">
        <v>441</v>
      </c>
      <c r="D118" s="34" t="s">
        <v>2113</v>
      </c>
      <c r="E118" s="34" t="s">
        <v>10</v>
      </c>
      <c r="F118" s="35">
        <v>42825</v>
      </c>
      <c r="G118" s="34" t="s">
        <v>2114</v>
      </c>
      <c r="H118" s="34" t="s">
        <v>2115</v>
      </c>
      <c r="I118" s="34" t="s">
        <v>2</v>
      </c>
      <c r="J118" s="36" t="s">
        <v>2116</v>
      </c>
      <c r="K118" s="34" t="s">
        <v>1383</v>
      </c>
      <c r="L118" s="78" t="s">
        <v>2117</v>
      </c>
      <c r="M118" s="37" t="s">
        <v>2118</v>
      </c>
      <c r="N118">
        <v>344</v>
      </c>
      <c r="O118" t="str">
        <f t="shared" si="21"/>
        <v>EBTAQ25-01.244</v>
      </c>
      <c r="P118" t="str">
        <f t="shared" si="22"/>
        <v>AISYAH DZAKIYYATUL HUSNA</v>
      </c>
      <c r="Q118" t="str">
        <f t="shared" si="23"/>
        <v>Perempuan</v>
      </c>
      <c r="R118" t="str">
        <f t="shared" si="24"/>
        <v>Demak</v>
      </c>
      <c r="S118" s="21">
        <f t="shared" si="25"/>
        <v>42825</v>
      </c>
      <c r="T118" t="str">
        <f t="shared" si="26"/>
        <v>SHOFIYUL ARIF</v>
      </c>
      <c r="U118" t="str">
        <f t="shared" si="27"/>
        <v>NAILI INAYATI NOOR</v>
      </c>
      <c r="V118" t="str">
        <f>VLOOKUP(O118,Lembar1!$A$4:$H$457,8,FALSE)</f>
        <v>BIO_Images/EBTAQ25-01.244.jpeg</v>
      </c>
      <c r="W118" t="str">
        <f>IFERROR(VLOOKUP(O118,Lembar1!$A$4:$I$457,9,FALSE),C118)</f>
        <v>Demak - SD NURUL HUDA</v>
      </c>
    </row>
    <row r="119" spans="1:23" ht="15.75" hidden="1" thickBot="1" x14ac:dyDescent="0.3">
      <c r="A119" s="49">
        <v>46001.510775462964</v>
      </c>
      <c r="B119" s="52" t="s">
        <v>10</v>
      </c>
      <c r="C119" s="52" t="s">
        <v>441</v>
      </c>
      <c r="D119" s="52" t="s">
        <v>2120</v>
      </c>
      <c r="E119" s="52" t="s">
        <v>10</v>
      </c>
      <c r="F119" s="56">
        <v>41939</v>
      </c>
      <c r="G119" s="52" t="s">
        <v>2121</v>
      </c>
      <c r="H119" s="52" t="s">
        <v>2122</v>
      </c>
      <c r="I119" s="52" t="s">
        <v>2</v>
      </c>
      <c r="J119" s="59" t="s">
        <v>2123</v>
      </c>
      <c r="K119" s="52" t="s">
        <v>1383</v>
      </c>
      <c r="L119" s="77" t="s">
        <v>2124</v>
      </c>
      <c r="M119" s="37" t="s">
        <v>2125</v>
      </c>
      <c r="N119">
        <v>345</v>
      </c>
      <c r="O119" t="str">
        <f t="shared" si="21"/>
        <v>EBTAQ25-01.245</v>
      </c>
      <c r="P119" t="str">
        <f t="shared" si="22"/>
        <v>AKIFA KHAIRA FAIHA</v>
      </c>
      <c r="Q119" t="str">
        <f t="shared" si="23"/>
        <v>Perempuan</v>
      </c>
      <c r="R119" t="str">
        <f t="shared" si="24"/>
        <v>Demak</v>
      </c>
      <c r="S119" s="21">
        <f t="shared" si="25"/>
        <v>41939</v>
      </c>
      <c r="T119" t="str">
        <f t="shared" si="26"/>
        <v>BUDIANTO</v>
      </c>
      <c r="U119" t="str">
        <f t="shared" si="27"/>
        <v>YULI ERNAWATI</v>
      </c>
      <c r="V119" t="str">
        <f>VLOOKUP(O119,Lembar1!$A$4:$H$457,8,FALSE)</f>
        <v>BIO_Images/EBTAQ25-01.245.jpeg</v>
      </c>
      <c r="W119" t="str">
        <f>IFERROR(VLOOKUP(O119,Lembar1!$A$4:$I$457,9,FALSE),C119)</f>
        <v>Demak - SD NURUL HUDA</v>
      </c>
    </row>
    <row r="120" spans="1:23" ht="15.75" hidden="1" thickBot="1" x14ac:dyDescent="0.3">
      <c r="A120" s="33">
        <v>46001.513831018521</v>
      </c>
      <c r="B120" s="34" t="s">
        <v>10</v>
      </c>
      <c r="C120" s="34" t="s">
        <v>441</v>
      </c>
      <c r="D120" s="34" t="s">
        <v>2131</v>
      </c>
      <c r="E120" s="34" t="s">
        <v>2132</v>
      </c>
      <c r="F120" s="35">
        <v>42567</v>
      </c>
      <c r="G120" s="34" t="s">
        <v>2133</v>
      </c>
      <c r="H120" s="34" t="s">
        <v>2134</v>
      </c>
      <c r="I120" s="34" t="s">
        <v>2</v>
      </c>
      <c r="J120" s="36" t="s">
        <v>2135</v>
      </c>
      <c r="K120" s="34" t="s">
        <v>1383</v>
      </c>
      <c r="L120" s="78" t="s">
        <v>2136</v>
      </c>
      <c r="M120" s="37" t="s">
        <v>2137</v>
      </c>
      <c r="N120">
        <v>346</v>
      </c>
      <c r="O120" t="str">
        <f t="shared" si="21"/>
        <v>EBTAQ25-01.247</v>
      </c>
      <c r="P120" t="str">
        <f t="shared" si="22"/>
        <v>AKIFA NAILA PUTRI</v>
      </c>
      <c r="Q120" t="str">
        <f t="shared" si="23"/>
        <v>Perempuan</v>
      </c>
      <c r="R120" t="str">
        <f t="shared" si="24"/>
        <v>Jepara</v>
      </c>
      <c r="S120" s="21">
        <f t="shared" si="25"/>
        <v>42567</v>
      </c>
      <c r="T120" t="str">
        <f t="shared" si="26"/>
        <v>MOCH SOBIRIN</v>
      </c>
      <c r="U120" t="str">
        <f t="shared" si="27"/>
        <v>DEWI WULANSARI</v>
      </c>
      <c r="V120" t="str">
        <f>VLOOKUP(O120,Lembar1!$A$4:$H$457,8,FALSE)</f>
        <v>BIO_Images/EBTAQ25-01.247.jpeg</v>
      </c>
      <c r="W120" t="str">
        <f>IFERROR(VLOOKUP(O120,Lembar1!$A$4:$I$457,9,FALSE),C120)</f>
        <v>Demak - SD NURUL HUDA</v>
      </c>
    </row>
    <row r="121" spans="1:23" ht="15.75" hidden="1" thickBot="1" x14ac:dyDescent="0.3">
      <c r="A121" s="28">
        <v>46001.516516203701</v>
      </c>
      <c r="B121" s="29" t="s">
        <v>10</v>
      </c>
      <c r="C121" s="29" t="s">
        <v>441</v>
      </c>
      <c r="D121" s="29" t="s">
        <v>2138</v>
      </c>
      <c r="E121" s="29" t="s">
        <v>10</v>
      </c>
      <c r="F121" s="30">
        <v>41954</v>
      </c>
      <c r="G121" s="29" t="s">
        <v>2139</v>
      </c>
      <c r="H121" s="29" t="s">
        <v>2140</v>
      </c>
      <c r="I121" s="29" t="s">
        <v>2</v>
      </c>
      <c r="J121" s="31" t="s">
        <v>2141</v>
      </c>
      <c r="K121" s="29" t="s">
        <v>1383</v>
      </c>
      <c r="L121" s="77" t="s">
        <v>2142</v>
      </c>
      <c r="M121" s="32" t="s">
        <v>2143</v>
      </c>
      <c r="N121">
        <v>347</v>
      </c>
      <c r="O121" t="str">
        <f t="shared" si="21"/>
        <v>EBTAQ25-01.248</v>
      </c>
      <c r="P121" t="str">
        <f t="shared" si="22"/>
        <v>ALFAINA ROSYAIDA RAHMAN</v>
      </c>
      <c r="Q121" t="str">
        <f t="shared" si="23"/>
        <v>Perempuan</v>
      </c>
      <c r="R121" t="str">
        <f t="shared" si="24"/>
        <v>Demak</v>
      </c>
      <c r="S121" s="21">
        <f t="shared" si="25"/>
        <v>41954</v>
      </c>
      <c r="T121" t="str">
        <f t="shared" si="26"/>
        <v>MUHAMAD NUROHMAN</v>
      </c>
      <c r="U121" t="str">
        <f t="shared" si="27"/>
        <v>ALFAYA SAYYIDAH</v>
      </c>
      <c r="V121" t="str">
        <f>VLOOKUP(O121,Lembar1!$A$4:$H$457,8,FALSE)</f>
        <v>BIO_Images/EBTAQ25-01.248.jpeg</v>
      </c>
      <c r="W121" t="str">
        <f>IFERROR(VLOOKUP(O121,Lembar1!$A$4:$I$457,9,FALSE),C121)</f>
        <v>Demak - SD NURUL HUDA</v>
      </c>
    </row>
    <row r="122" spans="1:23" ht="15.75" hidden="1" thickBot="1" x14ac:dyDescent="0.3">
      <c r="A122" s="50">
        <v>46001.735162037039</v>
      </c>
      <c r="B122" s="53" t="s">
        <v>10</v>
      </c>
      <c r="C122" s="53" t="s">
        <v>441</v>
      </c>
      <c r="D122" s="53" t="s">
        <v>2727</v>
      </c>
      <c r="E122" s="53" t="s">
        <v>59</v>
      </c>
      <c r="F122" s="57">
        <v>42742</v>
      </c>
      <c r="G122" s="53" t="s">
        <v>2728</v>
      </c>
      <c r="H122" s="53" t="s">
        <v>2729</v>
      </c>
      <c r="I122" s="53" t="s">
        <v>2</v>
      </c>
      <c r="J122" s="60" t="s">
        <v>2730</v>
      </c>
      <c r="K122" s="53" t="s">
        <v>1383</v>
      </c>
      <c r="L122" s="78" t="s">
        <v>2731</v>
      </c>
      <c r="M122" s="32" t="s">
        <v>2732</v>
      </c>
      <c r="N122">
        <v>348</v>
      </c>
      <c r="O122" t="str">
        <f t="shared" si="21"/>
        <v>EBTAQ25-01.304</v>
      </c>
      <c r="P122" t="str">
        <f t="shared" si="22"/>
        <v>ALINKA PUTRI FIRMANSYAH</v>
      </c>
      <c r="Q122" t="str">
        <f t="shared" si="23"/>
        <v>Perempuan</v>
      </c>
      <c r="R122" t="str">
        <f t="shared" si="24"/>
        <v>Semarang</v>
      </c>
      <c r="S122" s="21">
        <f t="shared" si="25"/>
        <v>42742</v>
      </c>
      <c r="T122" t="str">
        <f t="shared" si="26"/>
        <v>FIRMAN WISNU BRATA</v>
      </c>
      <c r="U122" t="str">
        <f t="shared" si="27"/>
        <v>DEWI ARIYANTI</v>
      </c>
      <c r="V122" t="str">
        <f>VLOOKUP(O122,Lembar1!$A$4:$H$457,8,FALSE)</f>
        <v>BIO_Images/EBTAQ25-01.304.jpeg</v>
      </c>
      <c r="W122" t="str">
        <f>IFERROR(VLOOKUP(O122,Lembar1!$A$4:$I$457,9,FALSE),C122)</f>
        <v>Demak - SD NURUL HUDA</v>
      </c>
    </row>
    <row r="123" spans="1:23" ht="15.75" hidden="1" thickBot="1" x14ac:dyDescent="0.3">
      <c r="A123" s="49">
        <v>46001.737627314818</v>
      </c>
      <c r="B123" s="52" t="s">
        <v>10</v>
      </c>
      <c r="C123" s="52" t="s">
        <v>441</v>
      </c>
      <c r="D123" s="52" t="s">
        <v>2746</v>
      </c>
      <c r="E123" s="52" t="s">
        <v>10</v>
      </c>
      <c r="F123" s="56">
        <v>42556</v>
      </c>
      <c r="G123" s="52" t="s">
        <v>2747</v>
      </c>
      <c r="H123" s="52" t="s">
        <v>2748</v>
      </c>
      <c r="I123" s="52" t="s">
        <v>66</v>
      </c>
      <c r="J123" s="59" t="s">
        <v>2749</v>
      </c>
      <c r="K123" s="52" t="s">
        <v>1383</v>
      </c>
      <c r="L123" s="77" t="s">
        <v>2750</v>
      </c>
      <c r="M123" s="37" t="s">
        <v>2751</v>
      </c>
      <c r="N123">
        <v>349</v>
      </c>
      <c r="O123" t="str">
        <f t="shared" si="21"/>
        <v>EBTAQ25-01.306</v>
      </c>
      <c r="P123" t="str">
        <f t="shared" si="22"/>
        <v>ALTHAF IZZUL HANIF</v>
      </c>
      <c r="Q123" t="str">
        <f t="shared" si="23"/>
        <v>Laki-laki</v>
      </c>
      <c r="R123" t="str">
        <f t="shared" si="24"/>
        <v>Demak</v>
      </c>
      <c r="S123" s="21">
        <f t="shared" si="25"/>
        <v>42556</v>
      </c>
      <c r="T123" t="str">
        <f t="shared" si="26"/>
        <v>MIFTAHUL AMAR</v>
      </c>
      <c r="U123" t="str">
        <f t="shared" si="27"/>
        <v>RANI SULISTYA WATI</v>
      </c>
      <c r="V123" t="str">
        <f>VLOOKUP(O123,Lembar1!$A$4:$H$457,8,FALSE)</f>
        <v>BIO_Images/EBTAQ25-01.306.jpeg</v>
      </c>
      <c r="W123" t="str">
        <f>IFERROR(VLOOKUP(O123,Lembar1!$A$4:$I$457,9,FALSE),C123)</f>
        <v>Demak - SD NURUL HUDA</v>
      </c>
    </row>
    <row r="124" spans="1:23" ht="15.75" hidden="1" thickBot="1" x14ac:dyDescent="0.3">
      <c r="A124" s="33">
        <v>46001.740555555552</v>
      </c>
      <c r="B124" s="34" t="s">
        <v>10</v>
      </c>
      <c r="C124" s="34" t="s">
        <v>441</v>
      </c>
      <c r="D124" s="34" t="s">
        <v>2762</v>
      </c>
      <c r="E124" s="34" t="s">
        <v>10</v>
      </c>
      <c r="F124" s="35">
        <v>42931</v>
      </c>
      <c r="G124" s="34" t="s">
        <v>2763</v>
      </c>
      <c r="H124" s="34" t="s">
        <v>2764</v>
      </c>
      <c r="I124" s="34" t="s">
        <v>2</v>
      </c>
      <c r="J124" s="36" t="s">
        <v>2765</v>
      </c>
      <c r="K124" s="34" t="s">
        <v>1383</v>
      </c>
      <c r="L124" s="78" t="s">
        <v>2766</v>
      </c>
      <c r="M124" s="37" t="s">
        <v>2767</v>
      </c>
      <c r="N124">
        <v>350</v>
      </c>
      <c r="O124" t="str">
        <f t="shared" si="21"/>
        <v>EBTAQ25-01.308</v>
      </c>
      <c r="P124" t="str">
        <f t="shared" si="22"/>
        <v>AQILLA AZZAHRA ALFATHUNISSA</v>
      </c>
      <c r="Q124" t="str">
        <f t="shared" si="23"/>
        <v>Perempuan</v>
      </c>
      <c r="R124" t="str">
        <f t="shared" si="24"/>
        <v>Demak</v>
      </c>
      <c r="S124" s="21">
        <f t="shared" si="25"/>
        <v>42931</v>
      </c>
      <c r="T124" t="str">
        <f t="shared" si="26"/>
        <v>MUHAMAD SUTOMO</v>
      </c>
      <c r="U124" t="str">
        <f t="shared" si="27"/>
        <v>SRI LESTARI NINGSIH</v>
      </c>
      <c r="V124" t="str">
        <f>VLOOKUP(O124,Lembar1!$A$4:$H$457,8,FALSE)</f>
        <v>BIO_Images/EBTAQ25-01.308.jpeg</v>
      </c>
      <c r="W124" t="str">
        <f>IFERROR(VLOOKUP(O124,Lembar1!$A$4:$I$457,9,FALSE),C124)</f>
        <v>Demak - SD NURUL HUDA</v>
      </c>
    </row>
    <row r="125" spans="1:23" ht="15.75" hidden="1" thickBot="1" x14ac:dyDescent="0.3">
      <c r="A125" s="28">
        <v>46001.74322916667</v>
      </c>
      <c r="B125" s="29" t="s">
        <v>10</v>
      </c>
      <c r="C125" s="29" t="s">
        <v>441</v>
      </c>
      <c r="D125" s="29" t="s">
        <v>2768</v>
      </c>
      <c r="E125" s="29" t="s">
        <v>10</v>
      </c>
      <c r="F125" s="30">
        <v>42256</v>
      </c>
      <c r="G125" s="29" t="s">
        <v>2769</v>
      </c>
      <c r="H125" s="29" t="s">
        <v>2770</v>
      </c>
      <c r="I125" s="29" t="s">
        <v>2</v>
      </c>
      <c r="J125" s="31" t="s">
        <v>2771</v>
      </c>
      <c r="K125" s="29" t="s">
        <v>1383</v>
      </c>
      <c r="L125" s="77" t="s">
        <v>2772</v>
      </c>
      <c r="M125" s="32" t="s">
        <v>2773</v>
      </c>
      <c r="N125">
        <v>351</v>
      </c>
      <c r="O125" t="str">
        <f t="shared" si="21"/>
        <v>EBTAQ25-01.309</v>
      </c>
      <c r="P125" t="str">
        <f t="shared" si="22"/>
        <v>AZRA FATHIN DHIYA</v>
      </c>
      <c r="Q125" t="str">
        <f t="shared" si="23"/>
        <v>Perempuan</v>
      </c>
      <c r="R125" t="str">
        <f t="shared" si="24"/>
        <v>Demak</v>
      </c>
      <c r="S125" s="21">
        <f t="shared" si="25"/>
        <v>42256</v>
      </c>
      <c r="T125" t="str">
        <f t="shared" si="26"/>
        <v>EKO AGUNG SUJATMIKO</v>
      </c>
      <c r="U125" t="str">
        <f t="shared" si="27"/>
        <v>YUNIARTI</v>
      </c>
      <c r="V125" t="str">
        <f>VLOOKUP(O125,Lembar1!$A$4:$H$457,8,FALSE)</f>
        <v>BIO_Images/EBTAQ25-01.309.jpeg</v>
      </c>
      <c r="W125" t="str">
        <f>IFERROR(VLOOKUP(O125,Lembar1!$A$4:$I$457,9,FALSE),C125)</f>
        <v>Demak - SD NURUL HUDA</v>
      </c>
    </row>
    <row r="126" spans="1:23" ht="15.75" hidden="1" thickBot="1" x14ac:dyDescent="0.3">
      <c r="A126" s="50">
        <v>46001.48033564815</v>
      </c>
      <c r="B126" s="53" t="s">
        <v>10</v>
      </c>
      <c r="C126" s="83" t="s">
        <v>2073</v>
      </c>
      <c r="D126" s="53" t="s">
        <v>2036</v>
      </c>
      <c r="E126" s="53" t="s">
        <v>10</v>
      </c>
      <c r="F126" s="57">
        <v>46017</v>
      </c>
      <c r="G126" s="53" t="s">
        <v>1964</v>
      </c>
      <c r="H126" s="53" t="s">
        <v>1965</v>
      </c>
      <c r="I126" s="53" t="s">
        <v>2</v>
      </c>
      <c r="J126" s="60" t="s">
        <v>2074</v>
      </c>
      <c r="K126" s="53" t="s">
        <v>1967</v>
      </c>
      <c r="L126" s="78" t="s">
        <v>2075</v>
      </c>
      <c r="M126" s="32" t="s">
        <v>2076</v>
      </c>
      <c r="N126">
        <v>352</v>
      </c>
      <c r="O126" t="str">
        <f t="shared" si="21"/>
        <v>EBTAQ25-01.239</v>
      </c>
      <c r="P126" t="str">
        <f t="shared" si="22"/>
        <v>Novia Rahayu Mustovia</v>
      </c>
      <c r="Q126" t="str">
        <f t="shared" si="23"/>
        <v>Perempuan</v>
      </c>
      <c r="R126" t="str">
        <f t="shared" si="24"/>
        <v>Demak</v>
      </c>
      <c r="S126" s="21">
        <f t="shared" si="25"/>
        <v>46017</v>
      </c>
      <c r="T126" t="str">
        <f t="shared" si="26"/>
        <v>Agus Okto pramono</v>
      </c>
      <c r="U126" t="str">
        <f t="shared" si="27"/>
        <v>Musripah</v>
      </c>
      <c r="V126" t="str">
        <f>VLOOKUP(O126,Lembar1!$A$4:$H$457,8,FALSE)</f>
        <v>BIO_Images/EBTAQ25-01.239.jpg</v>
      </c>
      <c r="W126" t="str">
        <f>IFERROR(VLOOKUP(O126,Lembar1!$A$4:$I$457,9,FALSE),C126)</f>
        <v>Demak - TK QIROATI, Karangga - Al Hikmah</v>
      </c>
    </row>
    <row r="127" spans="1:23" ht="15.75" hidden="1" thickBot="1" x14ac:dyDescent="0.3">
      <c r="A127" s="49">
        <v>46000.688819444447</v>
      </c>
      <c r="B127" s="52" t="s">
        <v>10</v>
      </c>
      <c r="C127" s="52" t="s">
        <v>699</v>
      </c>
      <c r="D127" s="52" t="s">
        <v>694</v>
      </c>
      <c r="E127" s="52" t="s">
        <v>695</v>
      </c>
      <c r="F127" s="56">
        <v>41905</v>
      </c>
      <c r="G127" s="52" t="s">
        <v>696</v>
      </c>
      <c r="H127" s="52" t="s">
        <v>697</v>
      </c>
      <c r="I127" s="52" t="s">
        <v>2</v>
      </c>
      <c r="J127" s="59" t="s">
        <v>1644</v>
      </c>
      <c r="K127" s="52" t="s">
        <v>1645</v>
      </c>
      <c r="L127" s="77" t="s">
        <v>693</v>
      </c>
      <c r="M127" s="37" t="s">
        <v>1646</v>
      </c>
      <c r="N127">
        <v>353</v>
      </c>
      <c r="O127" t="str">
        <f t="shared" si="21"/>
        <v>EBTAQ25-01.194</v>
      </c>
      <c r="P127" t="str">
        <f t="shared" si="22"/>
        <v>Tiara salsabila putri</v>
      </c>
      <c r="Q127" t="str">
        <f t="shared" si="23"/>
        <v>Perempuan</v>
      </c>
      <c r="R127" t="str">
        <f t="shared" si="24"/>
        <v>Cangkring rembang</v>
      </c>
      <c r="S127" s="21">
        <f t="shared" si="25"/>
        <v>41905</v>
      </c>
      <c r="T127" t="str">
        <f t="shared" si="26"/>
        <v>Ahmad fatkur rozi</v>
      </c>
      <c r="U127" t="str">
        <f t="shared" si="27"/>
        <v>Mufidah</v>
      </c>
      <c r="V127" t="str">
        <f>VLOOKUP(O127,Lembar1!$A$4:$H$457,8,FALSE)</f>
        <v>BIO_Images/EBTAQ25-01.194.jpg</v>
      </c>
      <c r="W127" t="str">
        <f>IFERROR(VLOOKUP(O127,Lembar1!$A$4:$I$457,9,FALSE),C127)</f>
        <v>Demak - TPQ al Furqon</v>
      </c>
    </row>
    <row r="128" spans="1:23" ht="15.75" hidden="1" thickBot="1" x14ac:dyDescent="0.3">
      <c r="A128" s="33">
        <v>46000.797337962962</v>
      </c>
      <c r="B128" s="34" t="s">
        <v>10</v>
      </c>
      <c r="C128" s="34" t="s">
        <v>699</v>
      </c>
      <c r="D128" s="34" t="s">
        <v>809</v>
      </c>
      <c r="E128" s="34" t="s">
        <v>10</v>
      </c>
      <c r="F128" s="35">
        <v>41632</v>
      </c>
      <c r="G128" s="34" t="s">
        <v>810</v>
      </c>
      <c r="H128" s="34" t="s">
        <v>811</v>
      </c>
      <c r="I128" s="34" t="s">
        <v>2</v>
      </c>
      <c r="J128" s="36" t="s">
        <v>1853</v>
      </c>
      <c r="K128" s="34" t="s">
        <v>1854</v>
      </c>
      <c r="L128" s="78" t="s">
        <v>808</v>
      </c>
      <c r="M128" s="37" t="s">
        <v>1855</v>
      </c>
      <c r="N128">
        <v>354</v>
      </c>
      <c r="O128" t="str">
        <f t="shared" si="21"/>
        <v>EBTAQ25-01.206</v>
      </c>
      <c r="P128" t="str">
        <f t="shared" si="22"/>
        <v>Assyifa Mufidatur Rochmah</v>
      </c>
      <c r="Q128" t="str">
        <f t="shared" si="23"/>
        <v>Perempuan</v>
      </c>
      <c r="R128" t="str">
        <f t="shared" si="24"/>
        <v>Demak</v>
      </c>
      <c r="S128" s="21">
        <f t="shared" si="25"/>
        <v>41632</v>
      </c>
      <c r="T128" t="str">
        <f t="shared" si="26"/>
        <v>Rochmadi</v>
      </c>
      <c r="U128" t="str">
        <f t="shared" si="27"/>
        <v>Isnawiyah</v>
      </c>
      <c r="V128" t="str">
        <f>VLOOKUP(O128,Lembar1!$A$4:$H$457,8,FALSE)</f>
        <v>BIO_Images/EBTAQ25-01.206.jpg</v>
      </c>
      <c r="W128" t="str">
        <f>IFERROR(VLOOKUP(O128,Lembar1!$A$4:$I$457,9,FALSE),C128)</f>
        <v>Demak - TPQ al Furqon</v>
      </c>
    </row>
    <row r="129" spans="1:23" ht="15.75" hidden="1" thickBot="1" x14ac:dyDescent="0.3">
      <c r="A129" s="28">
        <v>46000.802824074075</v>
      </c>
      <c r="B129" s="29" t="s">
        <v>10</v>
      </c>
      <c r="C129" s="29" t="s">
        <v>699</v>
      </c>
      <c r="D129" s="29" t="s">
        <v>814</v>
      </c>
      <c r="E129" s="29" t="s">
        <v>815</v>
      </c>
      <c r="F129" s="30">
        <v>42005</v>
      </c>
      <c r="G129" s="29" t="s">
        <v>816</v>
      </c>
      <c r="H129" s="29" t="s">
        <v>817</v>
      </c>
      <c r="I129" s="29" t="s">
        <v>2</v>
      </c>
      <c r="J129" s="31" t="s">
        <v>1866</v>
      </c>
      <c r="K129" s="29" t="s">
        <v>1867</v>
      </c>
      <c r="L129" s="77" t="s">
        <v>813</v>
      </c>
      <c r="M129" s="32" t="s">
        <v>1868</v>
      </c>
      <c r="N129">
        <v>355</v>
      </c>
      <c r="O129" t="str">
        <f t="shared" si="21"/>
        <v>EBTAQ25-01.207</v>
      </c>
      <c r="P129" t="str">
        <f t="shared" si="22"/>
        <v>Izza lailatul muna</v>
      </c>
      <c r="Q129" t="str">
        <f t="shared" si="23"/>
        <v>Perempuan</v>
      </c>
      <c r="R129" t="str">
        <f t="shared" si="24"/>
        <v>Cangring rembang,DEMAK</v>
      </c>
      <c r="S129" s="21">
        <f t="shared" si="25"/>
        <v>42005</v>
      </c>
      <c r="T129" t="str">
        <f t="shared" si="26"/>
        <v>Masturin</v>
      </c>
      <c r="U129" t="str">
        <f t="shared" si="27"/>
        <v>tri lasmiatun</v>
      </c>
      <c r="V129" t="str">
        <f>VLOOKUP(O129,Lembar1!$A$4:$H$457,8,FALSE)</f>
        <v>BIO_Images/EBTAQ25-01.207.jpg</v>
      </c>
      <c r="W129" t="str">
        <f>IFERROR(VLOOKUP(O129,Lembar1!$A$4:$I$457,9,FALSE),C129)</f>
        <v>Demak - TPQ al Furqon</v>
      </c>
    </row>
    <row r="130" spans="1:23" ht="15.75" hidden="1" thickBot="1" x14ac:dyDescent="0.3">
      <c r="A130" s="33">
        <v>46001.23033564815</v>
      </c>
      <c r="B130" s="34" t="s">
        <v>10</v>
      </c>
      <c r="C130" s="34" t="s">
        <v>699</v>
      </c>
      <c r="D130" s="34" t="s">
        <v>881</v>
      </c>
      <c r="E130" s="34" t="s">
        <v>10</v>
      </c>
      <c r="F130" s="35">
        <v>42066</v>
      </c>
      <c r="G130" s="34" t="s">
        <v>882</v>
      </c>
      <c r="H130" s="34" t="s">
        <v>883</v>
      </c>
      <c r="I130" s="34" t="s">
        <v>2</v>
      </c>
      <c r="J130" s="36" t="s">
        <v>1968</v>
      </c>
      <c r="K130" s="34" t="s">
        <v>1969</v>
      </c>
      <c r="L130" s="78" t="s">
        <v>880</v>
      </c>
      <c r="M130" s="37" t="s">
        <v>1970</v>
      </c>
      <c r="N130">
        <v>356</v>
      </c>
      <c r="O130" t="str">
        <f t="shared" si="21"/>
        <v>EBTAQ25-01.220</v>
      </c>
      <c r="P130" t="str">
        <f t="shared" si="22"/>
        <v>Ardian rizqina fajri</v>
      </c>
      <c r="Q130" t="str">
        <f t="shared" si="23"/>
        <v>Perempuan</v>
      </c>
      <c r="R130" t="str">
        <f t="shared" si="24"/>
        <v>Demak</v>
      </c>
      <c r="S130" s="21">
        <f t="shared" si="25"/>
        <v>42066</v>
      </c>
      <c r="T130" t="str">
        <f t="shared" si="26"/>
        <v>Ardi kusmiran</v>
      </c>
      <c r="U130" t="str">
        <f t="shared" si="27"/>
        <v>Laela cholisna</v>
      </c>
      <c r="V130" t="str">
        <f>VLOOKUP(O130,Lembar1!$A$4:$H$457,8,FALSE)</f>
        <v>BIO_Images/EBTAQ25-01.220.jpg</v>
      </c>
      <c r="W130" t="str">
        <f>IFERROR(VLOOKUP(O130,Lembar1!$A$4:$I$457,9,FALSE),C130)</f>
        <v>Demak - TPQ al Furqon</v>
      </c>
    </row>
    <row r="131" spans="1:23" ht="15.75" hidden="1" thickBot="1" x14ac:dyDescent="0.3">
      <c r="A131" s="49">
        <v>46000.466643518521</v>
      </c>
      <c r="B131" s="52" t="s">
        <v>10</v>
      </c>
      <c r="C131" s="52" t="s">
        <v>567</v>
      </c>
      <c r="D131" s="52" t="s">
        <v>563</v>
      </c>
      <c r="E131" s="52" t="s">
        <v>10</v>
      </c>
      <c r="F131" s="56">
        <v>42621</v>
      </c>
      <c r="G131" s="52" t="s">
        <v>564</v>
      </c>
      <c r="H131" s="52" t="s">
        <v>565</v>
      </c>
      <c r="I131" s="52" t="s">
        <v>2</v>
      </c>
      <c r="J131" s="59" t="s">
        <v>1507</v>
      </c>
      <c r="K131" s="52" t="s">
        <v>1508</v>
      </c>
      <c r="L131" s="77" t="s">
        <v>562</v>
      </c>
      <c r="M131" s="37" t="s">
        <v>1509</v>
      </c>
      <c r="N131">
        <v>357</v>
      </c>
      <c r="O131" t="str">
        <f t="shared" si="21"/>
        <v>EBTAQ25-01.185</v>
      </c>
      <c r="P131" t="str">
        <f t="shared" si="22"/>
        <v>Aqila Misha Shafana</v>
      </c>
      <c r="Q131" t="str">
        <f t="shared" si="23"/>
        <v>Perempuan</v>
      </c>
      <c r="R131" t="str">
        <f t="shared" si="24"/>
        <v>Demak</v>
      </c>
      <c r="S131" s="21">
        <f t="shared" si="25"/>
        <v>42621</v>
      </c>
      <c r="T131" t="str">
        <f t="shared" si="26"/>
        <v>Slamet Rochim</v>
      </c>
      <c r="U131" t="str">
        <f t="shared" si="27"/>
        <v>Siti Rodhiyah</v>
      </c>
      <c r="V131" t="str">
        <f>VLOOKUP(O131,Lembar1!$A$4:$H$457,8,FALSE)</f>
        <v>BIO_Images/EBTAQ25-01.185.png</v>
      </c>
      <c r="W131" t="str">
        <f>IFERROR(VLOOKUP(O131,Lembar1!$A$4:$I$457,9,FALSE),C131)</f>
        <v>Demak - TPQ AL IMAN (KALIKONDANG)</v>
      </c>
    </row>
    <row r="132" spans="1:23" ht="15.75" hidden="1" thickBot="1" x14ac:dyDescent="0.3">
      <c r="A132" s="50">
        <v>46000.479803240742</v>
      </c>
      <c r="B132" s="53" t="s">
        <v>10</v>
      </c>
      <c r="C132" s="53" t="s">
        <v>567</v>
      </c>
      <c r="D132" s="53" t="s">
        <v>569</v>
      </c>
      <c r="E132" s="53" t="s">
        <v>10</v>
      </c>
      <c r="F132" s="57">
        <v>42412</v>
      </c>
      <c r="G132" s="53" t="s">
        <v>570</v>
      </c>
      <c r="H132" s="53" t="s">
        <v>571</v>
      </c>
      <c r="I132" s="53" t="s">
        <v>2</v>
      </c>
      <c r="J132" s="60" t="s">
        <v>1510</v>
      </c>
      <c r="K132" s="53" t="s">
        <v>1511</v>
      </c>
      <c r="L132" s="78" t="s">
        <v>568</v>
      </c>
      <c r="M132" s="32" t="s">
        <v>1512</v>
      </c>
      <c r="N132">
        <v>358</v>
      </c>
      <c r="O132" t="str">
        <f t="shared" si="21"/>
        <v>EBTAQ25-01.186</v>
      </c>
      <c r="P132" t="str">
        <f t="shared" si="22"/>
        <v>Talitha Meisya Ardiningrum</v>
      </c>
      <c r="Q132" t="str">
        <f t="shared" si="23"/>
        <v>Perempuan</v>
      </c>
      <c r="R132" t="str">
        <f t="shared" si="24"/>
        <v>Demak</v>
      </c>
      <c r="S132" s="21">
        <f t="shared" si="25"/>
        <v>42412</v>
      </c>
      <c r="T132" t="str">
        <f t="shared" si="26"/>
        <v>Eko Nugroho Apriyanto</v>
      </c>
      <c r="U132" t="str">
        <f t="shared" si="27"/>
        <v>Dewi Puspito Sari</v>
      </c>
      <c r="V132" t="str">
        <f>VLOOKUP(O132,Lembar1!$A$4:$H$457,8,FALSE)</f>
        <v>BIO_Images/EBTAQ25-01.186.jpg</v>
      </c>
      <c r="W132" t="str">
        <f>IFERROR(VLOOKUP(O132,Lembar1!$A$4:$I$457,9,FALSE),C132)</f>
        <v>Demak - TPQ AL IMAN (KALIKONDANG)</v>
      </c>
    </row>
    <row r="133" spans="1:23" ht="15.75" hidden="1" thickBot="1" x14ac:dyDescent="0.3">
      <c r="A133" s="28">
        <v>46000.482233796298</v>
      </c>
      <c r="B133" s="29" t="s">
        <v>10</v>
      </c>
      <c r="C133" s="29" t="s">
        <v>567</v>
      </c>
      <c r="D133" s="29" t="s">
        <v>574</v>
      </c>
      <c r="E133" s="29" t="s">
        <v>10</v>
      </c>
      <c r="F133" s="30">
        <v>42543</v>
      </c>
      <c r="G133" s="29" t="s">
        <v>575</v>
      </c>
      <c r="H133" s="29" t="s">
        <v>576</v>
      </c>
      <c r="I133" s="29" t="s">
        <v>2</v>
      </c>
      <c r="J133" s="31" t="s">
        <v>1515</v>
      </c>
      <c r="K133" s="29" t="s">
        <v>1516</v>
      </c>
      <c r="L133" s="77" t="s">
        <v>573</v>
      </c>
      <c r="M133" s="32" t="s">
        <v>1517</v>
      </c>
      <c r="N133">
        <v>359</v>
      </c>
      <c r="O133" t="str">
        <f t="shared" si="21"/>
        <v>EBTAQ25-01.188</v>
      </c>
      <c r="P133" t="str">
        <f t="shared" si="22"/>
        <v>Ayunindya Rahmatin Azzahra</v>
      </c>
      <c r="Q133" t="str">
        <f t="shared" si="23"/>
        <v>Perempuan</v>
      </c>
      <c r="R133" t="str">
        <f t="shared" si="24"/>
        <v>Demak</v>
      </c>
      <c r="S133" s="21">
        <f t="shared" si="25"/>
        <v>42543</v>
      </c>
      <c r="T133" t="str">
        <f t="shared" si="26"/>
        <v>Khoirul Miftah</v>
      </c>
      <c r="U133" t="str">
        <f t="shared" si="27"/>
        <v>Rikha Desy Ristiyani</v>
      </c>
      <c r="V133" t="str">
        <f>VLOOKUP(O133,Lembar1!$A$4:$H$457,8,FALSE)</f>
        <v>BIO_Images/EBTAQ25-01.188.jpg</v>
      </c>
      <c r="W133" t="str">
        <f>IFERROR(VLOOKUP(O133,Lembar1!$A$4:$I$457,9,FALSE),C133)</f>
        <v>Demak - TPQ AL IMAN (KALIKONDANG)</v>
      </c>
    </row>
    <row r="134" spans="1:23" ht="15.75" thickBot="1" x14ac:dyDescent="0.3">
      <c r="A134" s="67">
        <v>45999.433692129627</v>
      </c>
      <c r="B134" s="68" t="s">
        <v>998</v>
      </c>
      <c r="C134" s="68" t="s">
        <v>1253</v>
      </c>
      <c r="D134" s="68" t="s">
        <v>1254</v>
      </c>
      <c r="E134" s="68" t="s">
        <v>1255</v>
      </c>
      <c r="F134" s="69">
        <v>40671</v>
      </c>
      <c r="G134" s="68" t="s">
        <v>1256</v>
      </c>
      <c r="H134" s="68" t="s">
        <v>1257</v>
      </c>
      <c r="I134" s="68" t="s">
        <v>2</v>
      </c>
      <c r="J134" s="70" t="s">
        <v>1258</v>
      </c>
      <c r="K134" s="68" t="s">
        <v>1259</v>
      </c>
      <c r="L134" s="79" t="s">
        <v>3137</v>
      </c>
      <c r="M134" s="71"/>
      <c r="N134">
        <v>650</v>
      </c>
      <c r="O134" t="str">
        <f t="shared" si="21"/>
        <v>EBTAQ25-05.029</v>
      </c>
      <c r="P134" t="str">
        <f t="shared" si="22"/>
        <v>AELUL NAJLA</v>
      </c>
      <c r="Q134" t="str">
        <f t="shared" si="23"/>
        <v>Perempuan</v>
      </c>
      <c r="R134" t="str">
        <f t="shared" si="24"/>
        <v>GROBOGAN</v>
      </c>
      <c r="S134" s="21">
        <f t="shared" si="25"/>
        <v>40671</v>
      </c>
      <c r="T134" t="str">
        <f t="shared" si="26"/>
        <v>MAT RIFA'I</v>
      </c>
      <c r="U134" t="str">
        <f t="shared" si="27"/>
        <v>SITI AMINI</v>
      </c>
      <c r="V134" t="e">
        <f>VLOOKUP(O134,Lembar1!$A$4:$H$457,8,FALSE)</f>
        <v>#N/A</v>
      </c>
      <c r="W134" t="str">
        <f>IFERROR(VLOOKUP(O134,Lembar1!$A$4:$I$457,9,FALSE),C134)</f>
        <v>Karbon - TPQ Asnawiyah</v>
      </c>
    </row>
    <row r="135" spans="1:23" ht="15.75" hidden="1" thickBot="1" x14ac:dyDescent="0.3">
      <c r="A135" s="49">
        <v>46000.512731481482</v>
      </c>
      <c r="B135" s="52" t="s">
        <v>10</v>
      </c>
      <c r="C135" s="52" t="s">
        <v>567</v>
      </c>
      <c r="D135" s="52" t="s">
        <v>583</v>
      </c>
      <c r="E135" s="52" t="s">
        <v>28</v>
      </c>
      <c r="F135" s="56">
        <v>41261</v>
      </c>
      <c r="G135" s="52" t="s">
        <v>584</v>
      </c>
      <c r="H135" s="52" t="s">
        <v>585</v>
      </c>
      <c r="I135" s="52" t="s">
        <v>66</v>
      </c>
      <c r="J135" s="59" t="s">
        <v>1528</v>
      </c>
      <c r="K135" s="52" t="s">
        <v>1529</v>
      </c>
      <c r="L135" s="77" t="s">
        <v>582</v>
      </c>
      <c r="M135" s="37" t="s">
        <v>1530</v>
      </c>
      <c r="N135">
        <v>361</v>
      </c>
      <c r="O135" t="str">
        <f t="shared" si="21"/>
        <v>EBTAQ25-01.189</v>
      </c>
      <c r="P135" t="str">
        <f t="shared" si="22"/>
        <v>FAKHRI RIZKI DESTANIAWAN</v>
      </c>
      <c r="Q135" t="str">
        <f t="shared" si="23"/>
        <v>Laki-laki</v>
      </c>
      <c r="R135" t="str">
        <f t="shared" si="24"/>
        <v>DEMAK</v>
      </c>
      <c r="S135" s="21">
        <f t="shared" si="25"/>
        <v>41261</v>
      </c>
      <c r="T135" t="str">
        <f t="shared" si="26"/>
        <v>AGUS SETIYAWAN</v>
      </c>
      <c r="U135" t="str">
        <f t="shared" si="27"/>
        <v>NIA SUSNIAWATI</v>
      </c>
      <c r="V135" t="str">
        <f>VLOOKUP(O135,Lembar1!$A$4:$H$457,8,FALSE)</f>
        <v>BIO_Images/EBTAQ25-01.189.jpg</v>
      </c>
      <c r="W135" t="str">
        <f>IFERROR(VLOOKUP(O135,Lembar1!$A$4:$I$457,9,FALSE),C135)</f>
        <v>Demak - TPQ AL IMAN (KALIKONDANG)</v>
      </c>
    </row>
    <row r="136" spans="1:23" ht="15.75" hidden="1" thickBot="1" x14ac:dyDescent="0.3">
      <c r="A136" s="50">
        <v>46001.211157407408</v>
      </c>
      <c r="B136" s="53" t="s">
        <v>10</v>
      </c>
      <c r="C136" s="53" t="s">
        <v>567</v>
      </c>
      <c r="D136" s="53" t="s">
        <v>871</v>
      </c>
      <c r="E136" s="53" t="s">
        <v>10</v>
      </c>
      <c r="F136" s="57">
        <v>42921</v>
      </c>
      <c r="G136" s="53" t="s">
        <v>872</v>
      </c>
      <c r="H136" s="53" t="s">
        <v>873</v>
      </c>
      <c r="I136" s="53" t="s">
        <v>2</v>
      </c>
      <c r="J136" s="60" t="s">
        <v>1957</v>
      </c>
      <c r="K136" s="53" t="s">
        <v>1958</v>
      </c>
      <c r="L136" s="78" t="s">
        <v>870</v>
      </c>
      <c r="M136" s="32" t="s">
        <v>1959</v>
      </c>
      <c r="N136">
        <v>362</v>
      </c>
      <c r="O136" t="str">
        <f t="shared" si="21"/>
        <v>EBTAQ25-01.218</v>
      </c>
      <c r="P136" t="str">
        <f t="shared" si="22"/>
        <v>Zidny 'Ilma Annayla</v>
      </c>
      <c r="Q136" t="str">
        <f t="shared" si="23"/>
        <v>Perempuan</v>
      </c>
      <c r="R136" t="str">
        <f t="shared" si="24"/>
        <v>Demak</v>
      </c>
      <c r="S136" s="21">
        <f t="shared" si="25"/>
        <v>42921</v>
      </c>
      <c r="T136" t="str">
        <f t="shared" si="26"/>
        <v>KHOIRUN NIAM</v>
      </c>
      <c r="U136" t="str">
        <f t="shared" si="27"/>
        <v>RINAWATI</v>
      </c>
      <c r="V136" t="str">
        <f>VLOOKUP(O136,Lembar1!$A$4:$H$457,8,FALSE)</f>
        <v>BIO_Images/EBTAQ25-01.218.jpg</v>
      </c>
      <c r="W136" t="str">
        <f>IFERROR(VLOOKUP(O136,Lembar1!$A$4:$I$457,9,FALSE),C136)</f>
        <v>Demak - TPQ AL IMAN (KALIKONDANG)</v>
      </c>
    </row>
    <row r="137" spans="1:23" ht="15.75" hidden="1" thickBot="1" x14ac:dyDescent="0.3">
      <c r="A137" s="28">
        <v>45969.375497685185</v>
      </c>
      <c r="B137" s="29" t="s">
        <v>10</v>
      </c>
      <c r="C137" s="29" t="s">
        <v>25</v>
      </c>
      <c r="D137" s="29" t="s">
        <v>21</v>
      </c>
      <c r="E137" s="29" t="s">
        <v>10</v>
      </c>
      <c r="F137" s="30">
        <v>42488</v>
      </c>
      <c r="G137" s="29" t="s">
        <v>22</v>
      </c>
      <c r="H137" s="29" t="s">
        <v>23</v>
      </c>
      <c r="I137" s="29" t="s">
        <v>2</v>
      </c>
      <c r="J137" s="31" t="s">
        <v>914</v>
      </c>
      <c r="K137" s="29" t="s">
        <v>915</v>
      </c>
      <c r="L137" s="77" t="s">
        <v>20</v>
      </c>
      <c r="M137" s="32" t="s">
        <v>916</v>
      </c>
      <c r="N137">
        <v>363</v>
      </c>
      <c r="O137" t="str">
        <f t="shared" si="21"/>
        <v>EBTAQ25-01.113</v>
      </c>
      <c r="P137" t="str">
        <f t="shared" si="22"/>
        <v>Keisha Laila Fajrina</v>
      </c>
      <c r="Q137" t="str">
        <f t="shared" si="23"/>
        <v>Perempuan</v>
      </c>
      <c r="R137" t="str">
        <f t="shared" si="24"/>
        <v>Demak</v>
      </c>
      <c r="S137" s="21">
        <f t="shared" si="25"/>
        <v>42488</v>
      </c>
      <c r="T137" t="str">
        <f t="shared" si="26"/>
        <v>Mohamad Fatkhan</v>
      </c>
      <c r="U137" t="str">
        <f t="shared" si="27"/>
        <v>Sukinah</v>
      </c>
      <c r="V137" t="str">
        <f>VLOOKUP(O137,Lembar1!$A$4:$H$457,8,FALSE)</f>
        <v>BIO_Images/EBTAQ25-01.113.jpg</v>
      </c>
      <c r="W137" t="str">
        <f>IFERROR(VLOOKUP(O137,Lembar1!$A$4:$I$457,9,FALSE),C137)</f>
        <v>Demak - TPQ ALHADID</v>
      </c>
    </row>
    <row r="138" spans="1:23" ht="15.75" hidden="1" thickBot="1" x14ac:dyDescent="0.3">
      <c r="A138" s="33">
        <v>45969.700949074075</v>
      </c>
      <c r="B138" s="34" t="s">
        <v>10</v>
      </c>
      <c r="C138" s="34" t="s">
        <v>25</v>
      </c>
      <c r="D138" s="34" t="s">
        <v>27</v>
      </c>
      <c r="E138" s="34" t="s">
        <v>28</v>
      </c>
      <c r="F138" s="35">
        <v>42037</v>
      </c>
      <c r="G138" s="34" t="s">
        <v>29</v>
      </c>
      <c r="H138" s="34" t="s">
        <v>30</v>
      </c>
      <c r="I138" s="34" t="s">
        <v>2</v>
      </c>
      <c r="J138" s="36" t="s">
        <v>917</v>
      </c>
      <c r="K138" s="34" t="s">
        <v>918</v>
      </c>
      <c r="L138" s="78" t="s">
        <v>26</v>
      </c>
      <c r="M138" s="37" t="s">
        <v>919</v>
      </c>
      <c r="N138">
        <v>364</v>
      </c>
      <c r="O138" t="str">
        <f t="shared" si="21"/>
        <v>EBTAQ25-01.114</v>
      </c>
      <c r="P138" t="str">
        <f t="shared" si="22"/>
        <v>ADELIA KHAIRA WILDA</v>
      </c>
      <c r="Q138" t="str">
        <f t="shared" si="23"/>
        <v>Perempuan</v>
      </c>
      <c r="R138" t="str">
        <f t="shared" si="24"/>
        <v>DEMAK</v>
      </c>
      <c r="S138" s="21">
        <f t="shared" si="25"/>
        <v>42037</v>
      </c>
      <c r="T138" t="str">
        <f t="shared" si="26"/>
        <v>ZAENAL ABIDIN</v>
      </c>
      <c r="U138" t="str">
        <f t="shared" si="27"/>
        <v>JIJIN TURIASIH</v>
      </c>
      <c r="V138" t="str">
        <f>VLOOKUP(O138,Lembar1!$A$4:$H$457,8,FALSE)</f>
        <v>BIO_Images/EBTAQ25-01.114.jpg</v>
      </c>
      <c r="W138" t="str">
        <f>IFERROR(VLOOKUP(O138,Lembar1!$A$4:$I$457,9,FALSE),C138)</f>
        <v>Demak - TPQ ALHADID</v>
      </c>
    </row>
    <row r="139" spans="1:23" ht="15.75" hidden="1" thickBot="1" x14ac:dyDescent="0.3">
      <c r="A139" s="28">
        <v>45969.707337962966</v>
      </c>
      <c r="B139" s="29" t="s">
        <v>10</v>
      </c>
      <c r="C139" s="29" t="s">
        <v>25</v>
      </c>
      <c r="D139" s="29" t="s">
        <v>33</v>
      </c>
      <c r="E139" s="29" t="s">
        <v>10</v>
      </c>
      <c r="F139" s="30">
        <v>42841</v>
      </c>
      <c r="G139" s="29" t="s">
        <v>34</v>
      </c>
      <c r="H139" s="29" t="s">
        <v>35</v>
      </c>
      <c r="I139" s="29" t="s">
        <v>2</v>
      </c>
      <c r="J139" s="31" t="s">
        <v>920</v>
      </c>
      <c r="K139" s="29" t="s">
        <v>921</v>
      </c>
      <c r="L139" s="77" t="s">
        <v>32</v>
      </c>
      <c r="M139" s="32" t="s">
        <v>922</v>
      </c>
      <c r="N139">
        <v>365</v>
      </c>
      <c r="O139" t="str">
        <f t="shared" si="21"/>
        <v>EBTAQ25-01.115</v>
      </c>
      <c r="P139" t="str">
        <f t="shared" si="22"/>
        <v>Annisa faiha</v>
      </c>
      <c r="Q139" t="str">
        <f t="shared" si="23"/>
        <v>Perempuan</v>
      </c>
      <c r="R139" t="str">
        <f t="shared" si="24"/>
        <v>Demak</v>
      </c>
      <c r="S139" s="21">
        <f t="shared" si="25"/>
        <v>42841</v>
      </c>
      <c r="T139" t="str">
        <f t="shared" si="26"/>
        <v>Kholil Bisri</v>
      </c>
      <c r="U139" t="str">
        <f t="shared" si="27"/>
        <v>Himmatul Ulliya</v>
      </c>
      <c r="V139" t="str">
        <f>VLOOKUP(O139,Lembar1!$A$4:$H$457,8,FALSE)</f>
        <v>BIO_Images/EBTAQ25-01.115.jpg</v>
      </c>
      <c r="W139" t="str">
        <f>IFERROR(VLOOKUP(O139,Lembar1!$A$4:$I$457,9,FALSE),C139)</f>
        <v>Demak - TPQ ALHADID</v>
      </c>
    </row>
    <row r="140" spans="1:23" ht="15.75" hidden="1" thickBot="1" x14ac:dyDescent="0.3">
      <c r="A140" s="33">
        <v>45969.710358796299</v>
      </c>
      <c r="B140" s="34" t="s">
        <v>10</v>
      </c>
      <c r="C140" s="34" t="s">
        <v>25</v>
      </c>
      <c r="D140" s="34" t="s">
        <v>38</v>
      </c>
      <c r="E140" s="34" t="s">
        <v>10</v>
      </c>
      <c r="F140" s="35">
        <v>42307</v>
      </c>
      <c r="G140" s="34" t="s">
        <v>39</v>
      </c>
      <c r="H140" s="34" t="s">
        <v>40</v>
      </c>
      <c r="I140" s="34" t="s">
        <v>2</v>
      </c>
      <c r="J140" s="36" t="s">
        <v>923</v>
      </c>
      <c r="K140" s="34" t="s">
        <v>924</v>
      </c>
      <c r="L140" s="78" t="s">
        <v>37</v>
      </c>
      <c r="M140" s="37" t="s">
        <v>925</v>
      </c>
      <c r="N140">
        <v>366</v>
      </c>
      <c r="O140" t="str">
        <f t="shared" si="21"/>
        <v>EBTAQ25-01.116</v>
      </c>
      <c r="P140" t="str">
        <f t="shared" si="22"/>
        <v>octafia ayu rahmawati</v>
      </c>
      <c r="Q140" t="str">
        <f t="shared" si="23"/>
        <v>Perempuan</v>
      </c>
      <c r="R140" t="str">
        <f t="shared" si="24"/>
        <v>Demak</v>
      </c>
      <c r="S140" s="21">
        <f t="shared" si="25"/>
        <v>42307</v>
      </c>
      <c r="T140" t="str">
        <f t="shared" si="26"/>
        <v>purwadi</v>
      </c>
      <c r="U140" t="str">
        <f t="shared" si="27"/>
        <v>saudah</v>
      </c>
      <c r="V140" t="str">
        <f>VLOOKUP(O140,Lembar1!$A$4:$H$457,8,FALSE)</f>
        <v>BIO_Images/EBTAQ25-01.116.jpg</v>
      </c>
      <c r="W140" t="str">
        <f>IFERROR(VLOOKUP(O140,Lembar1!$A$4:$I$457,9,FALSE),C140)</f>
        <v>Demak - TPQ ALHADID</v>
      </c>
    </row>
    <row r="141" spans="1:23" ht="15.75" hidden="1" thickBot="1" x14ac:dyDescent="0.3">
      <c r="A141" s="28">
        <v>45969.712534722225</v>
      </c>
      <c r="B141" s="29" t="s">
        <v>10</v>
      </c>
      <c r="C141" s="29" t="s">
        <v>25</v>
      </c>
      <c r="D141" s="29" t="s">
        <v>43</v>
      </c>
      <c r="E141" s="29" t="s">
        <v>10</v>
      </c>
      <c r="F141" s="30">
        <v>42577</v>
      </c>
      <c r="G141" s="29" t="s">
        <v>44</v>
      </c>
      <c r="H141" s="29" t="s">
        <v>45</v>
      </c>
      <c r="I141" s="29" t="s">
        <v>2</v>
      </c>
      <c r="J141" s="31" t="s">
        <v>926</v>
      </c>
      <c r="K141" s="29" t="s">
        <v>927</v>
      </c>
      <c r="L141" s="77" t="s">
        <v>42</v>
      </c>
      <c r="M141" s="32" t="s">
        <v>928</v>
      </c>
      <c r="N141">
        <v>367</v>
      </c>
      <c r="O141" t="str">
        <f t="shared" si="21"/>
        <v>EBTAQ25-01.117</v>
      </c>
      <c r="P141" t="str">
        <f t="shared" si="22"/>
        <v>AQILA QURROTU A'YUN</v>
      </c>
      <c r="Q141" t="str">
        <f t="shared" si="23"/>
        <v>Perempuan</v>
      </c>
      <c r="R141" t="str">
        <f t="shared" si="24"/>
        <v>Demak</v>
      </c>
      <c r="S141" s="21">
        <f t="shared" si="25"/>
        <v>42577</v>
      </c>
      <c r="T141" t="str">
        <f t="shared" si="26"/>
        <v>Sucipto</v>
      </c>
      <c r="U141" t="str">
        <f t="shared" si="27"/>
        <v>Kholisoh</v>
      </c>
      <c r="V141" t="str">
        <f>VLOOKUP(O141,Lembar1!$A$4:$H$457,8,FALSE)</f>
        <v>BIO_Images/EBTAQ25-01.117.jpg</v>
      </c>
      <c r="W141" t="str">
        <f>IFERROR(VLOOKUP(O141,Lembar1!$A$4:$I$457,9,FALSE),C141)</f>
        <v>Demak - TPQ ALHADID</v>
      </c>
    </row>
    <row r="142" spans="1:23" ht="15.75" hidden="1" thickBot="1" x14ac:dyDescent="0.3">
      <c r="A142" s="33">
        <v>45969.713819444441</v>
      </c>
      <c r="B142" s="34" t="s">
        <v>10</v>
      </c>
      <c r="C142" s="34" t="s">
        <v>25</v>
      </c>
      <c r="D142" s="34" t="s">
        <v>48</v>
      </c>
      <c r="E142" s="34" t="s">
        <v>10</v>
      </c>
      <c r="F142" s="35">
        <v>41482</v>
      </c>
      <c r="G142" s="34" t="s">
        <v>49</v>
      </c>
      <c r="H142" s="34" t="s">
        <v>50</v>
      </c>
      <c r="I142" s="34" t="s">
        <v>2</v>
      </c>
      <c r="J142" s="36" t="s">
        <v>929</v>
      </c>
      <c r="K142" s="34" t="s">
        <v>930</v>
      </c>
      <c r="L142" s="78" t="s">
        <v>47</v>
      </c>
      <c r="M142" s="37" t="s">
        <v>931</v>
      </c>
      <c r="N142">
        <v>368</v>
      </c>
      <c r="O142" t="str">
        <f t="shared" si="21"/>
        <v>EBTAQ25-01.118</v>
      </c>
      <c r="P142" t="str">
        <f t="shared" si="22"/>
        <v>Nurul Fauziyah Ramadhani</v>
      </c>
      <c r="Q142" t="str">
        <f t="shared" si="23"/>
        <v>Perempuan</v>
      </c>
      <c r="R142" t="str">
        <f t="shared" si="24"/>
        <v>Demak</v>
      </c>
      <c r="S142" s="21">
        <f t="shared" si="25"/>
        <v>41482</v>
      </c>
      <c r="T142" t="str">
        <f t="shared" si="26"/>
        <v>Muhidin</v>
      </c>
      <c r="U142" t="str">
        <f t="shared" si="27"/>
        <v>Sri kumaidah</v>
      </c>
      <c r="V142" t="str">
        <f>VLOOKUP(O142,Lembar1!$A$4:$H$457,8,FALSE)</f>
        <v>BIO_Images/EBTAQ25-01.118.jpg</v>
      </c>
      <c r="W142" t="str">
        <f>IFERROR(VLOOKUP(O142,Lembar1!$A$4:$I$457,9,FALSE),C142)</f>
        <v>Demak - TPQ ALHADID</v>
      </c>
    </row>
    <row r="143" spans="1:23" ht="15.75" hidden="1" thickBot="1" x14ac:dyDescent="0.3">
      <c r="A143" s="28">
        <v>45969.722094907411</v>
      </c>
      <c r="B143" s="29" t="s">
        <v>10</v>
      </c>
      <c r="C143" s="29" t="s">
        <v>25</v>
      </c>
      <c r="D143" s="29" t="s">
        <v>53</v>
      </c>
      <c r="E143" s="29" t="s">
        <v>10</v>
      </c>
      <c r="F143" s="30">
        <v>42729</v>
      </c>
      <c r="G143" s="29" t="s">
        <v>54</v>
      </c>
      <c r="H143" s="29" t="s">
        <v>55</v>
      </c>
      <c r="I143" s="29" t="s">
        <v>2</v>
      </c>
      <c r="J143" s="31" t="s">
        <v>932</v>
      </c>
      <c r="K143" s="29" t="s">
        <v>933</v>
      </c>
      <c r="L143" s="77" t="s">
        <v>52</v>
      </c>
      <c r="M143" s="32" t="s">
        <v>934</v>
      </c>
      <c r="N143">
        <v>369</v>
      </c>
      <c r="O143" t="str">
        <f t="shared" si="21"/>
        <v>EBTAQ25-01.119</v>
      </c>
      <c r="P143" t="str">
        <f t="shared" si="22"/>
        <v>Aisya Faiha Maulidya</v>
      </c>
      <c r="Q143" t="str">
        <f t="shared" si="23"/>
        <v>Perempuan</v>
      </c>
      <c r="R143" t="str">
        <f t="shared" si="24"/>
        <v>Demak</v>
      </c>
      <c r="S143" s="21">
        <f t="shared" si="25"/>
        <v>42729</v>
      </c>
      <c r="T143" t="str">
        <f t="shared" si="26"/>
        <v>Masri</v>
      </c>
      <c r="U143" t="str">
        <f t="shared" si="27"/>
        <v>Kasiroh</v>
      </c>
      <c r="V143" t="str">
        <f>VLOOKUP(O143,Lembar1!$A$4:$H$457,8,FALSE)</f>
        <v>BIO_Images/EBTAQ25-01.119.jpg</v>
      </c>
      <c r="W143" t="str">
        <f>IFERROR(VLOOKUP(O143,Lembar1!$A$4:$I$457,9,FALSE),C143)</f>
        <v>Demak - TPQ ALHADID</v>
      </c>
    </row>
    <row r="144" spans="1:23" ht="15.75" hidden="1" thickBot="1" x14ac:dyDescent="0.3">
      <c r="A144" s="50">
        <v>46001.607002314813</v>
      </c>
      <c r="B144" s="53" t="s">
        <v>10</v>
      </c>
      <c r="C144" s="53" t="s">
        <v>2219</v>
      </c>
      <c r="D144" s="53" t="s">
        <v>2220</v>
      </c>
      <c r="E144" s="53" t="s">
        <v>28</v>
      </c>
      <c r="F144" s="57">
        <v>42203</v>
      </c>
      <c r="G144" s="53" t="s">
        <v>2221</v>
      </c>
      <c r="H144" s="53" t="s">
        <v>2222</v>
      </c>
      <c r="I144" s="53" t="s">
        <v>66</v>
      </c>
      <c r="J144" s="60" t="s">
        <v>2223</v>
      </c>
      <c r="K144" s="53" t="s">
        <v>2224</v>
      </c>
      <c r="L144" s="78" t="s">
        <v>2225</v>
      </c>
      <c r="M144" s="32" t="s">
        <v>2226</v>
      </c>
      <c r="N144">
        <v>370</v>
      </c>
      <c r="O144" t="str">
        <f t="shared" si="21"/>
        <v>EBTAQ25-01.249</v>
      </c>
      <c r="P144" t="str">
        <f t="shared" si="22"/>
        <v>MARCHELIO PUTRA ARFANO</v>
      </c>
      <c r="Q144" t="str">
        <f t="shared" si="23"/>
        <v>Laki-laki</v>
      </c>
      <c r="R144" t="str">
        <f t="shared" si="24"/>
        <v>DEMAK</v>
      </c>
      <c r="S144" s="21">
        <f t="shared" si="25"/>
        <v>42203</v>
      </c>
      <c r="T144" t="str">
        <f t="shared" si="26"/>
        <v>BILAL ADTYA KRISNA PUTRA</v>
      </c>
      <c r="U144" t="str">
        <f t="shared" si="27"/>
        <v>IMELIA FATMA SATYA</v>
      </c>
      <c r="V144" t="str">
        <f>VLOOKUP(O144,Lembar1!$A$4:$H$457,8,FALSE)</f>
        <v>BIO_Images/EBTAQ25-01.249.jpeg</v>
      </c>
      <c r="W144" t="str">
        <f>IFERROR(VLOOKUP(O144,Lembar1!$A$4:$I$457,9,FALSE),C144)</f>
        <v>Demak - TPQ ALHUSNA (MI)</v>
      </c>
    </row>
    <row r="145" spans="1:23" ht="15.75" hidden="1" thickBot="1" x14ac:dyDescent="0.3">
      <c r="A145" s="49">
        <v>46001.607708333337</v>
      </c>
      <c r="B145" s="52" t="s">
        <v>10</v>
      </c>
      <c r="C145" s="52" t="s">
        <v>2219</v>
      </c>
      <c r="D145" s="52" t="s">
        <v>2227</v>
      </c>
      <c r="E145" s="52" t="s">
        <v>10</v>
      </c>
      <c r="F145" s="56">
        <v>42733</v>
      </c>
      <c r="G145" s="52" t="s">
        <v>2228</v>
      </c>
      <c r="H145" s="52" t="s">
        <v>2229</v>
      </c>
      <c r="I145" s="52" t="s">
        <v>2</v>
      </c>
      <c r="J145" s="59" t="s">
        <v>2230</v>
      </c>
      <c r="K145" s="52" t="s">
        <v>2231</v>
      </c>
      <c r="L145" s="77" t="s">
        <v>2232</v>
      </c>
      <c r="M145" s="37" t="s">
        <v>2233</v>
      </c>
      <c r="N145">
        <v>371</v>
      </c>
      <c r="O145" t="str">
        <f t="shared" si="21"/>
        <v>EBTAQ25-01.250</v>
      </c>
      <c r="P145" t="str">
        <f t="shared" si="22"/>
        <v>Nabillah Damara Najmy Kallani</v>
      </c>
      <c r="Q145" t="str">
        <f t="shared" si="23"/>
        <v>Perempuan</v>
      </c>
      <c r="R145" t="str">
        <f t="shared" si="24"/>
        <v>Demak</v>
      </c>
      <c r="S145" s="21">
        <f t="shared" si="25"/>
        <v>42733</v>
      </c>
      <c r="T145" t="str">
        <f t="shared" si="26"/>
        <v>Achmadi</v>
      </c>
      <c r="U145" t="str">
        <f t="shared" si="27"/>
        <v>Dwi Puji Asmorodewi</v>
      </c>
      <c r="V145" t="str">
        <f>VLOOKUP(O145,Lembar1!$A$4:$H$457,8,FALSE)</f>
        <v>BIO_Images/EBTAQ25-01.250.jpg</v>
      </c>
      <c r="W145" t="str">
        <f>IFERROR(VLOOKUP(O145,Lembar1!$A$4:$I$457,9,FALSE),C145)</f>
        <v>Demak - TPQ ALHUSNA (MI)</v>
      </c>
    </row>
    <row r="146" spans="1:23" ht="15.75" hidden="1" thickBot="1" x14ac:dyDescent="0.3">
      <c r="A146" s="33">
        <v>46001.621793981481</v>
      </c>
      <c r="B146" s="34" t="s">
        <v>10</v>
      </c>
      <c r="C146" s="34" t="s">
        <v>2219</v>
      </c>
      <c r="D146" s="34" t="s">
        <v>2252</v>
      </c>
      <c r="E146" s="34" t="s">
        <v>10</v>
      </c>
      <c r="F146" s="35">
        <v>41418</v>
      </c>
      <c r="G146" s="34" t="s">
        <v>2253</v>
      </c>
      <c r="H146" s="34" t="s">
        <v>2254</v>
      </c>
      <c r="I146" s="34" t="s">
        <v>66</v>
      </c>
      <c r="J146" s="36" t="s">
        <v>2255</v>
      </c>
      <c r="K146" s="34" t="s">
        <v>2256</v>
      </c>
      <c r="L146" s="78" t="s">
        <v>2257</v>
      </c>
      <c r="M146" s="37" t="s">
        <v>2258</v>
      </c>
      <c r="N146">
        <v>372</v>
      </c>
      <c r="O146" t="str">
        <f t="shared" si="21"/>
        <v>EBTAQ25-01.251</v>
      </c>
      <c r="P146" t="str">
        <f t="shared" si="22"/>
        <v>Ahmad Naufal Nabih</v>
      </c>
      <c r="Q146" t="str">
        <f t="shared" si="23"/>
        <v>Laki-laki</v>
      </c>
      <c r="R146" t="str">
        <f t="shared" si="24"/>
        <v>Demak</v>
      </c>
      <c r="S146" s="21">
        <f t="shared" si="25"/>
        <v>41418</v>
      </c>
      <c r="T146" t="str">
        <f t="shared" si="26"/>
        <v>Akhmad Solikin</v>
      </c>
      <c r="U146" t="str">
        <f t="shared" si="27"/>
        <v>Siti Lestari</v>
      </c>
      <c r="V146" t="str">
        <f>VLOOKUP(O146,Lembar1!$A$4:$H$457,8,FALSE)</f>
        <v>BIO_Images/EBTAQ25-01.251.jpg</v>
      </c>
      <c r="W146" t="str">
        <f>IFERROR(VLOOKUP(O146,Lembar1!$A$4:$I$457,9,FALSE),C146)</f>
        <v>Demak - TPQ ALHUSNA (MI)</v>
      </c>
    </row>
    <row r="147" spans="1:23" ht="15.75" hidden="1" thickBot="1" x14ac:dyDescent="0.3">
      <c r="A147" s="28">
        <v>46001.623611111114</v>
      </c>
      <c r="B147" s="29" t="s">
        <v>10</v>
      </c>
      <c r="C147" s="29" t="s">
        <v>2219</v>
      </c>
      <c r="D147" s="29" t="s">
        <v>2259</v>
      </c>
      <c r="E147" s="29" t="s">
        <v>10</v>
      </c>
      <c r="F147" s="30">
        <v>41907</v>
      </c>
      <c r="G147" s="29" t="s">
        <v>2260</v>
      </c>
      <c r="H147" s="29" t="s">
        <v>2261</v>
      </c>
      <c r="I147" s="29" t="s">
        <v>66</v>
      </c>
      <c r="J147" s="31" t="s">
        <v>2262</v>
      </c>
      <c r="K147" s="29" t="s">
        <v>2263</v>
      </c>
      <c r="L147" s="77" t="s">
        <v>2264</v>
      </c>
      <c r="M147" s="32" t="s">
        <v>2265</v>
      </c>
      <c r="N147">
        <v>373</v>
      </c>
      <c r="O147" t="str">
        <f t="shared" si="21"/>
        <v>EBTAQ25-01.252</v>
      </c>
      <c r="P147" t="str">
        <f t="shared" si="22"/>
        <v>Rakha Alhafeezy Putra Setiawan</v>
      </c>
      <c r="Q147" t="str">
        <f t="shared" si="23"/>
        <v>Laki-laki</v>
      </c>
      <c r="R147" t="str">
        <f t="shared" si="24"/>
        <v>Demak</v>
      </c>
      <c r="S147" s="21">
        <f t="shared" si="25"/>
        <v>41907</v>
      </c>
      <c r="T147" t="str">
        <f t="shared" si="26"/>
        <v>Andika Yoan Setiawan</v>
      </c>
      <c r="U147" t="str">
        <f t="shared" si="27"/>
        <v>Endang Setyowati</v>
      </c>
      <c r="V147" t="str">
        <f>VLOOKUP(O147,Lembar1!$A$4:$H$457,8,FALSE)</f>
        <v>BIO_Images/EBTAQ25-01.252.jpg</v>
      </c>
      <c r="W147" t="str">
        <f>IFERROR(VLOOKUP(O147,Lembar1!$A$4:$I$457,9,FALSE),C147)</f>
        <v>Demak - TPQ ALHUSNA (MI)</v>
      </c>
    </row>
    <row r="148" spans="1:23" ht="15.75" hidden="1" thickBot="1" x14ac:dyDescent="0.3">
      <c r="A148" s="33">
        <v>46001.629074074073</v>
      </c>
      <c r="B148" s="34" t="s">
        <v>10</v>
      </c>
      <c r="C148" s="34" t="s">
        <v>2219</v>
      </c>
      <c r="D148" s="34" t="s">
        <v>2280</v>
      </c>
      <c r="E148" s="34" t="s">
        <v>28</v>
      </c>
      <c r="F148" s="35">
        <v>41920</v>
      </c>
      <c r="G148" s="34" t="s">
        <v>2281</v>
      </c>
      <c r="H148" s="34" t="s">
        <v>2282</v>
      </c>
      <c r="I148" s="34" t="s">
        <v>2</v>
      </c>
      <c r="J148" s="36" t="s">
        <v>2283</v>
      </c>
      <c r="K148" s="34" t="s">
        <v>2284</v>
      </c>
      <c r="L148" s="78" t="s">
        <v>2285</v>
      </c>
      <c r="M148" s="37" t="s">
        <v>2286</v>
      </c>
      <c r="N148">
        <v>374</v>
      </c>
      <c r="O148" t="str">
        <f t="shared" si="21"/>
        <v>EBTAQ25-01.253</v>
      </c>
      <c r="P148" t="str">
        <f t="shared" si="22"/>
        <v>BATRISYA BASHASHA</v>
      </c>
      <c r="Q148" t="str">
        <f t="shared" si="23"/>
        <v>Perempuan</v>
      </c>
      <c r="R148" t="str">
        <f t="shared" si="24"/>
        <v>DEMAK</v>
      </c>
      <c r="S148" s="21">
        <f t="shared" si="25"/>
        <v>41920</v>
      </c>
      <c r="T148" t="str">
        <f t="shared" si="26"/>
        <v>SUHARJO</v>
      </c>
      <c r="U148" t="str">
        <f t="shared" si="27"/>
        <v>EVA YUNI RAHMAWATI</v>
      </c>
      <c r="V148" t="str">
        <f>VLOOKUP(O148,Lembar1!$A$4:$H$457,8,FALSE)</f>
        <v>BIO_Images/EBTAQ25-01.253.jpg</v>
      </c>
      <c r="W148" t="str">
        <f>IFERROR(VLOOKUP(O148,Lembar1!$A$4:$I$457,9,FALSE),C148)</f>
        <v>Demak - TPQ ALHUSNA (MI)</v>
      </c>
    </row>
    <row r="149" spans="1:23" ht="15.75" hidden="1" thickBot="1" x14ac:dyDescent="0.3">
      <c r="A149" s="28">
        <v>46001.629236111112</v>
      </c>
      <c r="B149" s="29" t="s">
        <v>10</v>
      </c>
      <c r="C149" s="29" t="s">
        <v>2219</v>
      </c>
      <c r="D149" s="29" t="s">
        <v>2287</v>
      </c>
      <c r="E149" s="29" t="s">
        <v>59</v>
      </c>
      <c r="F149" s="30">
        <v>42196</v>
      </c>
      <c r="G149" s="29" t="s">
        <v>2288</v>
      </c>
      <c r="H149" s="29" t="s">
        <v>2289</v>
      </c>
      <c r="I149" s="29" t="s">
        <v>2</v>
      </c>
      <c r="J149" s="31" t="s">
        <v>2290</v>
      </c>
      <c r="K149" s="29" t="s">
        <v>2291</v>
      </c>
      <c r="L149" s="77" t="s">
        <v>2292</v>
      </c>
      <c r="M149" s="32" t="s">
        <v>2293</v>
      </c>
      <c r="N149">
        <v>375</v>
      </c>
      <c r="O149" t="str">
        <f t="shared" si="21"/>
        <v>EBTAQ25-01.254</v>
      </c>
      <c r="P149" t="str">
        <f t="shared" si="22"/>
        <v>Maudya Zianka Arzaq</v>
      </c>
      <c r="Q149" t="str">
        <f t="shared" si="23"/>
        <v>Perempuan</v>
      </c>
      <c r="R149" t="str">
        <f t="shared" si="24"/>
        <v>Semarang</v>
      </c>
      <c r="S149" s="21">
        <f t="shared" si="25"/>
        <v>42196</v>
      </c>
      <c r="T149" t="str">
        <f t="shared" si="26"/>
        <v>Muhammad Ali Maskun</v>
      </c>
      <c r="U149" t="str">
        <f t="shared" si="27"/>
        <v>Uditya Yayang Wulandari</v>
      </c>
      <c r="V149" t="str">
        <f>VLOOKUP(O149,Lembar1!$A$4:$H$457,8,FALSE)</f>
        <v>BIO_Images/EBTAQ25-01.254.jpg</v>
      </c>
      <c r="W149" t="str">
        <f>IFERROR(VLOOKUP(O149,Lembar1!$A$4:$I$457,9,FALSE),C149)</f>
        <v>Demak - TPQ ALHUSNA (MI)</v>
      </c>
    </row>
    <row r="150" spans="1:23" ht="15.75" hidden="1" thickBot="1" x14ac:dyDescent="0.3">
      <c r="A150" s="33">
        <v>46001.630659722221</v>
      </c>
      <c r="B150" s="34" t="s">
        <v>10</v>
      </c>
      <c r="C150" s="34" t="s">
        <v>2219</v>
      </c>
      <c r="D150" s="34" t="s">
        <v>2294</v>
      </c>
      <c r="E150" s="34" t="s">
        <v>2295</v>
      </c>
      <c r="F150" s="35">
        <v>41547</v>
      </c>
      <c r="G150" s="34" t="s">
        <v>2296</v>
      </c>
      <c r="H150" s="34" t="s">
        <v>2297</v>
      </c>
      <c r="I150" s="34" t="s">
        <v>2</v>
      </c>
      <c r="J150" s="36" t="s">
        <v>2298</v>
      </c>
      <c r="K150" s="34" t="s">
        <v>2299</v>
      </c>
      <c r="L150" s="78" t="s">
        <v>2300</v>
      </c>
      <c r="M150" s="37" t="s">
        <v>2301</v>
      </c>
      <c r="N150">
        <v>376</v>
      </c>
      <c r="O150" t="str">
        <f t="shared" si="21"/>
        <v>EBTAQ25-01.255</v>
      </c>
      <c r="P150" t="str">
        <f t="shared" si="22"/>
        <v>Afra Hanan Fatin Nurullah</v>
      </c>
      <c r="Q150" t="str">
        <f t="shared" si="23"/>
        <v>Perempuan</v>
      </c>
      <c r="R150" t="str">
        <f t="shared" si="24"/>
        <v>Pemalang</v>
      </c>
      <c r="S150" s="21">
        <f t="shared" si="25"/>
        <v>41547</v>
      </c>
      <c r="T150" t="str">
        <f t="shared" si="26"/>
        <v>Mohamad Nurulloh</v>
      </c>
      <c r="U150" t="str">
        <f t="shared" si="27"/>
        <v>Khomsatul Hidayati</v>
      </c>
      <c r="V150" t="str">
        <f>VLOOKUP(O150,Lembar1!$A$4:$H$457,8,FALSE)</f>
        <v>BIO_Images/EBTAQ25-01.255.jpg</v>
      </c>
      <c r="W150" t="str">
        <f>IFERROR(VLOOKUP(O150,Lembar1!$A$4:$I$457,9,FALSE),C150)</f>
        <v>Demak - TPQ ALHUSNA (MI)</v>
      </c>
    </row>
    <row r="151" spans="1:23" ht="15.75" hidden="1" thickBot="1" x14ac:dyDescent="0.3">
      <c r="A151" s="49">
        <v>46001.633634259262</v>
      </c>
      <c r="B151" s="52" t="s">
        <v>10</v>
      </c>
      <c r="C151" s="52" t="s">
        <v>2219</v>
      </c>
      <c r="D151" s="52" t="s">
        <v>2309</v>
      </c>
      <c r="E151" s="52" t="s">
        <v>10</v>
      </c>
      <c r="F151" s="56">
        <v>42272</v>
      </c>
      <c r="G151" s="52" t="s">
        <v>2310</v>
      </c>
      <c r="H151" s="52" t="s">
        <v>2311</v>
      </c>
      <c r="I151" s="52" t="s">
        <v>2</v>
      </c>
      <c r="J151" s="59" t="s">
        <v>2312</v>
      </c>
      <c r="K151" s="52" t="s">
        <v>2313</v>
      </c>
      <c r="L151" s="77" t="s">
        <v>2314</v>
      </c>
      <c r="M151" s="37" t="s">
        <v>2315</v>
      </c>
      <c r="N151">
        <v>377</v>
      </c>
      <c r="O151" t="str">
        <f t="shared" si="21"/>
        <v>EBTAQ25-01.256</v>
      </c>
      <c r="P151" t="str">
        <f t="shared" si="22"/>
        <v>Nadine Aulia Firdaus</v>
      </c>
      <c r="Q151" t="str">
        <f t="shared" si="23"/>
        <v>Perempuan</v>
      </c>
      <c r="R151" t="str">
        <f t="shared" si="24"/>
        <v>Demak</v>
      </c>
      <c r="S151" s="21">
        <f t="shared" si="25"/>
        <v>42272</v>
      </c>
      <c r="T151" t="str">
        <f t="shared" si="26"/>
        <v>Ali Firdaus</v>
      </c>
      <c r="U151" t="str">
        <f t="shared" si="27"/>
        <v>Mujiyatun</v>
      </c>
      <c r="V151" t="str">
        <f>VLOOKUP(O151,Lembar1!$A$4:$H$457,8,FALSE)</f>
        <v>BIO_Images/EBTAQ25-01.256.jpg</v>
      </c>
      <c r="W151" t="str">
        <f>IFERROR(VLOOKUP(O151,Lembar1!$A$4:$I$457,9,FALSE),C151)</f>
        <v>Demak - TPQ ALHUSNA (MI)</v>
      </c>
    </row>
    <row r="152" spans="1:23" ht="15.75" hidden="1" thickBot="1" x14ac:dyDescent="0.3">
      <c r="A152" s="50">
        <v>46001.634166666663</v>
      </c>
      <c r="B152" s="53" t="s">
        <v>10</v>
      </c>
      <c r="C152" s="53" t="s">
        <v>2219</v>
      </c>
      <c r="D152" s="53" t="s">
        <v>2316</v>
      </c>
      <c r="E152" s="53" t="s">
        <v>10</v>
      </c>
      <c r="F152" s="57">
        <v>41925</v>
      </c>
      <c r="G152" s="53" t="s">
        <v>2317</v>
      </c>
      <c r="H152" s="53" t="s">
        <v>2318</v>
      </c>
      <c r="I152" s="53" t="s">
        <v>66</v>
      </c>
      <c r="J152" s="60" t="s">
        <v>2319</v>
      </c>
      <c r="K152" s="53" t="s">
        <v>2320</v>
      </c>
      <c r="L152" s="78" t="s">
        <v>2321</v>
      </c>
      <c r="M152" s="32" t="s">
        <v>2322</v>
      </c>
      <c r="N152">
        <v>378</v>
      </c>
      <c r="O152" t="str">
        <f t="shared" si="21"/>
        <v>EBTAQ25-01.257</v>
      </c>
      <c r="P152" t="str">
        <f t="shared" si="22"/>
        <v>Muhammad Fairuz Dzulfadhly</v>
      </c>
      <c r="Q152" t="str">
        <f t="shared" si="23"/>
        <v>Laki-laki</v>
      </c>
      <c r="R152" t="str">
        <f t="shared" si="24"/>
        <v>Demak</v>
      </c>
      <c r="S152" s="21">
        <f t="shared" si="25"/>
        <v>41925</v>
      </c>
      <c r="T152" t="str">
        <f t="shared" si="26"/>
        <v>Imamul Muttaqin</v>
      </c>
      <c r="U152" t="str">
        <f t="shared" si="27"/>
        <v>Nasikhah</v>
      </c>
      <c r="V152" t="str">
        <f>VLOOKUP(O152,Lembar1!$A$4:$H$457,8,FALSE)</f>
        <v>BIO_Images/EBTAQ25-01.257.jpg</v>
      </c>
      <c r="W152" t="str">
        <f>IFERROR(VLOOKUP(O152,Lembar1!$A$4:$I$457,9,FALSE),C152)</f>
        <v>Demak - TPQ ALHUSNA (MI)</v>
      </c>
    </row>
    <row r="153" spans="1:23" ht="15.75" hidden="1" thickBot="1" x14ac:dyDescent="0.3">
      <c r="A153" s="49">
        <v>46001.636053240742</v>
      </c>
      <c r="B153" s="52" t="s">
        <v>10</v>
      </c>
      <c r="C153" s="52" t="s">
        <v>2219</v>
      </c>
      <c r="D153" s="52" t="s">
        <v>2323</v>
      </c>
      <c r="E153" s="52" t="s">
        <v>10</v>
      </c>
      <c r="F153" s="56">
        <v>42385</v>
      </c>
      <c r="G153" s="52" t="s">
        <v>2324</v>
      </c>
      <c r="H153" s="52" t="s">
        <v>2325</v>
      </c>
      <c r="I153" s="52" t="s">
        <v>66</v>
      </c>
      <c r="J153" s="59" t="s">
        <v>2326</v>
      </c>
      <c r="K153" s="52" t="s">
        <v>2327</v>
      </c>
      <c r="L153" s="77" t="s">
        <v>2328</v>
      </c>
      <c r="M153" s="37" t="s">
        <v>2329</v>
      </c>
      <c r="N153">
        <v>379</v>
      </c>
      <c r="O153" t="str">
        <f t="shared" si="21"/>
        <v>EBTAQ25-01.258</v>
      </c>
      <c r="P153" t="str">
        <f t="shared" si="22"/>
        <v>AMAR AKBAR NUR AHMAD</v>
      </c>
      <c r="Q153" t="str">
        <f t="shared" si="23"/>
        <v>Laki-laki</v>
      </c>
      <c r="R153" t="str">
        <f t="shared" si="24"/>
        <v>Demak</v>
      </c>
      <c r="S153" s="21">
        <f t="shared" si="25"/>
        <v>42385</v>
      </c>
      <c r="T153" t="str">
        <f t="shared" si="26"/>
        <v>NUR KHAMID</v>
      </c>
      <c r="U153" t="str">
        <f t="shared" si="27"/>
        <v>Risna Yuli Astuti</v>
      </c>
      <c r="V153" t="str">
        <f>VLOOKUP(O153,Lembar1!$A$4:$H$457,8,FALSE)</f>
        <v>BIO_Images/EBTAQ25-01.258.jpg</v>
      </c>
      <c r="W153" t="str">
        <f>IFERROR(VLOOKUP(O153,Lembar1!$A$4:$I$457,9,FALSE),C153)</f>
        <v>Demak - TPQ ALHUSNA (MI)</v>
      </c>
    </row>
    <row r="154" spans="1:23" ht="15.75" hidden="1" thickBot="1" x14ac:dyDescent="0.3">
      <c r="A154" s="50">
        <v>46001.636840277781</v>
      </c>
      <c r="B154" s="53" t="s">
        <v>10</v>
      </c>
      <c r="C154" s="53" t="s">
        <v>2219</v>
      </c>
      <c r="D154" s="53" t="s">
        <v>2330</v>
      </c>
      <c r="E154" s="53" t="s">
        <v>59</v>
      </c>
      <c r="F154" s="57">
        <v>42030</v>
      </c>
      <c r="G154" s="53" t="s">
        <v>2331</v>
      </c>
      <c r="H154" s="53" t="s">
        <v>2332</v>
      </c>
      <c r="I154" s="53" t="s">
        <v>66</v>
      </c>
      <c r="J154" s="60" t="s">
        <v>2333</v>
      </c>
      <c r="K154" s="53" t="s">
        <v>2334</v>
      </c>
      <c r="L154" s="78" t="s">
        <v>2335</v>
      </c>
      <c r="M154" s="32" t="s">
        <v>2336</v>
      </c>
      <c r="N154">
        <v>380</v>
      </c>
      <c r="O154" t="str">
        <f t="shared" si="21"/>
        <v>EBTAQ25-01.259</v>
      </c>
      <c r="P154" t="str">
        <f t="shared" si="22"/>
        <v>Muhammad Abyakta Annur</v>
      </c>
      <c r="Q154" t="str">
        <f t="shared" si="23"/>
        <v>Laki-laki</v>
      </c>
      <c r="R154" t="str">
        <f t="shared" si="24"/>
        <v>Semarang</v>
      </c>
      <c r="S154" s="21">
        <f t="shared" si="25"/>
        <v>42030</v>
      </c>
      <c r="T154" t="str">
        <f t="shared" si="26"/>
        <v>Andi Mas Andi</v>
      </c>
      <c r="U154" t="str">
        <f t="shared" si="27"/>
        <v>Nur Hamidah</v>
      </c>
      <c r="V154" t="str">
        <f>VLOOKUP(O154,Lembar1!$A$4:$H$457,8,FALSE)</f>
        <v>BIO_Images/EBTAQ25-01.259.jpg</v>
      </c>
      <c r="W154" t="str">
        <f>IFERROR(VLOOKUP(O154,Lembar1!$A$4:$I$457,9,FALSE),C154)</f>
        <v>Demak - TPQ ALHUSNA (MI)</v>
      </c>
    </row>
    <row r="155" spans="1:23" ht="15.75" hidden="1" thickBot="1" x14ac:dyDescent="0.3">
      <c r="A155" s="49">
        <v>46001.63790509259</v>
      </c>
      <c r="B155" s="52" t="s">
        <v>10</v>
      </c>
      <c r="C155" s="52" t="s">
        <v>2219</v>
      </c>
      <c r="D155" s="52" t="s">
        <v>2337</v>
      </c>
      <c r="E155" s="52" t="s">
        <v>10</v>
      </c>
      <c r="F155" s="56">
        <v>41742</v>
      </c>
      <c r="G155" s="52" t="s">
        <v>2338</v>
      </c>
      <c r="H155" s="52" t="s">
        <v>2339</v>
      </c>
      <c r="I155" s="52" t="s">
        <v>2</v>
      </c>
      <c r="J155" s="59" t="s">
        <v>2340</v>
      </c>
      <c r="K155" s="52" t="s">
        <v>2341</v>
      </c>
      <c r="L155" s="77" t="s">
        <v>2342</v>
      </c>
      <c r="M155" s="37" t="s">
        <v>2343</v>
      </c>
      <c r="N155">
        <v>381</v>
      </c>
      <c r="O155" t="str">
        <f t="shared" si="21"/>
        <v>EBTAQ25-01.260</v>
      </c>
      <c r="P155" t="str">
        <f t="shared" si="22"/>
        <v>Bilqis Najwa Khaira Anandari</v>
      </c>
      <c r="Q155" t="str">
        <f t="shared" si="23"/>
        <v>Perempuan</v>
      </c>
      <c r="R155" t="str">
        <f t="shared" si="24"/>
        <v>Demak</v>
      </c>
      <c r="S155" s="21">
        <f t="shared" si="25"/>
        <v>41742</v>
      </c>
      <c r="T155" t="str">
        <f t="shared" si="26"/>
        <v>Alm. Makmun Hidayat</v>
      </c>
      <c r="U155" t="str">
        <f t="shared" si="27"/>
        <v>Devi Riandari</v>
      </c>
      <c r="V155" t="str">
        <f>VLOOKUP(O155,Lembar1!$A$4:$H$457,8,FALSE)</f>
        <v>BIO_Images/EBTAQ25-01.260.jpg</v>
      </c>
      <c r="W155" t="str">
        <f>IFERROR(VLOOKUP(O155,Lembar1!$A$4:$I$457,9,FALSE),C155)</f>
        <v>Demak - TPQ ALHUSNA (MI)</v>
      </c>
    </row>
    <row r="156" spans="1:23" ht="15.75" hidden="1" thickBot="1" x14ac:dyDescent="0.3">
      <c r="A156" s="50">
        <v>46001.63821759259</v>
      </c>
      <c r="B156" s="53" t="s">
        <v>10</v>
      </c>
      <c r="C156" s="53" t="s">
        <v>2219</v>
      </c>
      <c r="D156" s="53" t="s">
        <v>2344</v>
      </c>
      <c r="E156" s="53" t="s">
        <v>2345</v>
      </c>
      <c r="F156" s="57">
        <v>42283</v>
      </c>
      <c r="G156" s="53" t="s">
        <v>2317</v>
      </c>
      <c r="H156" s="53" t="s">
        <v>2318</v>
      </c>
      <c r="I156" s="53" t="s">
        <v>66</v>
      </c>
      <c r="J156" s="60" t="s">
        <v>2346</v>
      </c>
      <c r="K156" s="53" t="s">
        <v>2320</v>
      </c>
      <c r="L156" s="78" t="s">
        <v>2347</v>
      </c>
      <c r="M156" s="32" t="s">
        <v>2348</v>
      </c>
      <c r="N156">
        <v>382</v>
      </c>
      <c r="O156" t="str">
        <f t="shared" si="21"/>
        <v>EBTAQ25-01.261</v>
      </c>
      <c r="P156" t="str">
        <f t="shared" si="22"/>
        <v>Muhammad Syakir Rizqullah</v>
      </c>
      <c r="Q156" t="str">
        <f t="shared" si="23"/>
        <v>Laki-laki</v>
      </c>
      <c r="R156" t="str">
        <f t="shared" si="24"/>
        <v>Sidoarjo</v>
      </c>
      <c r="S156" s="21">
        <f t="shared" si="25"/>
        <v>42283</v>
      </c>
      <c r="T156" t="str">
        <f t="shared" si="26"/>
        <v>Imamul Muttaqin</v>
      </c>
      <c r="U156" t="str">
        <f t="shared" si="27"/>
        <v>Nasikhah</v>
      </c>
      <c r="V156" t="str">
        <f>VLOOKUP(O156,Lembar1!$A$4:$H$457,8,FALSE)</f>
        <v>BIO_Images/EBTAQ25-01.261.jpg</v>
      </c>
      <c r="W156" t="str">
        <f>IFERROR(VLOOKUP(O156,Lembar1!$A$4:$I$457,9,FALSE),C156)</f>
        <v>Demak - TPQ ALHUSNA (MI)</v>
      </c>
    </row>
    <row r="157" spans="1:23" ht="15.75" hidden="1" thickBot="1" x14ac:dyDescent="0.3">
      <c r="A157" s="49">
        <v>46001.638356481482</v>
      </c>
      <c r="B157" s="52" t="s">
        <v>10</v>
      </c>
      <c r="C157" s="52" t="s">
        <v>2219</v>
      </c>
      <c r="D157" s="52" t="s">
        <v>2349</v>
      </c>
      <c r="E157" s="52" t="s">
        <v>28</v>
      </c>
      <c r="F157" s="56">
        <v>42118</v>
      </c>
      <c r="G157" s="52" t="s">
        <v>2350</v>
      </c>
      <c r="H157" s="52" t="s">
        <v>2351</v>
      </c>
      <c r="I157" s="52" t="s">
        <v>66</v>
      </c>
      <c r="J157" s="59" t="s">
        <v>2352</v>
      </c>
      <c r="K157" s="52" t="s">
        <v>2353</v>
      </c>
      <c r="L157" s="77" t="s">
        <v>2354</v>
      </c>
      <c r="M157" s="37" t="s">
        <v>2355</v>
      </c>
      <c r="N157">
        <v>383</v>
      </c>
      <c r="O157" t="str">
        <f t="shared" si="21"/>
        <v>EBTAQ25-01.262</v>
      </c>
      <c r="P157" t="str">
        <f t="shared" si="22"/>
        <v>HAYKAL ABID HIDAYATULLAH</v>
      </c>
      <c r="Q157" t="str">
        <f t="shared" si="23"/>
        <v>Laki-laki</v>
      </c>
      <c r="R157" t="str">
        <f t="shared" si="24"/>
        <v>DEMAK</v>
      </c>
      <c r="S157" s="21">
        <f t="shared" si="25"/>
        <v>42118</v>
      </c>
      <c r="T157" t="str">
        <f t="shared" si="26"/>
        <v>ANDIK SETIYA</v>
      </c>
      <c r="U157" t="str">
        <f t="shared" si="27"/>
        <v>MARIA ULFA</v>
      </c>
      <c r="V157" t="str">
        <f>VLOOKUP(O157,Lembar1!$A$4:$H$457,8,FALSE)</f>
        <v>BIO_Images/EBTAQ25-01.262.jpg</v>
      </c>
      <c r="W157" t="str">
        <f>IFERROR(VLOOKUP(O157,Lembar1!$A$4:$I$457,9,FALSE),C157)</f>
        <v>Demak - TPQ ALHUSNA (MI)</v>
      </c>
    </row>
    <row r="158" spans="1:23" ht="15.75" hidden="1" thickBot="1" x14ac:dyDescent="0.3">
      <c r="A158" s="33">
        <v>46001.642164351855</v>
      </c>
      <c r="B158" s="34" t="s">
        <v>10</v>
      </c>
      <c r="C158" s="34" t="s">
        <v>2219</v>
      </c>
      <c r="D158" s="34" t="s">
        <v>2280</v>
      </c>
      <c r="E158" s="34" t="s">
        <v>28</v>
      </c>
      <c r="F158" s="35">
        <v>41861</v>
      </c>
      <c r="G158" s="34" t="s">
        <v>2281</v>
      </c>
      <c r="H158" s="34" t="s">
        <v>2282</v>
      </c>
      <c r="I158" s="34" t="s">
        <v>2</v>
      </c>
      <c r="J158" s="36" t="s">
        <v>2363</v>
      </c>
      <c r="K158" s="34" t="s">
        <v>2284</v>
      </c>
      <c r="L158" s="78" t="s">
        <v>2364</v>
      </c>
      <c r="M158" s="37" t="s">
        <v>2365</v>
      </c>
      <c r="N158">
        <v>384</v>
      </c>
      <c r="O158" t="str">
        <f t="shared" si="21"/>
        <v>EBTAQ25-01.263</v>
      </c>
      <c r="P158" t="str">
        <f t="shared" si="22"/>
        <v>BATRISYA BASHASHA</v>
      </c>
      <c r="Q158" t="str">
        <f t="shared" si="23"/>
        <v>Perempuan</v>
      </c>
      <c r="R158" t="str">
        <f t="shared" si="24"/>
        <v>DEMAK</v>
      </c>
      <c r="S158" s="21">
        <f t="shared" si="25"/>
        <v>41861</v>
      </c>
      <c r="T158" t="str">
        <f t="shared" si="26"/>
        <v>SUHARJO</v>
      </c>
      <c r="U158" t="str">
        <f t="shared" si="27"/>
        <v>EVA YUNI RAHMAWATI</v>
      </c>
      <c r="V158" t="str">
        <f>VLOOKUP(O158,Lembar1!$A$4:$H$457,8,FALSE)</f>
        <v>BIO_Images/EBTAQ25-01.263.jpg</v>
      </c>
      <c r="W158" t="str">
        <f>IFERROR(VLOOKUP(O158,Lembar1!$A$4:$I$457,9,FALSE),C158)</f>
        <v>Demak - TPQ ALHUSNA (MI)</v>
      </c>
    </row>
    <row r="159" spans="1:23" ht="15.75" hidden="1" thickBot="1" x14ac:dyDescent="0.3">
      <c r="A159" s="49">
        <v>46001.656504629631</v>
      </c>
      <c r="B159" s="52" t="s">
        <v>10</v>
      </c>
      <c r="C159" s="52" t="s">
        <v>2219</v>
      </c>
      <c r="D159" s="52" t="s">
        <v>2407</v>
      </c>
      <c r="E159" s="52" t="s">
        <v>28</v>
      </c>
      <c r="F159" s="56">
        <v>42674</v>
      </c>
      <c r="G159" s="52" t="s">
        <v>2408</v>
      </c>
      <c r="H159" s="52" t="s">
        <v>2409</v>
      </c>
      <c r="I159" s="52" t="s">
        <v>2</v>
      </c>
      <c r="J159" s="59" t="s">
        <v>2410</v>
      </c>
      <c r="K159" s="52" t="s">
        <v>2411</v>
      </c>
      <c r="L159" s="77" t="s">
        <v>2412</v>
      </c>
      <c r="M159" s="37" t="s">
        <v>2413</v>
      </c>
      <c r="N159">
        <v>385</v>
      </c>
      <c r="O159" t="str">
        <f t="shared" si="21"/>
        <v>EBTAQ25-01.266</v>
      </c>
      <c r="P159" t="str">
        <f t="shared" si="22"/>
        <v>INDIRA DWIKANIYA</v>
      </c>
      <c r="Q159" t="str">
        <f t="shared" si="23"/>
        <v>Perempuan</v>
      </c>
      <c r="R159" t="str">
        <f t="shared" si="24"/>
        <v>DEMAK</v>
      </c>
      <c r="S159" s="21">
        <f t="shared" si="25"/>
        <v>42674</v>
      </c>
      <c r="T159" t="str">
        <f t="shared" si="26"/>
        <v>SUPRIYATNO</v>
      </c>
      <c r="U159" t="str">
        <f t="shared" si="27"/>
        <v>WULAN INDRAYANI</v>
      </c>
      <c r="V159" t="str">
        <f>VLOOKUP(O159,Lembar1!$A$4:$H$457,8,FALSE)</f>
        <v>BIO_Images/EBTAQ25-01.266.jpg</v>
      </c>
      <c r="W159" t="str">
        <f>IFERROR(VLOOKUP(O159,Lembar1!$A$4:$I$457,9,FALSE),C159)</f>
        <v>Demak - TPQ ALHUSNA (MI)</v>
      </c>
    </row>
    <row r="160" spans="1:23" ht="15.75" hidden="1" thickBot="1" x14ac:dyDescent="0.3">
      <c r="A160" s="50">
        <v>46001.657476851855</v>
      </c>
      <c r="B160" s="53" t="s">
        <v>10</v>
      </c>
      <c r="C160" s="53" t="s">
        <v>2219</v>
      </c>
      <c r="D160" s="53" t="s">
        <v>2400</v>
      </c>
      <c r="E160" s="53" t="s">
        <v>10</v>
      </c>
      <c r="F160" s="57">
        <v>41492</v>
      </c>
      <c r="G160" s="53" t="s">
        <v>2401</v>
      </c>
      <c r="H160" s="53" t="s">
        <v>2402</v>
      </c>
      <c r="I160" s="53" t="s">
        <v>66</v>
      </c>
      <c r="J160" s="60" t="s">
        <v>2403</v>
      </c>
      <c r="K160" s="53" t="s">
        <v>2404</v>
      </c>
      <c r="L160" s="78" t="s">
        <v>2405</v>
      </c>
      <c r="M160" s="32" t="s">
        <v>2406</v>
      </c>
      <c r="N160">
        <v>386</v>
      </c>
      <c r="O160" t="str">
        <f t="shared" si="21"/>
        <v>EBTAQ25-01.265</v>
      </c>
      <c r="P160" t="str">
        <f t="shared" si="22"/>
        <v>ADZKA MAULANA YUSUF</v>
      </c>
      <c r="Q160" t="str">
        <f t="shared" si="23"/>
        <v>Laki-laki</v>
      </c>
      <c r="R160" t="str">
        <f t="shared" si="24"/>
        <v>Demak</v>
      </c>
      <c r="S160" s="21">
        <f t="shared" si="25"/>
        <v>41492</v>
      </c>
      <c r="T160" t="str">
        <f t="shared" si="26"/>
        <v>ASEP KURNIAWAN</v>
      </c>
      <c r="U160" t="str">
        <f t="shared" si="27"/>
        <v>ELISNA SEPTIANI</v>
      </c>
      <c r="V160" t="str">
        <f>VLOOKUP(O160,Lembar1!$A$4:$H$457,8,FALSE)</f>
        <v>BIO_Images/EBTAQ25-01.265.jpg</v>
      </c>
      <c r="W160" t="str">
        <f>IFERROR(VLOOKUP(O160,Lembar1!$A$4:$I$457,9,FALSE),C160)</f>
        <v>Demak - TPQ ALHUSNA (MI)</v>
      </c>
    </row>
    <row r="161" spans="1:23" ht="15.75" hidden="1" thickBot="1" x14ac:dyDescent="0.3">
      <c r="A161" s="28">
        <v>46001.66</v>
      </c>
      <c r="B161" s="29" t="s">
        <v>10</v>
      </c>
      <c r="C161" s="29" t="s">
        <v>2219</v>
      </c>
      <c r="D161" s="29" t="s">
        <v>2400</v>
      </c>
      <c r="E161" s="29" t="s">
        <v>10</v>
      </c>
      <c r="F161" s="30">
        <v>41492</v>
      </c>
      <c r="G161" s="29" t="s">
        <v>2401</v>
      </c>
      <c r="H161" s="29" t="s">
        <v>2402</v>
      </c>
      <c r="I161" s="29" t="s">
        <v>66</v>
      </c>
      <c r="J161" s="31" t="s">
        <v>2414</v>
      </c>
      <c r="K161" s="29" t="s">
        <v>2404</v>
      </c>
      <c r="L161" s="77" t="s">
        <v>2415</v>
      </c>
      <c r="M161" s="32" t="s">
        <v>2416</v>
      </c>
      <c r="N161">
        <v>387</v>
      </c>
      <c r="O161" t="str">
        <f t="shared" si="21"/>
        <v>EBTAQ25-01.267</v>
      </c>
      <c r="P161" t="str">
        <f t="shared" si="22"/>
        <v>ADZKA MAULANA YUSUF</v>
      </c>
      <c r="Q161" t="str">
        <f t="shared" si="23"/>
        <v>Laki-laki</v>
      </c>
      <c r="R161" t="str">
        <f t="shared" si="24"/>
        <v>Demak</v>
      </c>
      <c r="S161" s="21">
        <f t="shared" si="25"/>
        <v>41492</v>
      </c>
      <c r="T161" t="str">
        <f t="shared" si="26"/>
        <v>ASEP KURNIAWAN</v>
      </c>
      <c r="U161" t="str">
        <f t="shared" si="27"/>
        <v>ELISNA SEPTIANI</v>
      </c>
      <c r="V161" t="str">
        <f>VLOOKUP(O161,Lembar1!$A$4:$H$457,8,FALSE)</f>
        <v>BIO_Images/EBTAQ25-01.267.jpg</v>
      </c>
      <c r="W161" t="str">
        <f>IFERROR(VLOOKUP(O161,Lembar1!$A$4:$I$457,9,FALSE),C161)</f>
        <v>Demak - TPQ ALHUSNA (MI)</v>
      </c>
    </row>
    <row r="162" spans="1:23" ht="15.75" hidden="1" thickBot="1" x14ac:dyDescent="0.3">
      <c r="A162" s="33">
        <v>46001.661828703705</v>
      </c>
      <c r="B162" s="34" t="s">
        <v>10</v>
      </c>
      <c r="C162" s="34" t="s">
        <v>2219</v>
      </c>
      <c r="D162" s="34" t="s">
        <v>2417</v>
      </c>
      <c r="E162" s="34" t="s">
        <v>10</v>
      </c>
      <c r="F162" s="35">
        <v>42307</v>
      </c>
      <c r="G162" s="34" t="s">
        <v>2418</v>
      </c>
      <c r="H162" s="34" t="s">
        <v>2419</v>
      </c>
      <c r="I162" s="34" t="s">
        <v>66</v>
      </c>
      <c r="J162" s="36" t="s">
        <v>2420</v>
      </c>
      <c r="K162" s="34" t="s">
        <v>2421</v>
      </c>
      <c r="L162" s="78" t="s">
        <v>2422</v>
      </c>
      <c r="M162" s="37" t="s">
        <v>2423</v>
      </c>
      <c r="N162">
        <v>388</v>
      </c>
      <c r="O162" t="str">
        <f t="shared" si="21"/>
        <v>EBTAQ25-01.268</v>
      </c>
      <c r="P162" t="str">
        <f t="shared" si="22"/>
        <v>RIFKI RIDHO</v>
      </c>
      <c r="Q162" t="str">
        <f t="shared" si="23"/>
        <v>Laki-laki</v>
      </c>
      <c r="R162" t="str">
        <f t="shared" si="24"/>
        <v>Demak</v>
      </c>
      <c r="S162" s="21">
        <f t="shared" si="25"/>
        <v>42307</v>
      </c>
      <c r="T162" t="str">
        <f t="shared" si="26"/>
        <v>MUHIBBIN</v>
      </c>
      <c r="U162" t="str">
        <f t="shared" si="27"/>
        <v>SUMIYATI</v>
      </c>
      <c r="V162" t="str">
        <f>VLOOKUP(O162,Lembar1!$A$4:$H$457,8,FALSE)</f>
        <v>BIO_Images/EBTAQ25-01.268.jpg</v>
      </c>
      <c r="W162" t="str">
        <f>IFERROR(VLOOKUP(O162,Lembar1!$A$4:$I$457,9,FALSE),C162)</f>
        <v>Demak - TPQ ALHUSNA (MI)</v>
      </c>
    </row>
    <row r="163" spans="1:23" ht="15.75" hidden="1" thickBot="1" x14ac:dyDescent="0.3">
      <c r="A163" s="49">
        <v>46001.66673611111</v>
      </c>
      <c r="B163" s="52" t="s">
        <v>10</v>
      </c>
      <c r="C163" s="52" t="s">
        <v>2219</v>
      </c>
      <c r="D163" s="52" t="s">
        <v>2393</v>
      </c>
      <c r="E163" s="52" t="s">
        <v>59</v>
      </c>
      <c r="F163" s="56">
        <v>42929</v>
      </c>
      <c r="G163" s="52" t="s">
        <v>2394</v>
      </c>
      <c r="H163" s="52" t="s">
        <v>2395</v>
      </c>
      <c r="I163" s="52" t="s">
        <v>2</v>
      </c>
      <c r="J163" s="59" t="s">
        <v>2396</v>
      </c>
      <c r="K163" s="52" t="s">
        <v>2397</v>
      </c>
      <c r="L163" s="77" t="s">
        <v>2398</v>
      </c>
      <c r="M163" s="37" t="s">
        <v>2399</v>
      </c>
      <c r="N163">
        <v>389</v>
      </c>
      <c r="O163" t="str">
        <f t="shared" ref="O163:O226" si="28">L163</f>
        <v>EBTAQ25-01.264</v>
      </c>
      <c r="P163" t="str">
        <f t="shared" ref="P163:P226" si="29">D163</f>
        <v>Shakila Adzkiya Sakhi Hayza</v>
      </c>
      <c r="Q163" t="str">
        <f t="shared" ref="Q163:Q226" si="30">I163</f>
        <v>Perempuan</v>
      </c>
      <c r="R163" t="str">
        <f t="shared" ref="R163:R226" si="31">E163</f>
        <v>Semarang</v>
      </c>
      <c r="S163" s="21">
        <f t="shared" ref="S163:S226" si="32">F163</f>
        <v>42929</v>
      </c>
      <c r="T163" t="str">
        <f t="shared" ref="T163:T226" si="33">G163</f>
        <v>M. Satria Indra Purnama Sakti</v>
      </c>
      <c r="U163" t="str">
        <f t="shared" ref="U163:U226" si="34">H163</f>
        <v>Nur Chamidah</v>
      </c>
      <c r="V163" t="str">
        <f>VLOOKUP(O163,Lembar1!$A$4:$H$457,8,FALSE)</f>
        <v>BIO_Images/EBTAQ25-01.264.jpg</v>
      </c>
      <c r="W163" t="str">
        <f>IFERROR(VLOOKUP(O163,Lembar1!$A$4:$I$457,9,FALSE),C163)</f>
        <v>Demak - TPQ ALHUSNA (MI)</v>
      </c>
    </row>
    <row r="164" spans="1:23" ht="15.75" hidden="1" thickBot="1" x14ac:dyDescent="0.3">
      <c r="A164" s="33">
        <v>46001.668344907404</v>
      </c>
      <c r="B164" s="34" t="s">
        <v>10</v>
      </c>
      <c r="C164" s="34" t="s">
        <v>2219</v>
      </c>
      <c r="D164" s="34" t="s">
        <v>354</v>
      </c>
      <c r="E164" s="34" t="s">
        <v>1155</v>
      </c>
      <c r="F164" s="35">
        <v>42002</v>
      </c>
      <c r="G164" s="34" t="s">
        <v>2446</v>
      </c>
      <c r="H164" s="34" t="s">
        <v>2447</v>
      </c>
      <c r="I164" s="34" t="s">
        <v>66</v>
      </c>
      <c r="J164" s="36" t="s">
        <v>2448</v>
      </c>
      <c r="K164" s="34" t="s">
        <v>2449</v>
      </c>
      <c r="L164" s="78" t="s">
        <v>2450</v>
      </c>
      <c r="M164" s="37" t="s">
        <v>2451</v>
      </c>
      <c r="N164">
        <v>390</v>
      </c>
      <c r="O164" t="str">
        <f t="shared" si="28"/>
        <v>EBTAQ25-01.271</v>
      </c>
      <c r="P164" t="str">
        <f t="shared" si="29"/>
        <v>Fadhil Yaqdan Nasrullah</v>
      </c>
      <c r="Q164" t="str">
        <f t="shared" si="30"/>
        <v>Laki-laki</v>
      </c>
      <c r="R164" t="str">
        <f t="shared" si="31"/>
        <v>Pati</v>
      </c>
      <c r="S164" s="21">
        <f t="shared" si="32"/>
        <v>42002</v>
      </c>
      <c r="T164" t="str">
        <f t="shared" si="33"/>
        <v>Sarjito</v>
      </c>
      <c r="U164" t="str">
        <f t="shared" si="34"/>
        <v>Irna Muida</v>
      </c>
      <c r="V164" t="str">
        <f>VLOOKUP(O164,Lembar1!$A$4:$H$457,8,FALSE)</f>
        <v>BIO_Images/EBTAQ25-01.271.jpg</v>
      </c>
      <c r="W164" t="str">
        <f>IFERROR(VLOOKUP(O164,Lembar1!$A$4:$I$457,9,FALSE),C164)</f>
        <v>Demak - TPQ ALHUSNA (MI)</v>
      </c>
    </row>
    <row r="165" spans="1:23" ht="15.75" hidden="1" thickBot="1" x14ac:dyDescent="0.3">
      <c r="A165" s="49">
        <v>46001.670324074075</v>
      </c>
      <c r="B165" s="52" t="s">
        <v>10</v>
      </c>
      <c r="C165" s="52" t="s">
        <v>2219</v>
      </c>
      <c r="D165" s="52" t="s">
        <v>2431</v>
      </c>
      <c r="E165" s="52" t="s">
        <v>10</v>
      </c>
      <c r="F165" s="56">
        <v>42299</v>
      </c>
      <c r="G165" s="52" t="s">
        <v>2432</v>
      </c>
      <c r="H165" s="52" t="s">
        <v>2433</v>
      </c>
      <c r="I165" s="52" t="s">
        <v>66</v>
      </c>
      <c r="J165" s="59" t="s">
        <v>2434</v>
      </c>
      <c r="K165" s="52" t="s">
        <v>2435</v>
      </c>
      <c r="L165" s="77" t="s">
        <v>2436</v>
      </c>
      <c r="M165" s="37" t="s">
        <v>2437</v>
      </c>
      <c r="N165">
        <v>391</v>
      </c>
      <c r="O165" t="str">
        <f t="shared" si="28"/>
        <v>EBTAQ25-01.269</v>
      </c>
      <c r="P165" t="str">
        <f t="shared" si="29"/>
        <v>Muhammad Yasiin</v>
      </c>
      <c r="Q165" t="str">
        <f t="shared" si="30"/>
        <v>Laki-laki</v>
      </c>
      <c r="R165" t="str">
        <f t="shared" si="31"/>
        <v>Demak</v>
      </c>
      <c r="S165" s="21">
        <f t="shared" si="32"/>
        <v>42299</v>
      </c>
      <c r="T165" t="str">
        <f t="shared" si="33"/>
        <v>Suhartono</v>
      </c>
      <c r="U165" t="str">
        <f t="shared" si="34"/>
        <v>Tutik Subiyanti</v>
      </c>
      <c r="V165" t="str">
        <f>VLOOKUP(O165,Lembar1!$A$4:$H$457,8,FALSE)</f>
        <v>BIO_Images/EBTAQ25-01.269.jpg</v>
      </c>
      <c r="W165" t="str">
        <f>IFERROR(VLOOKUP(O165,Lembar1!$A$4:$I$457,9,FALSE),C165)</f>
        <v>Demak - TPQ ALHUSNA (MI)</v>
      </c>
    </row>
    <row r="166" spans="1:23" ht="15.75" hidden="1" thickBot="1" x14ac:dyDescent="0.3">
      <c r="A166" s="50">
        <v>46001.673368055555</v>
      </c>
      <c r="B166" s="53" t="s">
        <v>10</v>
      </c>
      <c r="C166" s="53" t="s">
        <v>2219</v>
      </c>
      <c r="D166" s="53" t="s">
        <v>2431</v>
      </c>
      <c r="E166" s="53" t="s">
        <v>10</v>
      </c>
      <c r="F166" s="57">
        <v>42299</v>
      </c>
      <c r="G166" s="53" t="s">
        <v>2466</v>
      </c>
      <c r="H166" s="53" t="s">
        <v>2467</v>
      </c>
      <c r="I166" s="53" t="s">
        <v>66</v>
      </c>
      <c r="J166" s="60" t="s">
        <v>2468</v>
      </c>
      <c r="K166" s="53" t="s">
        <v>2435</v>
      </c>
      <c r="L166" s="78" t="s">
        <v>2469</v>
      </c>
      <c r="M166" s="32" t="s">
        <v>2470</v>
      </c>
      <c r="N166">
        <v>392</v>
      </c>
      <c r="O166" t="str">
        <f t="shared" si="28"/>
        <v>EBTAQ25-01.272</v>
      </c>
      <c r="P166" t="str">
        <f t="shared" si="29"/>
        <v>Muhammad Yasiin</v>
      </c>
      <c r="Q166" t="str">
        <f t="shared" si="30"/>
        <v>Laki-laki</v>
      </c>
      <c r="R166" t="str">
        <f t="shared" si="31"/>
        <v>Demak</v>
      </c>
      <c r="S166" s="21">
        <f t="shared" si="32"/>
        <v>42299</v>
      </c>
      <c r="T166" t="str">
        <f t="shared" si="33"/>
        <v>SUHARTONO</v>
      </c>
      <c r="U166" t="str">
        <f t="shared" si="34"/>
        <v>TUTIK SUBIYANTI</v>
      </c>
      <c r="V166" t="str">
        <f>VLOOKUP(O166,Lembar1!$A$4:$H$457,8,FALSE)</f>
        <v>BIO_Images/EBTAQ25-01.272.jpg</v>
      </c>
      <c r="W166" t="str">
        <f>IFERROR(VLOOKUP(O166,Lembar1!$A$4:$I$457,9,FALSE),C166)</f>
        <v>Demak - TPQ ALHUSNA (MI)</v>
      </c>
    </row>
    <row r="167" spans="1:23" ht="15.75" hidden="1" thickBot="1" x14ac:dyDescent="0.3">
      <c r="A167" s="49">
        <v>46001.673611111109</v>
      </c>
      <c r="B167" s="52" t="s">
        <v>10</v>
      </c>
      <c r="C167" s="52" t="s">
        <v>2219</v>
      </c>
      <c r="D167" s="52" t="s">
        <v>354</v>
      </c>
      <c r="E167" s="52" t="s">
        <v>2471</v>
      </c>
      <c r="F167" s="56">
        <v>42002</v>
      </c>
      <c r="G167" s="52" t="s">
        <v>2446</v>
      </c>
      <c r="H167" s="52" t="s">
        <v>2447</v>
      </c>
      <c r="I167" s="52" t="s">
        <v>66</v>
      </c>
      <c r="J167" s="59" t="s">
        <v>2472</v>
      </c>
      <c r="K167" s="52" t="s">
        <v>2449</v>
      </c>
      <c r="L167" s="77" t="s">
        <v>2473</v>
      </c>
      <c r="M167" s="37" t="s">
        <v>2474</v>
      </c>
      <c r="N167">
        <v>393</v>
      </c>
      <c r="O167" t="str">
        <f t="shared" si="28"/>
        <v>EBTAQ25-01.273</v>
      </c>
      <c r="P167" t="str">
        <f t="shared" si="29"/>
        <v>Fadhil Yaqdan Nasrullah</v>
      </c>
      <c r="Q167" t="str">
        <f t="shared" si="30"/>
        <v>Laki-laki</v>
      </c>
      <c r="R167" t="str">
        <f t="shared" si="31"/>
        <v>Pati,29 Desember 2014</v>
      </c>
      <c r="S167" s="21">
        <f t="shared" si="32"/>
        <v>42002</v>
      </c>
      <c r="T167" t="str">
        <f t="shared" si="33"/>
        <v>Sarjito</v>
      </c>
      <c r="U167" t="str">
        <f t="shared" si="34"/>
        <v>Irna Muida</v>
      </c>
      <c r="V167" t="str">
        <f>VLOOKUP(O167,Lembar1!$A$4:$H$457,8,FALSE)</f>
        <v>BIO_Images/EBTAQ25-01.273.jpg</v>
      </c>
      <c r="W167" t="str">
        <f>IFERROR(VLOOKUP(O167,Lembar1!$A$4:$I$457,9,FALSE),C167)</f>
        <v>Demak - TPQ ALHUSNA (MI)</v>
      </c>
    </row>
    <row r="168" spans="1:23" ht="15.75" hidden="1" thickBot="1" x14ac:dyDescent="0.3">
      <c r="A168" s="50">
        <v>46001.674664351849</v>
      </c>
      <c r="B168" s="53" t="s">
        <v>10</v>
      </c>
      <c r="C168" s="53" t="s">
        <v>2219</v>
      </c>
      <c r="D168" s="53" t="s">
        <v>2400</v>
      </c>
      <c r="E168" s="53" t="s">
        <v>28</v>
      </c>
      <c r="F168" s="57">
        <v>41433</v>
      </c>
      <c r="G168" s="53" t="s">
        <v>2401</v>
      </c>
      <c r="H168" s="53" t="s">
        <v>2402</v>
      </c>
      <c r="I168" s="53" t="s">
        <v>66</v>
      </c>
      <c r="J168" s="60" t="s">
        <v>2475</v>
      </c>
      <c r="K168" s="53" t="s">
        <v>2476</v>
      </c>
      <c r="L168" s="78" t="s">
        <v>2477</v>
      </c>
      <c r="M168" s="32" t="s">
        <v>2478</v>
      </c>
      <c r="N168">
        <v>394</v>
      </c>
      <c r="O168" t="str">
        <f t="shared" si="28"/>
        <v>EBTAQ25-01.274</v>
      </c>
      <c r="P168" t="str">
        <f t="shared" si="29"/>
        <v>ADZKA MAULANA YUSUF</v>
      </c>
      <c r="Q168" t="str">
        <f t="shared" si="30"/>
        <v>Laki-laki</v>
      </c>
      <c r="R168" t="str">
        <f t="shared" si="31"/>
        <v>DEMAK</v>
      </c>
      <c r="S168" s="21">
        <f t="shared" si="32"/>
        <v>41433</v>
      </c>
      <c r="T168" t="str">
        <f t="shared" si="33"/>
        <v>ASEP KURNIAWAN</v>
      </c>
      <c r="U168" t="str">
        <f t="shared" si="34"/>
        <v>ELISNA SEPTIANI</v>
      </c>
      <c r="V168" t="str">
        <f>VLOOKUP(O168,Lembar1!$A$4:$H$457,8,FALSE)</f>
        <v>BIO_Images/EBTAQ25-01.274.jpg</v>
      </c>
      <c r="W168" t="str">
        <f>IFERROR(VLOOKUP(O168,Lembar1!$A$4:$I$457,9,FALSE),C168)</f>
        <v>Demak - TPQ ALHUSNA (MI)</v>
      </c>
    </row>
    <row r="169" spans="1:23" ht="15.75" hidden="1" thickBot="1" x14ac:dyDescent="0.3">
      <c r="A169" s="28">
        <v>46001.675613425927</v>
      </c>
      <c r="B169" s="29" t="s">
        <v>10</v>
      </c>
      <c r="C169" s="29" t="s">
        <v>2219</v>
      </c>
      <c r="D169" s="29" t="s">
        <v>2431</v>
      </c>
      <c r="E169" s="29" t="s">
        <v>28</v>
      </c>
      <c r="F169" s="30">
        <v>42299</v>
      </c>
      <c r="G169" s="29" t="s">
        <v>2432</v>
      </c>
      <c r="H169" s="29" t="s">
        <v>2433</v>
      </c>
      <c r="I169" s="29" t="s">
        <v>66</v>
      </c>
      <c r="J169" s="31" t="s">
        <v>2486</v>
      </c>
      <c r="K169" s="29" t="s">
        <v>2435</v>
      </c>
      <c r="L169" s="77" t="s">
        <v>2487</v>
      </c>
      <c r="M169" s="32" t="s">
        <v>2488</v>
      </c>
      <c r="N169">
        <v>395</v>
      </c>
      <c r="O169" t="str">
        <f t="shared" si="28"/>
        <v>EBTAQ25-01.275</v>
      </c>
      <c r="P169" t="str">
        <f t="shared" si="29"/>
        <v>Muhammad Yasiin</v>
      </c>
      <c r="Q169" t="str">
        <f t="shared" si="30"/>
        <v>Laki-laki</v>
      </c>
      <c r="R169" t="str">
        <f t="shared" si="31"/>
        <v>DEMAK</v>
      </c>
      <c r="S169" s="21">
        <f t="shared" si="32"/>
        <v>42299</v>
      </c>
      <c r="T169" t="str">
        <f t="shared" si="33"/>
        <v>Suhartono</v>
      </c>
      <c r="U169" t="str">
        <f t="shared" si="34"/>
        <v>Tutik Subiyanti</v>
      </c>
      <c r="V169" t="str">
        <f>VLOOKUP(O169,Lembar1!$A$4:$H$457,8,FALSE)</f>
        <v>BIO_Images/EBTAQ25-01.275.jpg</v>
      </c>
      <c r="W169" t="str">
        <f>IFERROR(VLOOKUP(O169,Lembar1!$A$4:$I$457,9,FALSE),C169)</f>
        <v>Demak - TPQ ALHUSNA (MI)</v>
      </c>
    </row>
    <row r="170" spans="1:23" ht="15.75" hidden="1" thickBot="1" x14ac:dyDescent="0.3">
      <c r="A170" s="50">
        <v>46001.677569444444</v>
      </c>
      <c r="B170" s="53" t="s">
        <v>10</v>
      </c>
      <c r="C170" s="53" t="s">
        <v>2219</v>
      </c>
      <c r="D170" s="53" t="s">
        <v>2496</v>
      </c>
      <c r="E170" s="53" t="s">
        <v>28</v>
      </c>
      <c r="F170" s="57">
        <v>42553</v>
      </c>
      <c r="G170" s="53" t="s">
        <v>2497</v>
      </c>
      <c r="H170" s="53" t="s">
        <v>2498</v>
      </c>
      <c r="I170" s="53" t="s">
        <v>2</v>
      </c>
      <c r="J170" s="60" t="s">
        <v>2499</v>
      </c>
      <c r="K170" s="53" t="s">
        <v>2500</v>
      </c>
      <c r="L170" s="78" t="s">
        <v>2501</v>
      </c>
      <c r="M170" s="32" t="s">
        <v>2502</v>
      </c>
      <c r="N170">
        <v>396</v>
      </c>
      <c r="O170" t="str">
        <f t="shared" si="28"/>
        <v>EBTAQ25-01.276</v>
      </c>
      <c r="P170" t="str">
        <f t="shared" si="29"/>
        <v>NAZZAHRA FLORENZIA HAQQI</v>
      </c>
      <c r="Q170" t="str">
        <f t="shared" si="30"/>
        <v>Perempuan</v>
      </c>
      <c r="R170" t="str">
        <f t="shared" si="31"/>
        <v>DEMAK</v>
      </c>
      <c r="S170" s="21">
        <f t="shared" si="32"/>
        <v>42553</v>
      </c>
      <c r="T170" t="str">
        <f t="shared" si="33"/>
        <v>BARKAH ULHAQ ARI WIDODO</v>
      </c>
      <c r="U170" t="str">
        <f t="shared" si="34"/>
        <v>CITRAYOGI CAHYO SUNDARI</v>
      </c>
      <c r="V170" t="str">
        <f>VLOOKUP(O170,Lembar1!$A$4:$H$457,8,FALSE)</f>
        <v>BIO_Images/EBTAQ25-01.276.jpg</v>
      </c>
      <c r="W170" t="str">
        <f>IFERROR(VLOOKUP(O170,Lembar1!$A$4:$I$457,9,FALSE),C170)</f>
        <v>Demak - TPQ ALHUSNA (MI)</v>
      </c>
    </row>
    <row r="171" spans="1:23" ht="15.75" hidden="1" thickBot="1" x14ac:dyDescent="0.3">
      <c r="A171" s="49">
        <v>46001.677766203706</v>
      </c>
      <c r="B171" s="52" t="s">
        <v>10</v>
      </c>
      <c r="C171" s="52" t="s">
        <v>2219</v>
      </c>
      <c r="D171" s="52" t="s">
        <v>2503</v>
      </c>
      <c r="E171" s="52" t="s">
        <v>10</v>
      </c>
      <c r="F171" s="56">
        <v>42543</v>
      </c>
      <c r="G171" s="52" t="s">
        <v>2504</v>
      </c>
      <c r="H171" s="52" t="s">
        <v>2505</v>
      </c>
      <c r="I171" s="52" t="s">
        <v>66</v>
      </c>
      <c r="J171" s="59" t="s">
        <v>2506</v>
      </c>
      <c r="K171" s="52" t="s">
        <v>2507</v>
      </c>
      <c r="L171" s="77" t="s">
        <v>2508</v>
      </c>
      <c r="M171" s="37" t="s">
        <v>2509</v>
      </c>
      <c r="N171">
        <v>397</v>
      </c>
      <c r="O171" t="str">
        <f t="shared" si="28"/>
        <v>EBTAQ25-01.277</v>
      </c>
      <c r="P171" t="str">
        <f t="shared" si="29"/>
        <v>Muhammad Nazzala Furqon Aly</v>
      </c>
      <c r="Q171" t="str">
        <f t="shared" si="30"/>
        <v>Laki-laki</v>
      </c>
      <c r="R171" t="str">
        <f t="shared" si="31"/>
        <v>Demak</v>
      </c>
      <c r="S171" s="21">
        <f t="shared" si="32"/>
        <v>42543</v>
      </c>
      <c r="T171" t="str">
        <f t="shared" si="33"/>
        <v>Ali Chamdan</v>
      </c>
      <c r="U171" t="str">
        <f t="shared" si="34"/>
        <v>Fatimah</v>
      </c>
      <c r="V171" t="str">
        <f>VLOOKUP(O171,Lembar1!$A$4:$H$457,8,FALSE)</f>
        <v>BIO_Images/EBTAQ25-01.277.jpg</v>
      </c>
      <c r="W171" t="str">
        <f>IFERROR(VLOOKUP(O171,Lembar1!$A$4:$I$457,9,FALSE),C171)</f>
        <v>Demak - TPQ ALHUSNA (MI)</v>
      </c>
    </row>
    <row r="172" spans="1:23" ht="15.75" hidden="1" thickBot="1" x14ac:dyDescent="0.3">
      <c r="A172" s="33">
        <v>46001.678217592591</v>
      </c>
      <c r="B172" s="34" t="s">
        <v>10</v>
      </c>
      <c r="C172" s="34" t="s">
        <v>2219</v>
      </c>
      <c r="D172" s="34" t="s">
        <v>2431</v>
      </c>
      <c r="E172" s="34" t="s">
        <v>2517</v>
      </c>
      <c r="F172" s="35">
        <v>42299</v>
      </c>
      <c r="G172" s="34" t="s">
        <v>2466</v>
      </c>
      <c r="H172" s="34" t="s">
        <v>2467</v>
      </c>
      <c r="I172" s="34" t="s">
        <v>66</v>
      </c>
      <c r="J172" s="36" t="s">
        <v>2518</v>
      </c>
      <c r="K172" s="34" t="s">
        <v>2435</v>
      </c>
      <c r="L172" s="78" t="s">
        <v>2519</v>
      </c>
      <c r="M172" s="37" t="s">
        <v>2520</v>
      </c>
      <c r="N172">
        <v>398</v>
      </c>
      <c r="O172" t="str">
        <f t="shared" si="28"/>
        <v>EBTAQ25-01.279</v>
      </c>
      <c r="P172" t="str">
        <f t="shared" si="29"/>
        <v>Muhammad Yasiin</v>
      </c>
      <c r="Q172" t="str">
        <f t="shared" si="30"/>
        <v>Laki-laki</v>
      </c>
      <c r="R172" t="str">
        <f t="shared" si="31"/>
        <v>Demak, 22-Oktober-2015</v>
      </c>
      <c r="S172" s="21">
        <f t="shared" si="32"/>
        <v>42299</v>
      </c>
      <c r="T172" t="str">
        <f t="shared" si="33"/>
        <v>SUHARTONO</v>
      </c>
      <c r="U172" t="str">
        <f t="shared" si="34"/>
        <v>TUTIK SUBIYANTI</v>
      </c>
      <c r="V172" t="str">
        <f>VLOOKUP(O172,Lembar1!$A$4:$H$457,8,FALSE)</f>
        <v>BIO_Images/EBTAQ25-01.279.jpg</v>
      </c>
      <c r="W172" t="str">
        <f>IFERROR(VLOOKUP(O172,Lembar1!$A$4:$I$457,9,FALSE),C172)</f>
        <v>Demak - TPQ ALHUSNA (MI)</v>
      </c>
    </row>
    <row r="173" spans="1:23" ht="15.75" hidden="1" thickBot="1" x14ac:dyDescent="0.3">
      <c r="A173" s="28">
        <v>46001.680138888885</v>
      </c>
      <c r="B173" s="29" t="s">
        <v>10</v>
      </c>
      <c r="C173" s="29" t="s">
        <v>2219</v>
      </c>
      <c r="D173" s="29" t="s">
        <v>2521</v>
      </c>
      <c r="E173" s="29" t="s">
        <v>10</v>
      </c>
      <c r="F173" s="30">
        <v>42788</v>
      </c>
      <c r="G173" s="29" t="s">
        <v>2522</v>
      </c>
      <c r="H173" s="29" t="s">
        <v>2523</v>
      </c>
      <c r="I173" s="29" t="s">
        <v>2</v>
      </c>
      <c r="J173" s="31" t="s">
        <v>2524</v>
      </c>
      <c r="K173" s="29" t="s">
        <v>2525</v>
      </c>
      <c r="L173" s="77" t="s">
        <v>2526</v>
      </c>
      <c r="M173" s="32" t="s">
        <v>2527</v>
      </c>
      <c r="N173">
        <v>399</v>
      </c>
      <c r="O173" t="str">
        <f t="shared" si="28"/>
        <v>EBTAQ25-01.280</v>
      </c>
      <c r="P173" t="str">
        <f t="shared" si="29"/>
        <v>Anggie renata lokeswari</v>
      </c>
      <c r="Q173" t="str">
        <f t="shared" si="30"/>
        <v>Perempuan</v>
      </c>
      <c r="R173" t="str">
        <f t="shared" si="31"/>
        <v>Demak</v>
      </c>
      <c r="S173" s="21">
        <f t="shared" si="32"/>
        <v>42788</v>
      </c>
      <c r="T173" t="str">
        <f t="shared" si="33"/>
        <v>Qomari</v>
      </c>
      <c r="U173" t="str">
        <f t="shared" si="34"/>
        <v>Hening pratiwi</v>
      </c>
      <c r="V173" t="str">
        <f>VLOOKUP(O173,Lembar1!$A$4:$H$457,8,FALSE)</f>
        <v>BIO_Images/EBTAQ25-01.280.jpg</v>
      </c>
      <c r="W173" t="str">
        <f>IFERROR(VLOOKUP(O173,Lembar1!$A$4:$I$457,9,FALSE),C173)</f>
        <v>Demak - TPQ ALHUSNA (MI)</v>
      </c>
    </row>
    <row r="174" spans="1:23" ht="15.75" hidden="1" thickBot="1" x14ac:dyDescent="0.3">
      <c r="A174" s="50">
        <v>46001.681747685187</v>
      </c>
      <c r="B174" s="53" t="s">
        <v>10</v>
      </c>
      <c r="C174" s="53" t="s">
        <v>2219</v>
      </c>
      <c r="D174" s="53" t="s">
        <v>354</v>
      </c>
      <c r="E174" s="53" t="s">
        <v>1155</v>
      </c>
      <c r="F174" s="57">
        <v>42002</v>
      </c>
      <c r="G174" s="53" t="s">
        <v>2446</v>
      </c>
      <c r="H174" s="53" t="s">
        <v>2447</v>
      </c>
      <c r="I174" s="53" t="s">
        <v>66</v>
      </c>
      <c r="J174" s="60" t="s">
        <v>2535</v>
      </c>
      <c r="K174" s="53" t="s">
        <v>2449</v>
      </c>
      <c r="L174" s="78" t="s">
        <v>2536</v>
      </c>
      <c r="M174" s="32" t="s">
        <v>2537</v>
      </c>
      <c r="N174">
        <v>400</v>
      </c>
      <c r="O174" t="str">
        <f t="shared" si="28"/>
        <v>EBTAQ25-01.281</v>
      </c>
      <c r="P174" t="str">
        <f t="shared" si="29"/>
        <v>Fadhil Yaqdan Nasrullah</v>
      </c>
      <c r="Q174" t="str">
        <f t="shared" si="30"/>
        <v>Laki-laki</v>
      </c>
      <c r="R174" t="str">
        <f t="shared" si="31"/>
        <v>Pati</v>
      </c>
      <c r="S174" s="21">
        <f t="shared" si="32"/>
        <v>42002</v>
      </c>
      <c r="T174" t="str">
        <f t="shared" si="33"/>
        <v>Sarjito</v>
      </c>
      <c r="U174" t="str">
        <f t="shared" si="34"/>
        <v>Irna Muida</v>
      </c>
      <c r="V174" t="str">
        <f>VLOOKUP(O174,Lembar1!$A$4:$H$457,8,FALSE)</f>
        <v>BIO_Images/EBTAQ25-01.281.jpg</v>
      </c>
      <c r="W174" t="str">
        <f>IFERROR(VLOOKUP(O174,Lembar1!$A$4:$I$457,9,FALSE),C174)</f>
        <v>Demak - TPQ ALHUSNA (MI)</v>
      </c>
    </row>
    <row r="175" spans="1:23" ht="15.75" hidden="1" thickBot="1" x14ac:dyDescent="0.3">
      <c r="A175" s="49">
        <v>46001.682789351849</v>
      </c>
      <c r="B175" s="52" t="s">
        <v>10</v>
      </c>
      <c r="C175" s="52" t="s">
        <v>2219</v>
      </c>
      <c r="D175" s="52" t="s">
        <v>2538</v>
      </c>
      <c r="E175" s="52" t="s">
        <v>10</v>
      </c>
      <c r="F175" s="56">
        <v>41967</v>
      </c>
      <c r="G175" s="52" t="s">
        <v>2539</v>
      </c>
      <c r="H175" s="52" t="s">
        <v>2540</v>
      </c>
      <c r="I175" s="52" t="s">
        <v>66</v>
      </c>
      <c r="J175" s="59" t="s">
        <v>2541</v>
      </c>
      <c r="K175" s="52" t="s">
        <v>2542</v>
      </c>
      <c r="L175" s="77" t="s">
        <v>2543</v>
      </c>
      <c r="M175" s="37" t="s">
        <v>2544</v>
      </c>
      <c r="N175">
        <v>401</v>
      </c>
      <c r="O175" t="str">
        <f t="shared" si="28"/>
        <v>EBTAQ25-01.282</v>
      </c>
      <c r="P175" t="str">
        <f t="shared" si="29"/>
        <v>ZUKA' NABRIS AHMAD</v>
      </c>
      <c r="Q175" t="str">
        <f t="shared" si="30"/>
        <v>Laki-laki</v>
      </c>
      <c r="R175" t="str">
        <f t="shared" si="31"/>
        <v>Demak</v>
      </c>
      <c r="S175" s="21">
        <f t="shared" si="32"/>
        <v>41967</v>
      </c>
      <c r="T175" t="str">
        <f t="shared" si="33"/>
        <v>Ezra Alfresco (Alm)</v>
      </c>
      <c r="U175" t="str">
        <f t="shared" si="34"/>
        <v>Nihaya Tsuroya</v>
      </c>
      <c r="V175" t="str">
        <f>VLOOKUP(O175,Lembar1!$A$4:$H$457,8,FALSE)</f>
        <v>BIO_Images/EBTAQ25-01.282.jpg</v>
      </c>
      <c r="W175" t="str">
        <f>IFERROR(VLOOKUP(O175,Lembar1!$A$4:$I$457,9,FALSE),C175)</f>
        <v>Demak - TPQ ALHUSNA (MI)</v>
      </c>
    </row>
    <row r="176" spans="1:23" ht="15.75" hidden="1" thickBot="1" x14ac:dyDescent="0.3">
      <c r="A176" s="50">
        <v>46001.685532407406</v>
      </c>
      <c r="B176" s="53" t="s">
        <v>10</v>
      </c>
      <c r="C176" s="53" t="s">
        <v>2219</v>
      </c>
      <c r="D176" s="53" t="s">
        <v>2330</v>
      </c>
      <c r="E176" s="53" t="s">
        <v>59</v>
      </c>
      <c r="F176" s="57">
        <v>42030</v>
      </c>
      <c r="G176" s="53" t="s">
        <v>2331</v>
      </c>
      <c r="H176" s="53" t="s">
        <v>2332</v>
      </c>
      <c r="I176" s="53" t="s">
        <v>66</v>
      </c>
      <c r="J176" s="60" t="s">
        <v>2545</v>
      </c>
      <c r="K176" s="53" t="s">
        <v>2334</v>
      </c>
      <c r="L176" s="78" t="s">
        <v>2546</v>
      </c>
      <c r="M176" s="32" t="s">
        <v>2547</v>
      </c>
      <c r="N176">
        <v>402</v>
      </c>
      <c r="O176" t="str">
        <f t="shared" si="28"/>
        <v>EBTAQ25-01.283</v>
      </c>
      <c r="P176" t="str">
        <f t="shared" si="29"/>
        <v>Muhammad Abyakta Annur</v>
      </c>
      <c r="Q176" t="str">
        <f t="shared" si="30"/>
        <v>Laki-laki</v>
      </c>
      <c r="R176" t="str">
        <f t="shared" si="31"/>
        <v>Semarang</v>
      </c>
      <c r="S176" s="21">
        <f t="shared" si="32"/>
        <v>42030</v>
      </c>
      <c r="T176" t="str">
        <f t="shared" si="33"/>
        <v>Andi Mas Andi</v>
      </c>
      <c r="U176" t="str">
        <f t="shared" si="34"/>
        <v>Nur Hamidah</v>
      </c>
      <c r="V176" t="str">
        <f>VLOOKUP(O176,Lembar1!$A$4:$H$457,8,FALSE)</f>
        <v>BIO_Images/EBTAQ25-01.283.jpg</v>
      </c>
      <c r="W176" t="str">
        <f>IFERROR(VLOOKUP(O176,Lembar1!$A$4:$I$457,9,FALSE),C176)</f>
        <v>Demak - TPQ ALHUSNA (MI)</v>
      </c>
    </row>
    <row r="177" spans="1:23" ht="15.75" hidden="1" thickBot="1" x14ac:dyDescent="0.3">
      <c r="A177" s="28">
        <v>46001.700324074074</v>
      </c>
      <c r="B177" s="29" t="s">
        <v>10</v>
      </c>
      <c r="C177" s="29" t="s">
        <v>2219</v>
      </c>
      <c r="D177" s="29" t="s">
        <v>2594</v>
      </c>
      <c r="E177" s="29" t="s">
        <v>10</v>
      </c>
      <c r="F177" s="30">
        <v>42281</v>
      </c>
      <c r="G177" s="29" t="s">
        <v>2595</v>
      </c>
      <c r="H177" s="29" t="s">
        <v>2596</v>
      </c>
      <c r="I177" s="29" t="s">
        <v>2</v>
      </c>
      <c r="J177" s="31" t="s">
        <v>2597</v>
      </c>
      <c r="K177" s="29" t="s">
        <v>2598</v>
      </c>
      <c r="L177" s="77" t="s">
        <v>2599</v>
      </c>
      <c r="M177" s="32" t="s">
        <v>2600</v>
      </c>
      <c r="N177">
        <v>403</v>
      </c>
      <c r="O177" t="str">
        <f t="shared" si="28"/>
        <v>EBTAQ25-01.285</v>
      </c>
      <c r="P177" t="str">
        <f t="shared" si="29"/>
        <v>Nasyahila ufaira marwa</v>
      </c>
      <c r="Q177" t="str">
        <f t="shared" si="30"/>
        <v>Perempuan</v>
      </c>
      <c r="R177" t="str">
        <f t="shared" si="31"/>
        <v>Demak</v>
      </c>
      <c r="S177" s="21">
        <f t="shared" si="32"/>
        <v>42281</v>
      </c>
      <c r="T177" t="str">
        <f t="shared" si="33"/>
        <v>Nur khamim</v>
      </c>
      <c r="U177" t="str">
        <f t="shared" si="34"/>
        <v>Kholis wati</v>
      </c>
      <c r="V177" t="str">
        <f>VLOOKUP(O177,Lembar1!$A$4:$H$457,8,FALSE)</f>
        <v>BIO_Images/EBTAQ25-01.285.jpg</v>
      </c>
      <c r="W177" t="str">
        <f>IFERROR(VLOOKUP(O177,Lembar1!$A$4:$I$457,9,FALSE),C177)</f>
        <v>Demak - TPQ ALHUSNA (MI)</v>
      </c>
    </row>
    <row r="178" spans="1:23" ht="15.75" hidden="1" thickBot="1" x14ac:dyDescent="0.3">
      <c r="A178" s="33">
        <v>46001.701111111113</v>
      </c>
      <c r="B178" s="34" t="s">
        <v>10</v>
      </c>
      <c r="C178" s="34" t="s">
        <v>2219</v>
      </c>
      <c r="D178" s="34" t="s">
        <v>2601</v>
      </c>
      <c r="E178" s="34" t="s">
        <v>59</v>
      </c>
      <c r="F178" s="35">
        <v>41917</v>
      </c>
      <c r="G178" s="34" t="s">
        <v>2602</v>
      </c>
      <c r="H178" s="34" t="s">
        <v>2603</v>
      </c>
      <c r="I178" s="34" t="s">
        <v>66</v>
      </c>
      <c r="J178" s="36" t="s">
        <v>2604</v>
      </c>
      <c r="K178" s="34" t="s">
        <v>2605</v>
      </c>
      <c r="L178" s="78" t="s">
        <v>2606</v>
      </c>
      <c r="M178" s="37" t="s">
        <v>2607</v>
      </c>
      <c r="N178">
        <v>404</v>
      </c>
      <c r="O178" t="str">
        <f t="shared" si="28"/>
        <v>EBTAQ25-01.286</v>
      </c>
      <c r="P178" t="str">
        <f t="shared" si="29"/>
        <v>AFLAH DHAIFULLAH</v>
      </c>
      <c r="Q178" t="str">
        <f t="shared" si="30"/>
        <v>Laki-laki</v>
      </c>
      <c r="R178" t="str">
        <f t="shared" si="31"/>
        <v>Semarang</v>
      </c>
      <c r="S178" s="21">
        <f t="shared" si="32"/>
        <v>41917</v>
      </c>
      <c r="T178" t="str">
        <f t="shared" si="33"/>
        <v>Agil Wistyanto</v>
      </c>
      <c r="U178" t="str">
        <f t="shared" si="34"/>
        <v>Riris Sulistyowati</v>
      </c>
      <c r="V178" t="str">
        <f>VLOOKUP(O178,Lembar1!$A$4:$H$457,8,FALSE)</f>
        <v>BIO_Images/EBTAQ25-01.286.jpg</v>
      </c>
      <c r="W178" t="str">
        <f>IFERROR(VLOOKUP(O178,Lembar1!$A$4:$I$457,9,FALSE),C178)</f>
        <v>Demak - TPQ ALHUSNA (MI)</v>
      </c>
    </row>
    <row r="179" spans="1:23" ht="15.75" hidden="1" thickBot="1" x14ac:dyDescent="0.3">
      <c r="A179" s="28">
        <v>46001.702361111114</v>
      </c>
      <c r="B179" s="29" t="s">
        <v>10</v>
      </c>
      <c r="C179" s="29" t="s">
        <v>2219</v>
      </c>
      <c r="D179" s="29" t="s">
        <v>2608</v>
      </c>
      <c r="E179" s="29" t="s">
        <v>10</v>
      </c>
      <c r="F179" s="30">
        <v>41925</v>
      </c>
      <c r="G179" s="29" t="s">
        <v>2609</v>
      </c>
      <c r="H179" s="29" t="s">
        <v>2610</v>
      </c>
      <c r="I179" s="29" t="s">
        <v>66</v>
      </c>
      <c r="J179" s="31" t="s">
        <v>2611</v>
      </c>
      <c r="K179" s="29" t="s">
        <v>2612</v>
      </c>
      <c r="L179" s="77" t="s">
        <v>2613</v>
      </c>
      <c r="M179" s="32" t="s">
        <v>2614</v>
      </c>
      <c r="N179">
        <v>405</v>
      </c>
      <c r="O179" t="str">
        <f t="shared" si="28"/>
        <v>EBTAQ25-01.287</v>
      </c>
      <c r="P179" t="str">
        <f t="shared" si="29"/>
        <v>Muhammad Vallentino Kevin El Fasya</v>
      </c>
      <c r="Q179" t="str">
        <f t="shared" si="30"/>
        <v>Laki-laki</v>
      </c>
      <c r="R179" t="str">
        <f t="shared" si="31"/>
        <v>Demak</v>
      </c>
      <c r="S179" s="21">
        <f t="shared" si="32"/>
        <v>41925</v>
      </c>
      <c r="T179" t="str">
        <f t="shared" si="33"/>
        <v>Heri Kiswanto</v>
      </c>
      <c r="U179" t="str">
        <f t="shared" si="34"/>
        <v>Ana Zulfa Rahmawati</v>
      </c>
      <c r="V179" t="str">
        <f>VLOOKUP(O179,Lembar1!$A$4:$H$457,8,FALSE)</f>
        <v>BIO_Images/EBTAQ25-01.287.jpeg</v>
      </c>
      <c r="W179" t="str">
        <f>IFERROR(VLOOKUP(O179,Lembar1!$A$4:$I$457,9,FALSE),C179)</f>
        <v>Demak - TPQ ALHUSNA (MI)</v>
      </c>
    </row>
    <row r="180" spans="1:23" ht="15.75" hidden="1" thickBot="1" x14ac:dyDescent="0.3">
      <c r="A180" s="50">
        <v>46001.703935185185</v>
      </c>
      <c r="B180" s="53" t="s">
        <v>10</v>
      </c>
      <c r="C180" s="53" t="s">
        <v>2219</v>
      </c>
      <c r="D180" s="53" t="s">
        <v>2601</v>
      </c>
      <c r="E180" s="53" t="s">
        <v>59</v>
      </c>
      <c r="F180" s="57">
        <v>41917</v>
      </c>
      <c r="G180" s="53" t="s">
        <v>2602</v>
      </c>
      <c r="H180" s="53" t="s">
        <v>2603</v>
      </c>
      <c r="I180" s="53" t="s">
        <v>66</v>
      </c>
      <c r="J180" s="60" t="s">
        <v>2622</v>
      </c>
      <c r="K180" s="53" t="s">
        <v>2623</v>
      </c>
      <c r="L180" s="78" t="s">
        <v>2624</v>
      </c>
      <c r="M180" s="32" t="s">
        <v>2625</v>
      </c>
      <c r="N180">
        <v>406</v>
      </c>
      <c r="O180" t="str">
        <f t="shared" si="28"/>
        <v>EBTAQ25-01.288</v>
      </c>
      <c r="P180" t="str">
        <f t="shared" si="29"/>
        <v>AFLAH DHAIFULLAH</v>
      </c>
      <c r="Q180" t="str">
        <f t="shared" si="30"/>
        <v>Laki-laki</v>
      </c>
      <c r="R180" t="str">
        <f t="shared" si="31"/>
        <v>Semarang</v>
      </c>
      <c r="S180" s="21">
        <f t="shared" si="32"/>
        <v>41917</v>
      </c>
      <c r="T180" t="str">
        <f t="shared" si="33"/>
        <v>Agil Wistyanto</v>
      </c>
      <c r="U180" t="str">
        <f t="shared" si="34"/>
        <v>Riris Sulistyowati</v>
      </c>
      <c r="V180" t="str">
        <f>VLOOKUP(O180,Lembar1!$A$4:$H$457,8,FALSE)</f>
        <v>BIO_Images/EBTAQ25-01.288.jpg</v>
      </c>
      <c r="W180" t="str">
        <f>IFERROR(VLOOKUP(O180,Lembar1!$A$4:$I$457,9,FALSE),C180)</f>
        <v>Demak - TPQ ALHUSNA (MI)</v>
      </c>
    </row>
    <row r="181" spans="1:23" ht="15.75" hidden="1" thickBot="1" x14ac:dyDescent="0.3">
      <c r="A181" s="28">
        <v>46001.706817129627</v>
      </c>
      <c r="B181" s="29" t="s">
        <v>10</v>
      </c>
      <c r="C181" s="29" t="s">
        <v>2219</v>
      </c>
      <c r="D181" s="29" t="s">
        <v>2294</v>
      </c>
      <c r="E181" s="29" t="s">
        <v>2295</v>
      </c>
      <c r="F181" s="30">
        <v>41547</v>
      </c>
      <c r="G181" s="29" t="s">
        <v>2296</v>
      </c>
      <c r="H181" s="29" t="s">
        <v>2297</v>
      </c>
      <c r="I181" s="29" t="s">
        <v>2</v>
      </c>
      <c r="J181" s="31" t="s">
        <v>2634</v>
      </c>
      <c r="K181" s="29" t="s">
        <v>2635</v>
      </c>
      <c r="L181" s="77" t="s">
        <v>2636</v>
      </c>
      <c r="M181" s="32" t="s">
        <v>2637</v>
      </c>
      <c r="N181">
        <v>407</v>
      </c>
      <c r="O181" t="str">
        <f t="shared" si="28"/>
        <v>EBTAQ25-01.290</v>
      </c>
      <c r="P181" t="str">
        <f t="shared" si="29"/>
        <v>Afra Hanan Fatin Nurullah</v>
      </c>
      <c r="Q181" t="str">
        <f t="shared" si="30"/>
        <v>Perempuan</v>
      </c>
      <c r="R181" t="str">
        <f t="shared" si="31"/>
        <v>Pemalang</v>
      </c>
      <c r="S181" s="21">
        <f t="shared" si="32"/>
        <v>41547</v>
      </c>
      <c r="T181" t="str">
        <f t="shared" si="33"/>
        <v>Mohamad Nurulloh</v>
      </c>
      <c r="U181" t="str">
        <f t="shared" si="34"/>
        <v>Khomsatul Hidayati</v>
      </c>
      <c r="V181" t="str">
        <f>VLOOKUP(O181,Lembar1!$A$4:$H$457,8,FALSE)</f>
        <v>BIO_Images/EBTAQ25-01.290.jpg</v>
      </c>
      <c r="W181" t="str">
        <f>IFERROR(VLOOKUP(O181,Lembar1!$A$4:$I$457,9,FALSE),C181)</f>
        <v>Demak - TPQ ALHUSNA (MI)</v>
      </c>
    </row>
    <row r="182" spans="1:23" ht="15.75" hidden="1" thickBot="1" x14ac:dyDescent="0.3">
      <c r="A182" s="50">
        <v>46001.710231481484</v>
      </c>
      <c r="B182" s="53" t="s">
        <v>10</v>
      </c>
      <c r="C182" s="53" t="s">
        <v>2219</v>
      </c>
      <c r="D182" s="53" t="s">
        <v>2594</v>
      </c>
      <c r="E182" s="53" t="s">
        <v>10</v>
      </c>
      <c r="F182" s="57">
        <v>42281</v>
      </c>
      <c r="G182" s="53" t="s">
        <v>2595</v>
      </c>
      <c r="H182" s="53" t="s">
        <v>2596</v>
      </c>
      <c r="I182" s="53" t="s">
        <v>2</v>
      </c>
      <c r="J182" s="60" t="s">
        <v>2644</v>
      </c>
      <c r="K182" s="53" t="s">
        <v>2598</v>
      </c>
      <c r="L182" s="78" t="s">
        <v>2645</v>
      </c>
      <c r="M182" s="32" t="s">
        <v>2646</v>
      </c>
      <c r="N182">
        <v>408</v>
      </c>
      <c r="O182" t="str">
        <f t="shared" si="28"/>
        <v>EBTAQ25-01.291</v>
      </c>
      <c r="P182" t="str">
        <f t="shared" si="29"/>
        <v>Nasyahila ufaira marwa</v>
      </c>
      <c r="Q182" t="str">
        <f t="shared" si="30"/>
        <v>Perempuan</v>
      </c>
      <c r="R182" t="str">
        <f t="shared" si="31"/>
        <v>Demak</v>
      </c>
      <c r="S182" s="21">
        <f t="shared" si="32"/>
        <v>42281</v>
      </c>
      <c r="T182" t="str">
        <f t="shared" si="33"/>
        <v>Nur khamim</v>
      </c>
      <c r="U182" t="str">
        <f t="shared" si="34"/>
        <v>Kholis wati</v>
      </c>
      <c r="V182" t="str">
        <f>VLOOKUP(O182,Lembar1!$A$4:$H$457,8,FALSE)</f>
        <v>BIO_Images/EBTAQ25-01.291.jpg</v>
      </c>
      <c r="W182" t="str">
        <f>IFERROR(VLOOKUP(O182,Lembar1!$A$4:$I$457,9,FALSE),C182)</f>
        <v>Demak - TPQ ALHUSNA (MI)</v>
      </c>
    </row>
    <row r="183" spans="1:23" ht="15.75" hidden="1" thickBot="1" x14ac:dyDescent="0.3">
      <c r="A183" s="49">
        <v>46001.712268518517</v>
      </c>
      <c r="B183" s="52" t="s">
        <v>10</v>
      </c>
      <c r="C183" s="52" t="s">
        <v>2219</v>
      </c>
      <c r="D183" s="52" t="s">
        <v>2601</v>
      </c>
      <c r="E183" s="52" t="s">
        <v>204</v>
      </c>
      <c r="F183" s="56">
        <v>41917</v>
      </c>
      <c r="G183" s="52" t="s">
        <v>2647</v>
      </c>
      <c r="H183" s="52" t="s">
        <v>2648</v>
      </c>
      <c r="I183" s="52" t="s">
        <v>66</v>
      </c>
      <c r="J183" s="59" t="s">
        <v>2649</v>
      </c>
      <c r="K183" s="52" t="s">
        <v>2623</v>
      </c>
      <c r="L183" s="77" t="s">
        <v>2650</v>
      </c>
      <c r="M183" s="37" t="s">
        <v>2651</v>
      </c>
      <c r="N183">
        <v>409</v>
      </c>
      <c r="O183" t="str">
        <f t="shared" si="28"/>
        <v>EBTAQ25-01.292</v>
      </c>
      <c r="P183" t="str">
        <f t="shared" si="29"/>
        <v>AFLAH DHAIFULLAH</v>
      </c>
      <c r="Q183" t="str">
        <f t="shared" si="30"/>
        <v>Laki-laki</v>
      </c>
      <c r="R183" t="str">
        <f t="shared" si="31"/>
        <v>SEMARANG</v>
      </c>
      <c r="S183" s="21">
        <f t="shared" si="32"/>
        <v>41917</v>
      </c>
      <c r="T183" t="str">
        <f t="shared" si="33"/>
        <v>AGIL WISTYANTO</v>
      </c>
      <c r="U183" t="str">
        <f t="shared" si="34"/>
        <v>RIRIS SULISTYOWATI</v>
      </c>
      <c r="V183" t="str">
        <f>VLOOKUP(O183,Lembar1!$A$4:$H$457,8,FALSE)</f>
        <v>BIO_Images/EBTAQ25-01.292.jpg</v>
      </c>
      <c r="W183" t="str">
        <f>IFERROR(VLOOKUP(O183,Lembar1!$A$4:$I$457,9,FALSE),C183)</f>
        <v>Demak - TPQ ALHUSNA (MI)</v>
      </c>
    </row>
    <row r="184" spans="1:23" ht="15.75" hidden="1" thickBot="1" x14ac:dyDescent="0.3">
      <c r="A184" s="50">
        <v>46001.713622685187</v>
      </c>
      <c r="B184" s="53" t="s">
        <v>10</v>
      </c>
      <c r="C184" s="53" t="s">
        <v>2219</v>
      </c>
      <c r="D184" s="53" t="s">
        <v>2652</v>
      </c>
      <c r="E184" s="53" t="s">
        <v>10</v>
      </c>
      <c r="F184" s="57">
        <v>42170</v>
      </c>
      <c r="G184" s="53" t="s">
        <v>2653</v>
      </c>
      <c r="H184" s="53" t="s">
        <v>2654</v>
      </c>
      <c r="I184" s="53" t="s">
        <v>66</v>
      </c>
      <c r="J184" s="60" t="s">
        <v>2655</v>
      </c>
      <c r="K184" s="53" t="s">
        <v>2656</v>
      </c>
      <c r="L184" s="78" t="s">
        <v>2657</v>
      </c>
      <c r="M184" s="32" t="s">
        <v>2658</v>
      </c>
      <c r="N184">
        <v>410</v>
      </c>
      <c r="O184" t="str">
        <f t="shared" si="28"/>
        <v>EBTAQ25-01.293</v>
      </c>
      <c r="P184" t="str">
        <f t="shared" si="29"/>
        <v>Musyafa nur jati</v>
      </c>
      <c r="Q184" t="str">
        <f t="shared" si="30"/>
        <v>Laki-laki</v>
      </c>
      <c r="R184" t="str">
        <f t="shared" si="31"/>
        <v>Demak</v>
      </c>
      <c r="S184" s="21">
        <f t="shared" si="32"/>
        <v>42170</v>
      </c>
      <c r="T184" t="str">
        <f t="shared" si="33"/>
        <v>Nadliron</v>
      </c>
      <c r="U184" t="str">
        <f t="shared" si="34"/>
        <v>Winarsih</v>
      </c>
      <c r="V184" t="str">
        <f>VLOOKUP(O184,Lembar1!$A$4:$H$457,8,FALSE)</f>
        <v>BIO_Images/EBTAQ25-01.293.jpg</v>
      </c>
      <c r="W184" t="str">
        <f>IFERROR(VLOOKUP(O184,Lembar1!$A$4:$I$457,9,FALSE),C184)</f>
        <v>Demak - TPQ ALHUSNA (MI)</v>
      </c>
    </row>
    <row r="185" spans="1:23" ht="15.75" hidden="1" thickBot="1" x14ac:dyDescent="0.3">
      <c r="A185" s="49">
        <v>46001.715798611112</v>
      </c>
      <c r="B185" s="52" t="s">
        <v>10</v>
      </c>
      <c r="C185" s="52" t="s">
        <v>2219</v>
      </c>
      <c r="D185" s="52" t="s">
        <v>2521</v>
      </c>
      <c r="E185" s="52" t="s">
        <v>10</v>
      </c>
      <c r="F185" s="56">
        <v>42788</v>
      </c>
      <c r="G185" s="52" t="s">
        <v>2522</v>
      </c>
      <c r="H185" s="52" t="s">
        <v>2523</v>
      </c>
      <c r="I185" s="52" t="s">
        <v>2</v>
      </c>
      <c r="J185" s="59" t="s">
        <v>2659</v>
      </c>
      <c r="K185" s="52" t="s">
        <v>2525</v>
      </c>
      <c r="L185" s="77" t="s">
        <v>2660</v>
      </c>
      <c r="M185" s="37" t="s">
        <v>2661</v>
      </c>
      <c r="N185">
        <v>411</v>
      </c>
      <c r="O185" t="str">
        <f t="shared" si="28"/>
        <v>EBTAQ25-01.294</v>
      </c>
      <c r="P185" t="str">
        <f t="shared" si="29"/>
        <v>Anggie renata lokeswari</v>
      </c>
      <c r="Q185" t="str">
        <f t="shared" si="30"/>
        <v>Perempuan</v>
      </c>
      <c r="R185" t="str">
        <f t="shared" si="31"/>
        <v>Demak</v>
      </c>
      <c r="S185" s="21">
        <f t="shared" si="32"/>
        <v>42788</v>
      </c>
      <c r="T185" t="str">
        <f t="shared" si="33"/>
        <v>Qomari</v>
      </c>
      <c r="U185" t="str">
        <f t="shared" si="34"/>
        <v>Hening pratiwi</v>
      </c>
      <c r="V185" t="str">
        <f>VLOOKUP(O185,Lembar1!$A$4:$H$457,8,FALSE)</f>
        <v>BIO_Images/EBTAQ25-01.294.jpg</v>
      </c>
      <c r="W185" t="str">
        <f>IFERROR(VLOOKUP(O185,Lembar1!$A$4:$I$457,9,FALSE),C185)</f>
        <v>Demak - TPQ ALHUSNA (MI)</v>
      </c>
    </row>
    <row r="186" spans="1:23" ht="15.75" hidden="1" thickBot="1" x14ac:dyDescent="0.3">
      <c r="A186" s="33">
        <v>46001.719537037039</v>
      </c>
      <c r="B186" s="34" t="s">
        <v>10</v>
      </c>
      <c r="C186" s="34" t="s">
        <v>2219</v>
      </c>
      <c r="D186" s="34" t="s">
        <v>2594</v>
      </c>
      <c r="E186" s="34" t="s">
        <v>10</v>
      </c>
      <c r="F186" s="35">
        <v>42281</v>
      </c>
      <c r="G186" s="34" t="s">
        <v>2595</v>
      </c>
      <c r="H186" s="34" t="s">
        <v>2596</v>
      </c>
      <c r="I186" s="34" t="s">
        <v>2</v>
      </c>
      <c r="J186" s="36" t="s">
        <v>2669</v>
      </c>
      <c r="K186" s="34" t="s">
        <v>2598</v>
      </c>
      <c r="L186" s="78" t="s">
        <v>2670</v>
      </c>
      <c r="M186" s="37" t="s">
        <v>2671</v>
      </c>
      <c r="N186">
        <v>412</v>
      </c>
      <c r="O186" t="str">
        <f t="shared" si="28"/>
        <v>EBTAQ25-01.295</v>
      </c>
      <c r="P186" t="str">
        <f t="shared" si="29"/>
        <v>Nasyahila ufaira marwa</v>
      </c>
      <c r="Q186" t="str">
        <f t="shared" si="30"/>
        <v>Perempuan</v>
      </c>
      <c r="R186" t="str">
        <f t="shared" si="31"/>
        <v>Demak</v>
      </c>
      <c r="S186" s="21">
        <f t="shared" si="32"/>
        <v>42281</v>
      </c>
      <c r="T186" t="str">
        <f t="shared" si="33"/>
        <v>Nur khamim</v>
      </c>
      <c r="U186" t="str">
        <f t="shared" si="34"/>
        <v>Kholis wati</v>
      </c>
      <c r="V186" t="str">
        <f>VLOOKUP(O186,Lembar1!$A$4:$H$457,8,FALSE)</f>
        <v>BIO_Images/EBTAQ25-01.295.jpg</v>
      </c>
      <c r="W186" t="str">
        <f>IFERROR(VLOOKUP(O186,Lembar1!$A$4:$I$457,9,FALSE),C186)</f>
        <v>Demak - TPQ ALHUSNA (MI)</v>
      </c>
    </row>
    <row r="187" spans="1:23" ht="15.75" hidden="1" thickBot="1" x14ac:dyDescent="0.3">
      <c r="A187" s="28">
        <v>46001.721944444442</v>
      </c>
      <c r="B187" s="29" t="s">
        <v>10</v>
      </c>
      <c r="C187" s="29" t="s">
        <v>2219</v>
      </c>
      <c r="D187" s="29" t="s">
        <v>2594</v>
      </c>
      <c r="E187" s="29" t="s">
        <v>10</v>
      </c>
      <c r="F187" s="30">
        <v>42281</v>
      </c>
      <c r="G187" s="29" t="s">
        <v>2595</v>
      </c>
      <c r="H187" s="29" t="s">
        <v>2596</v>
      </c>
      <c r="I187" s="29" t="s">
        <v>2</v>
      </c>
      <c r="J187" s="31" t="s">
        <v>2672</v>
      </c>
      <c r="K187" s="29" t="s">
        <v>2598</v>
      </c>
      <c r="L187" s="77" t="s">
        <v>2673</v>
      </c>
      <c r="M187" s="32" t="s">
        <v>2674</v>
      </c>
      <c r="N187">
        <v>413</v>
      </c>
      <c r="O187" t="str">
        <f t="shared" si="28"/>
        <v>EBTAQ25-01.296</v>
      </c>
      <c r="P187" t="str">
        <f t="shared" si="29"/>
        <v>Nasyahila ufaira marwa</v>
      </c>
      <c r="Q187" t="str">
        <f t="shared" si="30"/>
        <v>Perempuan</v>
      </c>
      <c r="R187" t="str">
        <f t="shared" si="31"/>
        <v>Demak</v>
      </c>
      <c r="S187" s="21">
        <f t="shared" si="32"/>
        <v>42281</v>
      </c>
      <c r="T187" t="str">
        <f t="shared" si="33"/>
        <v>Nur khamim</v>
      </c>
      <c r="U187" t="str">
        <f t="shared" si="34"/>
        <v>Kholis wati</v>
      </c>
      <c r="V187" t="str">
        <f>VLOOKUP(O187,Lembar1!$A$4:$H$457,8,FALSE)</f>
        <v>BIO_Images/EBTAQ25-01.296.jpg</v>
      </c>
      <c r="W187" t="str">
        <f>IFERROR(VLOOKUP(O187,Lembar1!$A$4:$I$457,9,FALSE),C187)</f>
        <v>Demak - TPQ ALHUSNA (MI)</v>
      </c>
    </row>
    <row r="188" spans="1:23" ht="15.75" hidden="1" thickBot="1" x14ac:dyDescent="0.3">
      <c r="A188" s="50">
        <v>46001.724108796298</v>
      </c>
      <c r="B188" s="53" t="s">
        <v>10</v>
      </c>
      <c r="C188" s="53" t="s">
        <v>2219</v>
      </c>
      <c r="D188" s="53" t="s">
        <v>2681</v>
      </c>
      <c r="E188" s="53" t="s">
        <v>28</v>
      </c>
      <c r="F188" s="57">
        <v>41906</v>
      </c>
      <c r="G188" s="53" t="s">
        <v>2682</v>
      </c>
      <c r="H188" s="53" t="s">
        <v>2683</v>
      </c>
      <c r="I188" s="53" t="s">
        <v>66</v>
      </c>
      <c r="J188" s="60" t="s">
        <v>2684</v>
      </c>
      <c r="K188" s="53" t="s">
        <v>2685</v>
      </c>
      <c r="L188" s="78" t="s">
        <v>2686</v>
      </c>
      <c r="M188" s="32" t="s">
        <v>2687</v>
      </c>
      <c r="N188">
        <v>414</v>
      </c>
      <c r="O188" t="str">
        <f t="shared" si="28"/>
        <v>EBTAQ25-01.297</v>
      </c>
      <c r="P188" t="str">
        <f t="shared" si="29"/>
        <v>MUHAMMAD AFRIZAL AZKA</v>
      </c>
      <c r="Q188" t="str">
        <f t="shared" si="30"/>
        <v>Laki-laki</v>
      </c>
      <c r="R188" t="str">
        <f t="shared" si="31"/>
        <v>DEMAK</v>
      </c>
      <c r="S188" s="21">
        <f t="shared" si="32"/>
        <v>41906</v>
      </c>
      <c r="T188" t="str">
        <f t="shared" si="33"/>
        <v>IFAN FIBRIANTO</v>
      </c>
      <c r="U188" t="str">
        <f t="shared" si="34"/>
        <v>NAILUS SA'ADAH</v>
      </c>
      <c r="V188" t="str">
        <f>VLOOKUP(O188,Lembar1!$A$4:$H$457,8,FALSE)</f>
        <v>BIO_Images/EBTAQ25-01.297.jpg</v>
      </c>
      <c r="W188" t="str">
        <f>IFERROR(VLOOKUP(O188,Lembar1!$A$4:$I$457,9,FALSE),C188)</f>
        <v>Demak - TPQ ALHUSNA (MI)</v>
      </c>
    </row>
    <row r="189" spans="1:23" ht="15.75" hidden="1" thickBot="1" x14ac:dyDescent="0.3">
      <c r="A189" s="49">
        <v>46001.725902777776</v>
      </c>
      <c r="B189" s="52" t="s">
        <v>10</v>
      </c>
      <c r="C189" s="52" t="s">
        <v>2219</v>
      </c>
      <c r="D189" s="52" t="s">
        <v>2701</v>
      </c>
      <c r="E189" s="52" t="s">
        <v>10</v>
      </c>
      <c r="F189" s="56">
        <v>41762</v>
      </c>
      <c r="G189" s="52" t="s">
        <v>2702</v>
      </c>
      <c r="H189" s="52" t="s">
        <v>2703</v>
      </c>
      <c r="I189" s="52" t="s">
        <v>66</v>
      </c>
      <c r="J189" s="59" t="s">
        <v>2704</v>
      </c>
      <c r="K189" s="52" t="s">
        <v>2705</v>
      </c>
      <c r="L189" s="77" t="s">
        <v>2706</v>
      </c>
      <c r="M189" s="37" t="s">
        <v>2707</v>
      </c>
      <c r="N189">
        <v>415</v>
      </c>
      <c r="O189" t="str">
        <f t="shared" si="28"/>
        <v>EBTAQ25-01.300</v>
      </c>
      <c r="P189" t="str">
        <f t="shared" si="29"/>
        <v>Abidzar dirga al ghaniy</v>
      </c>
      <c r="Q189" t="str">
        <f t="shared" si="30"/>
        <v>Laki-laki</v>
      </c>
      <c r="R189" t="str">
        <f t="shared" si="31"/>
        <v>Demak</v>
      </c>
      <c r="S189" s="21">
        <f t="shared" si="32"/>
        <v>41762</v>
      </c>
      <c r="T189" t="str">
        <f t="shared" si="33"/>
        <v>Hery saputro</v>
      </c>
      <c r="U189" t="str">
        <f t="shared" si="34"/>
        <v>Tutik setiyani</v>
      </c>
      <c r="V189" t="str">
        <f>VLOOKUP(O189,Lembar1!$A$4:$H$457,8,FALSE)</f>
        <v>BIO_Images/EBTAQ25-01.300.jpeg</v>
      </c>
      <c r="W189" t="str">
        <f>IFERROR(VLOOKUP(O189,Lembar1!$A$4:$I$457,9,FALSE),C189)</f>
        <v>Demak - TPQ ALHUSNA (MI)</v>
      </c>
    </row>
    <row r="190" spans="1:23" ht="15.75" hidden="1" thickBot="1" x14ac:dyDescent="0.3">
      <c r="A190" s="33">
        <v>46001.728530092594</v>
      </c>
      <c r="B190" s="34" t="s">
        <v>10</v>
      </c>
      <c r="C190" s="34" t="s">
        <v>2219</v>
      </c>
      <c r="D190" s="34" t="s">
        <v>2681</v>
      </c>
      <c r="E190" s="34" t="s">
        <v>28</v>
      </c>
      <c r="F190" s="35">
        <v>41906</v>
      </c>
      <c r="G190" s="34" t="s">
        <v>2682</v>
      </c>
      <c r="H190" s="34" t="s">
        <v>2683</v>
      </c>
      <c r="I190" s="34" t="s">
        <v>66</v>
      </c>
      <c r="J190" s="36" t="s">
        <v>2715</v>
      </c>
      <c r="K190" s="34" t="s">
        <v>2685</v>
      </c>
      <c r="L190" s="78" t="s">
        <v>2716</v>
      </c>
      <c r="M190" s="37" t="s">
        <v>2717</v>
      </c>
      <c r="N190">
        <v>416</v>
      </c>
      <c r="O190" t="str">
        <f t="shared" si="28"/>
        <v>EBTAQ25-01.302</v>
      </c>
      <c r="P190" t="str">
        <f t="shared" si="29"/>
        <v>MUHAMMAD AFRIZAL AZKA</v>
      </c>
      <c r="Q190" t="str">
        <f t="shared" si="30"/>
        <v>Laki-laki</v>
      </c>
      <c r="R190" t="str">
        <f t="shared" si="31"/>
        <v>DEMAK</v>
      </c>
      <c r="S190" s="21">
        <f t="shared" si="32"/>
        <v>41906</v>
      </c>
      <c r="T190" t="str">
        <f t="shared" si="33"/>
        <v>IFAN FIBRIANTO</v>
      </c>
      <c r="U190" t="str">
        <f t="shared" si="34"/>
        <v>NAILUS SA'ADAH</v>
      </c>
      <c r="V190" t="str">
        <f>VLOOKUP(O190,Lembar1!$A$4:$H$457,8,FALSE)</f>
        <v>BIO_Images/EBTAQ25-01.302.jpg</v>
      </c>
      <c r="W190" t="str">
        <f>IFERROR(VLOOKUP(O190,Lembar1!$A$4:$I$457,9,FALSE),C190)</f>
        <v>Demak - TPQ ALHUSNA (MI)</v>
      </c>
    </row>
    <row r="191" spans="1:23" ht="15.75" hidden="1" thickBot="1" x14ac:dyDescent="0.3">
      <c r="A191" s="49">
        <v>46001.733217592591</v>
      </c>
      <c r="B191" s="52" t="s">
        <v>10</v>
      </c>
      <c r="C191" s="52" t="s">
        <v>2219</v>
      </c>
      <c r="D191" s="52" t="s">
        <v>2538</v>
      </c>
      <c r="E191" s="52" t="s">
        <v>10</v>
      </c>
      <c r="F191" s="56">
        <v>41967</v>
      </c>
      <c r="G191" s="52" t="s">
        <v>2539</v>
      </c>
      <c r="H191" s="52" t="s">
        <v>2540</v>
      </c>
      <c r="I191" s="52" t="s">
        <v>66</v>
      </c>
      <c r="J191" s="59" t="s">
        <v>2724</v>
      </c>
      <c r="K191" s="52" t="s">
        <v>2542</v>
      </c>
      <c r="L191" s="77" t="s">
        <v>2725</v>
      </c>
      <c r="M191" s="37" t="s">
        <v>2726</v>
      </c>
      <c r="N191">
        <v>417</v>
      </c>
      <c r="O191" t="str">
        <f t="shared" si="28"/>
        <v>EBTAQ25-01.303</v>
      </c>
      <c r="P191" t="str">
        <f t="shared" si="29"/>
        <v>ZUKA' NABRIS AHMAD</v>
      </c>
      <c r="Q191" t="str">
        <f t="shared" si="30"/>
        <v>Laki-laki</v>
      </c>
      <c r="R191" t="str">
        <f t="shared" si="31"/>
        <v>Demak</v>
      </c>
      <c r="S191" s="21">
        <f t="shared" si="32"/>
        <v>41967</v>
      </c>
      <c r="T191" t="str">
        <f t="shared" si="33"/>
        <v>Ezra Alfresco (Alm)</v>
      </c>
      <c r="U191" t="str">
        <f t="shared" si="34"/>
        <v>Nihaya Tsuroya</v>
      </c>
      <c r="V191" t="str">
        <f>VLOOKUP(O191,Lembar1!$A$4:$H$457,8,FALSE)</f>
        <v>BIO_Images/EBTAQ25-01.303.jpg</v>
      </c>
      <c r="W191" t="str">
        <f>IFERROR(VLOOKUP(O191,Lembar1!$A$4:$I$457,9,FALSE),C191)</f>
        <v>Demak - TPQ ALHUSNA (MI)</v>
      </c>
    </row>
    <row r="192" spans="1:23" ht="15.75" hidden="1" thickBot="1" x14ac:dyDescent="0.3">
      <c r="A192" s="50">
        <v>46001.737349537034</v>
      </c>
      <c r="B192" s="53" t="s">
        <v>10</v>
      </c>
      <c r="C192" s="53" t="s">
        <v>2219</v>
      </c>
      <c r="D192" s="53" t="s">
        <v>2738</v>
      </c>
      <c r="E192" s="53" t="s">
        <v>2739</v>
      </c>
      <c r="F192" s="57">
        <v>41866</v>
      </c>
      <c r="G192" s="53" t="s">
        <v>2740</v>
      </c>
      <c r="H192" s="53" t="s">
        <v>2741</v>
      </c>
      <c r="I192" s="53" t="s">
        <v>66</v>
      </c>
      <c r="J192" s="60" t="s">
        <v>2742</v>
      </c>
      <c r="K192" s="53" t="s">
        <v>2743</v>
      </c>
      <c r="L192" s="78" t="s">
        <v>2744</v>
      </c>
      <c r="M192" s="32" t="s">
        <v>2745</v>
      </c>
      <c r="N192">
        <v>418</v>
      </c>
      <c r="O192" t="str">
        <f t="shared" si="28"/>
        <v>EBTAQ25-01.305</v>
      </c>
      <c r="P192" t="str">
        <f t="shared" si="29"/>
        <v>ARKA HAMIZAN</v>
      </c>
      <c r="Q192" t="str">
        <f t="shared" si="30"/>
        <v>Laki-laki</v>
      </c>
      <c r="R192" t="str">
        <f t="shared" si="31"/>
        <v>TANGERANG</v>
      </c>
      <c r="S192" s="21">
        <f t="shared" si="32"/>
        <v>41866</v>
      </c>
      <c r="T192" t="str">
        <f t="shared" si="33"/>
        <v>RENU TAUFIK HANDANG DWI AKTO</v>
      </c>
      <c r="U192" t="str">
        <f t="shared" si="34"/>
        <v>DIAN ERVITA ARIANI</v>
      </c>
      <c r="V192" t="str">
        <f>VLOOKUP(O192,Lembar1!$A$4:$H$457,8,FALSE)</f>
        <v>BIO_Images/EBTAQ25-01.305.jpg</v>
      </c>
      <c r="W192" t="str">
        <f>IFERROR(VLOOKUP(O192,Lembar1!$A$4:$I$457,9,FALSE),C192)</f>
        <v>Demak - TPQ ALHUSNA (MI)</v>
      </c>
    </row>
    <row r="193" spans="1:23" ht="15.75" hidden="1" thickBot="1" x14ac:dyDescent="0.3">
      <c r="A193" s="28">
        <v>46001.739976851852</v>
      </c>
      <c r="B193" s="29" t="s">
        <v>10</v>
      </c>
      <c r="C193" s="29" t="s">
        <v>2219</v>
      </c>
      <c r="D193" s="29" t="s">
        <v>2738</v>
      </c>
      <c r="E193" s="29" t="s">
        <v>2739</v>
      </c>
      <c r="F193" s="30">
        <v>41866</v>
      </c>
      <c r="G193" s="29" t="s">
        <v>2740</v>
      </c>
      <c r="H193" s="29" t="s">
        <v>2741</v>
      </c>
      <c r="I193" s="29" t="s">
        <v>66</v>
      </c>
      <c r="J193" s="31" t="s">
        <v>2759</v>
      </c>
      <c r="K193" s="29" t="s">
        <v>2743</v>
      </c>
      <c r="L193" s="77" t="s">
        <v>2760</v>
      </c>
      <c r="M193" s="32" t="s">
        <v>2761</v>
      </c>
      <c r="N193">
        <v>419</v>
      </c>
      <c r="O193" t="str">
        <f t="shared" si="28"/>
        <v>EBTAQ25-01.307</v>
      </c>
      <c r="P193" t="str">
        <f t="shared" si="29"/>
        <v>ARKA HAMIZAN</v>
      </c>
      <c r="Q193" t="str">
        <f t="shared" si="30"/>
        <v>Laki-laki</v>
      </c>
      <c r="R193" t="str">
        <f t="shared" si="31"/>
        <v>TANGERANG</v>
      </c>
      <c r="S193" s="21">
        <f t="shared" si="32"/>
        <v>41866</v>
      </c>
      <c r="T193" t="str">
        <f t="shared" si="33"/>
        <v>RENU TAUFIK HANDANG DWI AKTO</v>
      </c>
      <c r="U193" t="str">
        <f t="shared" si="34"/>
        <v>DIAN ERVITA ARIANI</v>
      </c>
      <c r="V193" t="str">
        <f>VLOOKUP(O193,Lembar1!$A$4:$H$457,8,FALSE)</f>
        <v>BIO_Images/EBTAQ25-01.307.jpg</v>
      </c>
      <c r="W193" t="str">
        <f>IFERROR(VLOOKUP(O193,Lembar1!$A$4:$I$457,9,FALSE),C193)</f>
        <v>Demak - TPQ ALHUSNA (MI)</v>
      </c>
    </row>
    <row r="194" spans="1:23" ht="15.75" hidden="1" thickBot="1" x14ac:dyDescent="0.3">
      <c r="A194" s="50">
        <v>46001.781736111108</v>
      </c>
      <c r="B194" s="53" t="s">
        <v>10</v>
      </c>
      <c r="C194" s="53" t="s">
        <v>2219</v>
      </c>
      <c r="D194" s="53" t="s">
        <v>2825</v>
      </c>
      <c r="E194" s="53" t="s">
        <v>315</v>
      </c>
      <c r="F194" s="57">
        <v>41394</v>
      </c>
      <c r="G194" s="53" t="s">
        <v>2826</v>
      </c>
      <c r="H194" s="53" t="s">
        <v>2827</v>
      </c>
      <c r="I194" s="53" t="s">
        <v>2</v>
      </c>
      <c r="J194" s="60" t="s">
        <v>2828</v>
      </c>
      <c r="K194" s="53" t="s">
        <v>2829</v>
      </c>
      <c r="L194" s="78" t="s">
        <v>2830</v>
      </c>
      <c r="M194" s="32" t="s">
        <v>2831</v>
      </c>
      <c r="N194">
        <v>420</v>
      </c>
      <c r="O194" t="str">
        <f t="shared" si="28"/>
        <v>EBTAQ25-01.311</v>
      </c>
      <c r="P194" t="str">
        <f t="shared" si="29"/>
        <v>TIARA HAWA</v>
      </c>
      <c r="Q194" t="str">
        <f t="shared" si="30"/>
        <v>Perempuan</v>
      </c>
      <c r="R194" t="str">
        <f t="shared" si="31"/>
        <v>JAKARTA</v>
      </c>
      <c r="S194" s="21">
        <f t="shared" si="32"/>
        <v>41394</v>
      </c>
      <c r="T194" t="str">
        <f t="shared" si="33"/>
        <v>SALMAN ALFARISI</v>
      </c>
      <c r="U194" t="str">
        <f t="shared" si="34"/>
        <v>SITI HASANAH</v>
      </c>
      <c r="V194" t="str">
        <f>VLOOKUP(O194,Lembar1!$A$4:$H$457,8,FALSE)</f>
        <v>BIO_Images/EBTAQ25-01.311.jpg</v>
      </c>
      <c r="W194" t="str">
        <f>IFERROR(VLOOKUP(O194,Lembar1!$A$4:$I$457,9,FALSE),C194)</f>
        <v>Demak - TPQ ALHUSNA (MI)</v>
      </c>
    </row>
    <row r="195" spans="1:23" ht="15.75" hidden="1" thickBot="1" x14ac:dyDescent="0.3">
      <c r="A195" s="49">
        <v>46002.112511574072</v>
      </c>
      <c r="B195" s="52" t="s">
        <v>10</v>
      </c>
      <c r="C195" s="52" t="s">
        <v>2219</v>
      </c>
      <c r="D195" s="52" t="s">
        <v>3000</v>
      </c>
      <c r="E195" s="52" t="s">
        <v>28</v>
      </c>
      <c r="F195" s="56">
        <v>42588</v>
      </c>
      <c r="G195" s="52" t="s">
        <v>2982</v>
      </c>
      <c r="H195" s="52" t="s">
        <v>2755</v>
      </c>
      <c r="I195" s="52" t="s">
        <v>2</v>
      </c>
      <c r="J195" s="59" t="s">
        <v>3001</v>
      </c>
      <c r="K195" s="52" t="s">
        <v>2542</v>
      </c>
      <c r="L195" s="77" t="s">
        <v>3002</v>
      </c>
      <c r="M195" s="37" t="s">
        <v>3003</v>
      </c>
      <c r="N195">
        <v>421</v>
      </c>
      <c r="O195" t="str">
        <f t="shared" si="28"/>
        <v>EBTAQ25-01.330</v>
      </c>
      <c r="P195" t="str">
        <f t="shared" si="29"/>
        <v>AZWA LAYYINATUS SALIMAH</v>
      </c>
      <c r="Q195" t="str">
        <f t="shared" si="30"/>
        <v>Perempuan</v>
      </c>
      <c r="R195" t="str">
        <f t="shared" si="31"/>
        <v>DEMAK</v>
      </c>
      <c r="S195" s="21">
        <f t="shared" si="32"/>
        <v>42588</v>
      </c>
      <c r="T195" t="str">
        <f t="shared" si="33"/>
        <v>AGUS SALIM</v>
      </c>
      <c r="U195" t="str">
        <f t="shared" si="34"/>
        <v>NUR FAIZAH</v>
      </c>
      <c r="V195" t="str">
        <f>VLOOKUP(O195,Lembar1!$A$4:$H$457,8,FALSE)</f>
        <v>BIO_Images/EBTAQ25-01.330.jpg</v>
      </c>
      <c r="W195" t="str">
        <f>IFERROR(VLOOKUP(O195,Lembar1!$A$4:$I$457,9,FALSE),C195)</f>
        <v>Demak - TPQ ALHUSNA (MI)</v>
      </c>
    </row>
    <row r="196" spans="1:23" ht="15.75" hidden="1" thickBot="1" x14ac:dyDescent="0.3">
      <c r="A196" s="50">
        <v>46000.681655092594</v>
      </c>
      <c r="B196" s="53" t="s">
        <v>10</v>
      </c>
      <c r="C196" s="53" t="s">
        <v>671</v>
      </c>
      <c r="D196" s="53" t="s">
        <v>667</v>
      </c>
      <c r="E196" s="53" t="s">
        <v>28</v>
      </c>
      <c r="F196" s="57">
        <v>42464</v>
      </c>
      <c r="G196" s="53" t="s">
        <v>668</v>
      </c>
      <c r="H196" s="53" t="s">
        <v>669</v>
      </c>
      <c r="I196" s="53" t="s">
        <v>2</v>
      </c>
      <c r="J196" s="60" t="s">
        <v>1619</v>
      </c>
      <c r="K196" s="53" t="s">
        <v>1620</v>
      </c>
      <c r="L196" s="78" t="s">
        <v>666</v>
      </c>
      <c r="M196" s="32" t="s">
        <v>1621</v>
      </c>
      <c r="N196">
        <v>422</v>
      </c>
      <c r="O196" t="str">
        <f t="shared" si="28"/>
        <v>EBTAQ25-01.193</v>
      </c>
      <c r="P196" t="str">
        <f t="shared" si="29"/>
        <v>AMIRA AINUN MAHYA</v>
      </c>
      <c r="Q196" t="str">
        <f t="shared" si="30"/>
        <v>Perempuan</v>
      </c>
      <c r="R196" t="str">
        <f t="shared" si="31"/>
        <v>DEMAK</v>
      </c>
      <c r="S196" s="21">
        <f t="shared" si="32"/>
        <v>42464</v>
      </c>
      <c r="T196" t="str">
        <f t="shared" si="33"/>
        <v>ZAENURI</v>
      </c>
      <c r="U196" t="str">
        <f t="shared" si="34"/>
        <v>TUMI HARYATUN</v>
      </c>
      <c r="V196" t="str">
        <f>VLOOKUP(O196,Lembar1!$A$4:$H$457,8,FALSE)</f>
        <v>BIO_Images/EBTAQ25-01.193.jpg</v>
      </c>
      <c r="W196" t="str">
        <f>IFERROR(VLOOKUP(O196,Lembar1!$A$4:$I$457,9,FALSE),C196)</f>
        <v>Demak - TPQ ALMUBAROK</v>
      </c>
    </row>
    <row r="197" spans="1:23" ht="15.75" hidden="1" thickBot="1" x14ac:dyDescent="0.3">
      <c r="A197" s="28">
        <v>45999.503854166665</v>
      </c>
      <c r="B197" s="29" t="s">
        <v>10</v>
      </c>
      <c r="C197" s="29" t="s">
        <v>342</v>
      </c>
      <c r="D197" s="29" t="s">
        <v>339</v>
      </c>
      <c r="E197" s="29" t="s">
        <v>28</v>
      </c>
      <c r="F197" s="30">
        <v>41405</v>
      </c>
      <c r="G197" s="29" t="s">
        <v>1289</v>
      </c>
      <c r="H197" s="29" t="s">
        <v>340</v>
      </c>
      <c r="I197" s="29" t="s">
        <v>66</v>
      </c>
      <c r="J197" s="31" t="s">
        <v>1290</v>
      </c>
      <c r="K197" s="29" t="s">
        <v>1291</v>
      </c>
      <c r="L197" s="77" t="s">
        <v>338</v>
      </c>
      <c r="M197" s="32" t="s">
        <v>1292</v>
      </c>
      <c r="N197">
        <v>423</v>
      </c>
      <c r="O197" t="str">
        <f t="shared" si="28"/>
        <v>EBTAQ25-01.146</v>
      </c>
      <c r="P197" t="str">
        <f t="shared" si="29"/>
        <v>MUHAMMAD FAHRIZ SETIAWAN</v>
      </c>
      <c r="Q197" t="str">
        <f t="shared" si="30"/>
        <v>Laki-laki</v>
      </c>
      <c r="R197" t="str">
        <f t="shared" si="31"/>
        <v>DEMAK</v>
      </c>
      <c r="S197" s="21">
        <f t="shared" si="32"/>
        <v>41405</v>
      </c>
      <c r="T197" t="str">
        <f t="shared" si="33"/>
        <v>ZUHDI SETIAWAN ( ALMARHUM)</v>
      </c>
      <c r="U197" t="str">
        <f t="shared" si="34"/>
        <v>NUR YANAH</v>
      </c>
      <c r="V197" t="str">
        <f>VLOOKUP(O197,Lembar1!$A$4:$H$457,8,FALSE)</f>
        <v>BIO_Images/EBTAQ25-01.146.jpg</v>
      </c>
      <c r="W197" t="str">
        <f>IFERROR(VLOOKUP(O197,Lembar1!$A$4:$I$457,9,FALSE),C197)</f>
        <v>Demak - TPQ BUQ</v>
      </c>
    </row>
    <row r="198" spans="1:23" ht="15.75" hidden="1" thickBot="1" x14ac:dyDescent="0.3">
      <c r="A198" s="50">
        <v>46000.870185185187</v>
      </c>
      <c r="B198" s="53" t="s">
        <v>10</v>
      </c>
      <c r="C198" s="53" t="s">
        <v>342</v>
      </c>
      <c r="D198" s="53" t="s">
        <v>856</v>
      </c>
      <c r="E198" s="53" t="s">
        <v>204</v>
      </c>
      <c r="F198" s="57">
        <v>42456</v>
      </c>
      <c r="G198" s="53" t="s">
        <v>857</v>
      </c>
      <c r="H198" s="53" t="s">
        <v>858</v>
      </c>
      <c r="I198" s="53" t="s">
        <v>2</v>
      </c>
      <c r="J198" s="60" t="s">
        <v>1913</v>
      </c>
      <c r="K198" s="53" t="s">
        <v>1914</v>
      </c>
      <c r="L198" s="78" t="s">
        <v>855</v>
      </c>
      <c r="M198" s="32" t="s">
        <v>1915</v>
      </c>
      <c r="N198">
        <v>424</v>
      </c>
      <c r="O198" t="str">
        <f t="shared" si="28"/>
        <v>EBTAQ25-01.215</v>
      </c>
      <c r="P198" t="str">
        <f t="shared" si="29"/>
        <v>KHANZA AZZAHRA SAID</v>
      </c>
      <c r="Q198" t="str">
        <f t="shared" si="30"/>
        <v>Perempuan</v>
      </c>
      <c r="R198" t="str">
        <f t="shared" si="31"/>
        <v>SEMARANG</v>
      </c>
      <c r="S198" s="21">
        <f t="shared" si="32"/>
        <v>42456</v>
      </c>
      <c r="T198" t="str">
        <f t="shared" si="33"/>
        <v>ANWAR SAID</v>
      </c>
      <c r="U198" t="str">
        <f t="shared" si="34"/>
        <v>ROIKHATIN NI'MAH</v>
      </c>
      <c r="V198" t="str">
        <f>VLOOKUP(O198,Lembar1!$A$4:$H$457,8,FALSE)</f>
        <v>BIO_Images/EBTAQ25-01.215.jpg</v>
      </c>
      <c r="W198" t="str">
        <f>IFERROR(VLOOKUP(O198,Lembar1!$A$4:$I$457,9,FALSE),C198)</f>
        <v>Demak - TPQ BUQ</v>
      </c>
    </row>
    <row r="199" spans="1:23" ht="15.75" hidden="1" thickBot="1" x14ac:dyDescent="0.3">
      <c r="A199" s="49">
        <v>46001.351076388892</v>
      </c>
      <c r="B199" s="52" t="s">
        <v>10</v>
      </c>
      <c r="C199" s="52" t="s">
        <v>342</v>
      </c>
      <c r="D199" s="52" t="s">
        <v>1986</v>
      </c>
      <c r="E199" s="52" t="s">
        <v>10</v>
      </c>
      <c r="F199" s="56">
        <v>45992</v>
      </c>
      <c r="G199" s="52" t="s">
        <v>1987</v>
      </c>
      <c r="H199" s="52" t="s">
        <v>1988</v>
      </c>
      <c r="I199" s="52" t="s">
        <v>66</v>
      </c>
      <c r="J199" s="59" t="s">
        <v>1989</v>
      </c>
      <c r="K199" s="52" t="s">
        <v>1990</v>
      </c>
      <c r="L199" s="77" t="s">
        <v>1991</v>
      </c>
      <c r="M199" s="37" t="s">
        <v>1992</v>
      </c>
      <c r="N199">
        <v>425</v>
      </c>
      <c r="O199" t="str">
        <f t="shared" si="28"/>
        <v>EBTAQ25-01.225</v>
      </c>
      <c r="P199" t="str">
        <f t="shared" si="29"/>
        <v>Ismai</v>
      </c>
      <c r="Q199" t="str">
        <f t="shared" si="30"/>
        <v>Laki-laki</v>
      </c>
      <c r="R199" t="str">
        <f t="shared" si="31"/>
        <v>Demak</v>
      </c>
      <c r="S199" s="21">
        <f t="shared" si="32"/>
        <v>45992</v>
      </c>
      <c r="T199" t="str">
        <f t="shared" si="33"/>
        <v>Ibrohim</v>
      </c>
      <c r="U199" t="str">
        <f t="shared" si="34"/>
        <v>Sarah</v>
      </c>
      <c r="V199" t="str">
        <f>VLOOKUP(O199,Lembar1!$A$4:$H$457,8,FALSE)</f>
        <v>BIO_Images/EBTAQ25-01.225.jpg</v>
      </c>
      <c r="W199" t="str">
        <f>IFERROR(VLOOKUP(O199,Lembar1!$A$4:$I$457,9,FALSE),C199)</f>
        <v>Demak - TPQ BUQ</v>
      </c>
    </row>
    <row r="200" spans="1:23" ht="15.75" hidden="1" thickBot="1" x14ac:dyDescent="0.3">
      <c r="A200" s="33">
        <v>46001.362905092596</v>
      </c>
      <c r="B200" s="34" t="s">
        <v>10</v>
      </c>
      <c r="C200" s="34" t="s">
        <v>342</v>
      </c>
      <c r="D200" s="34" t="s">
        <v>1228</v>
      </c>
      <c r="E200" s="34" t="s">
        <v>10</v>
      </c>
      <c r="F200" s="35">
        <v>41618</v>
      </c>
      <c r="G200" s="34" t="s">
        <v>1987</v>
      </c>
      <c r="H200" s="34" t="s">
        <v>1988</v>
      </c>
      <c r="I200" s="34" t="s">
        <v>66</v>
      </c>
      <c r="J200" s="36" t="s">
        <v>1998</v>
      </c>
      <c r="K200" s="34" t="s">
        <v>1995</v>
      </c>
      <c r="L200" s="78" t="s">
        <v>1999</v>
      </c>
      <c r="M200" s="37" t="s">
        <v>2000</v>
      </c>
      <c r="N200">
        <v>426</v>
      </c>
      <c r="O200" t="str">
        <f t="shared" si="28"/>
        <v>EBTAQ25-01.226</v>
      </c>
      <c r="P200" t="str">
        <f t="shared" si="29"/>
        <v>Ismail</v>
      </c>
      <c r="Q200" t="str">
        <f t="shared" si="30"/>
        <v>Laki-laki</v>
      </c>
      <c r="R200" t="str">
        <f t="shared" si="31"/>
        <v>Demak</v>
      </c>
      <c r="S200" s="21">
        <f t="shared" si="32"/>
        <v>41618</v>
      </c>
      <c r="T200" t="str">
        <f t="shared" si="33"/>
        <v>Ibrohim</v>
      </c>
      <c r="U200" t="str">
        <f t="shared" si="34"/>
        <v>Sarah</v>
      </c>
      <c r="V200" t="str">
        <f>VLOOKUP(O200,Lembar1!$A$4:$H$457,8,FALSE)</f>
        <v>BIO_Images/EBTAQ25-01.226.jpg</v>
      </c>
      <c r="W200" t="str">
        <f>IFERROR(VLOOKUP(O200,Lembar1!$A$4:$I$457,9,FALSE),C200)</f>
        <v>Demak - TPQ BUQ</v>
      </c>
    </row>
    <row r="201" spans="1:23" ht="15.75" hidden="1" thickBot="1" x14ac:dyDescent="0.3">
      <c r="A201" s="49">
        <v>46001.400092592594</v>
      </c>
      <c r="B201" s="52" t="s">
        <v>10</v>
      </c>
      <c r="C201" s="52" t="s">
        <v>342</v>
      </c>
      <c r="D201" s="52" t="s">
        <v>856</v>
      </c>
      <c r="E201" s="52" t="s">
        <v>204</v>
      </c>
      <c r="F201" s="56">
        <v>42456</v>
      </c>
      <c r="G201" s="52" t="s">
        <v>857</v>
      </c>
      <c r="H201" s="52" t="s">
        <v>858</v>
      </c>
      <c r="I201" s="52" t="s">
        <v>2</v>
      </c>
      <c r="J201" s="59" t="s">
        <v>2005</v>
      </c>
      <c r="K201" s="52" t="s">
        <v>1914</v>
      </c>
      <c r="L201" s="77" t="s">
        <v>2006</v>
      </c>
      <c r="M201" s="37" t="s">
        <v>2007</v>
      </c>
      <c r="N201">
        <v>427</v>
      </c>
      <c r="O201" t="str">
        <f t="shared" si="28"/>
        <v>EBTAQ25-01.228</v>
      </c>
      <c r="P201" t="str">
        <f t="shared" si="29"/>
        <v>KHANZA AZZAHRA SAID</v>
      </c>
      <c r="Q201" t="str">
        <f t="shared" si="30"/>
        <v>Perempuan</v>
      </c>
      <c r="R201" t="str">
        <f t="shared" si="31"/>
        <v>SEMARANG</v>
      </c>
      <c r="S201" s="21">
        <f t="shared" si="32"/>
        <v>42456</v>
      </c>
      <c r="T201" t="str">
        <f t="shared" si="33"/>
        <v>ANWAR SAID</v>
      </c>
      <c r="U201" t="str">
        <f t="shared" si="34"/>
        <v>ROIKHATIN NI'MAH</v>
      </c>
      <c r="V201" t="str">
        <f>VLOOKUP(O201,Lembar1!$A$4:$H$457,8,FALSE)</f>
        <v>BIO_Images/EBTAQ25-01.228.jpg</v>
      </c>
      <c r="W201" t="str">
        <f>IFERROR(VLOOKUP(O201,Lembar1!$A$4:$I$457,9,FALSE),C201)</f>
        <v>Demak - TPQ BUQ</v>
      </c>
    </row>
    <row r="202" spans="1:23" ht="15.75" hidden="1" thickBot="1" x14ac:dyDescent="0.3">
      <c r="A202" s="33">
        <v>46000.290266203701</v>
      </c>
      <c r="B202" s="34" t="s">
        <v>10</v>
      </c>
      <c r="C202" s="34" t="s">
        <v>490</v>
      </c>
      <c r="D202" s="34" t="s">
        <v>486</v>
      </c>
      <c r="E202" s="34" t="s">
        <v>10</v>
      </c>
      <c r="F202" s="35">
        <v>42134</v>
      </c>
      <c r="G202" s="34" t="s">
        <v>487</v>
      </c>
      <c r="H202" s="34" t="s">
        <v>488</v>
      </c>
      <c r="I202" s="34" t="s">
        <v>2</v>
      </c>
      <c r="J202" s="36" t="s">
        <v>1441</v>
      </c>
      <c r="K202" s="34" t="s">
        <v>1442</v>
      </c>
      <c r="L202" s="78" t="s">
        <v>485</v>
      </c>
      <c r="M202" s="37" t="s">
        <v>1443</v>
      </c>
      <c r="N202">
        <v>428</v>
      </c>
      <c r="O202" t="str">
        <f t="shared" si="28"/>
        <v>EBTAQ25-01.172</v>
      </c>
      <c r="P202" t="str">
        <f t="shared" si="29"/>
        <v>Myiesha Aquina</v>
      </c>
      <c r="Q202" t="str">
        <f t="shared" si="30"/>
        <v>Perempuan</v>
      </c>
      <c r="R202" t="str">
        <f t="shared" si="31"/>
        <v>Demak</v>
      </c>
      <c r="S202" s="21">
        <f t="shared" si="32"/>
        <v>42134</v>
      </c>
      <c r="T202" t="str">
        <f t="shared" si="33"/>
        <v>Cholil</v>
      </c>
      <c r="U202" t="str">
        <f t="shared" si="34"/>
        <v>Muryani</v>
      </c>
      <c r="V202" t="str">
        <f>VLOOKUP(O202,Lembar1!$A$4:$H$457,8,FALSE)</f>
        <v>BIO_Images/EBTAQ25-01.172.jpeg</v>
      </c>
      <c r="W202" t="str">
        <f>IFERROR(VLOOKUP(O202,Lembar1!$A$4:$I$457,9,FALSE),C202)</f>
        <v>Demak - TPQ ITSBATU TAQWA</v>
      </c>
    </row>
    <row r="203" spans="1:23" ht="15.75" hidden="1" thickBot="1" x14ac:dyDescent="0.3">
      <c r="A203" s="28">
        <v>46000.299780092595</v>
      </c>
      <c r="B203" s="29" t="s">
        <v>10</v>
      </c>
      <c r="C203" s="29" t="s">
        <v>490</v>
      </c>
      <c r="D203" s="29" t="s">
        <v>492</v>
      </c>
      <c r="E203" s="29" t="s">
        <v>10</v>
      </c>
      <c r="F203" s="30">
        <v>41917</v>
      </c>
      <c r="G203" s="29" t="s">
        <v>493</v>
      </c>
      <c r="H203" s="29" t="s">
        <v>494</v>
      </c>
      <c r="I203" s="29" t="s">
        <v>66</v>
      </c>
      <c r="J203" s="31" t="s">
        <v>1444</v>
      </c>
      <c r="K203" s="29" t="s">
        <v>1445</v>
      </c>
      <c r="L203" s="77" t="s">
        <v>491</v>
      </c>
      <c r="M203" s="32" t="s">
        <v>1446</v>
      </c>
      <c r="N203">
        <v>429</v>
      </c>
      <c r="O203" t="str">
        <f t="shared" si="28"/>
        <v>EBTAQ25-01.173</v>
      </c>
      <c r="P203" t="str">
        <f t="shared" si="29"/>
        <v>Faza Husni Mubarok</v>
      </c>
      <c r="Q203" t="str">
        <f t="shared" si="30"/>
        <v>Laki-laki</v>
      </c>
      <c r="R203" t="str">
        <f t="shared" si="31"/>
        <v>Demak</v>
      </c>
      <c r="S203" s="21">
        <f t="shared" si="32"/>
        <v>41917</v>
      </c>
      <c r="T203" t="str">
        <f t="shared" si="33"/>
        <v>Kusmanto</v>
      </c>
      <c r="U203" t="str">
        <f t="shared" si="34"/>
        <v>Suasmiati</v>
      </c>
      <c r="V203" t="str">
        <f>VLOOKUP(O203,Lembar1!$A$4:$H$457,8,FALSE)</f>
        <v>BIO_Images/EBTAQ25-01.173.jpeg</v>
      </c>
      <c r="W203" t="str">
        <f>IFERROR(VLOOKUP(O203,Lembar1!$A$4:$I$457,9,FALSE),C203)</f>
        <v>Demak - TPQ ITSBATU TAQWA</v>
      </c>
    </row>
    <row r="204" spans="1:23" ht="15.75" hidden="1" thickBot="1" x14ac:dyDescent="0.3">
      <c r="A204" s="33">
        <v>46000.305312500001</v>
      </c>
      <c r="B204" s="34" t="s">
        <v>10</v>
      </c>
      <c r="C204" s="34" t="s">
        <v>490</v>
      </c>
      <c r="D204" s="34" t="s">
        <v>502</v>
      </c>
      <c r="E204" s="34" t="s">
        <v>10</v>
      </c>
      <c r="F204" s="35">
        <v>41708</v>
      </c>
      <c r="G204" s="34" t="s">
        <v>503</v>
      </c>
      <c r="H204" s="34" t="s">
        <v>504</v>
      </c>
      <c r="I204" s="34" t="s">
        <v>66</v>
      </c>
      <c r="J204" s="36" t="s">
        <v>1456</v>
      </c>
      <c r="K204" s="34" t="s">
        <v>1457</v>
      </c>
      <c r="L204" s="78" t="s">
        <v>501</v>
      </c>
      <c r="M204" s="37" t="s">
        <v>1458</v>
      </c>
      <c r="N204">
        <v>430</v>
      </c>
      <c r="O204" t="str">
        <f t="shared" si="28"/>
        <v>EBTAQ25-01.175</v>
      </c>
      <c r="P204" t="str">
        <f t="shared" si="29"/>
        <v>MUHAMMAD ABYAN PRATAMA</v>
      </c>
      <c r="Q204" t="str">
        <f t="shared" si="30"/>
        <v>Laki-laki</v>
      </c>
      <c r="R204" t="str">
        <f t="shared" si="31"/>
        <v>Demak</v>
      </c>
      <c r="S204" s="21">
        <f t="shared" si="32"/>
        <v>41708</v>
      </c>
      <c r="T204" t="str">
        <f t="shared" si="33"/>
        <v>Edhi Handayanto</v>
      </c>
      <c r="U204" t="str">
        <f t="shared" si="34"/>
        <v>Indah Wahyuningsih</v>
      </c>
      <c r="V204" t="str">
        <f>VLOOKUP(O204,Lembar1!$A$4:$H$457,8,FALSE)</f>
        <v>BIO_Images/EBTAQ25-01.175.jpg</v>
      </c>
      <c r="W204" t="str">
        <f>IFERROR(VLOOKUP(O204,Lembar1!$A$4:$I$457,9,FALSE),C204)</f>
        <v>Demak - TPQ ITSBATU TAQWA</v>
      </c>
    </row>
    <row r="205" spans="1:23" ht="15.75" hidden="1" thickBot="1" x14ac:dyDescent="0.3">
      <c r="A205" s="28">
        <v>46001.893125000002</v>
      </c>
      <c r="B205" s="29" t="s">
        <v>10</v>
      </c>
      <c r="C205" s="29" t="s">
        <v>490</v>
      </c>
      <c r="D205" s="29" t="s">
        <v>2974</v>
      </c>
      <c r="E205" s="29" t="s">
        <v>28</v>
      </c>
      <c r="F205" s="30">
        <v>41965</v>
      </c>
      <c r="G205" s="29" t="s">
        <v>2975</v>
      </c>
      <c r="H205" s="29" t="s">
        <v>2976</v>
      </c>
      <c r="I205" s="29" t="s">
        <v>2</v>
      </c>
      <c r="J205" s="31" t="s">
        <v>2977</v>
      </c>
      <c r="K205" s="29" t="s">
        <v>2978</v>
      </c>
      <c r="L205" s="77" t="s">
        <v>2979</v>
      </c>
      <c r="M205" s="32" t="s">
        <v>2980</v>
      </c>
      <c r="N205">
        <v>431</v>
      </c>
      <c r="O205" t="str">
        <f t="shared" si="28"/>
        <v>EBTAQ25-01.327</v>
      </c>
      <c r="P205" t="str">
        <f t="shared" si="29"/>
        <v>KIRANA ALMA SUSILO</v>
      </c>
      <c r="Q205" t="str">
        <f t="shared" si="30"/>
        <v>Perempuan</v>
      </c>
      <c r="R205" t="str">
        <f t="shared" si="31"/>
        <v>DEMAK</v>
      </c>
      <c r="S205" s="21">
        <f t="shared" si="32"/>
        <v>41965</v>
      </c>
      <c r="T205" t="str">
        <f t="shared" si="33"/>
        <v>HERI SUSILO</v>
      </c>
      <c r="U205" t="str">
        <f t="shared" si="34"/>
        <v>NUNIK PATRIANI</v>
      </c>
      <c r="V205" t="str">
        <f>VLOOKUP(O205,Lembar1!$A$4:$H$457,8,FALSE)</f>
        <v>BIO_Images/EBTAQ25-01.327.jpg</v>
      </c>
      <c r="W205" t="str">
        <f>IFERROR(VLOOKUP(O205,Lembar1!$A$4:$I$457,9,FALSE),C205)</f>
        <v>Demak - TPQ ITSBATU TAQWA</v>
      </c>
    </row>
    <row r="206" spans="1:23" ht="15.75" hidden="1" thickBot="1" x14ac:dyDescent="0.3">
      <c r="A206" s="50">
        <v>46001.896817129629</v>
      </c>
      <c r="B206" s="53" t="s">
        <v>10</v>
      </c>
      <c r="C206" s="53" t="s">
        <v>490</v>
      </c>
      <c r="D206" s="53" t="s">
        <v>2974</v>
      </c>
      <c r="E206" s="53" t="s">
        <v>28</v>
      </c>
      <c r="F206" s="57">
        <v>41965</v>
      </c>
      <c r="G206" s="53" t="s">
        <v>2975</v>
      </c>
      <c r="H206" s="53" t="s">
        <v>2976</v>
      </c>
      <c r="I206" s="53" t="s">
        <v>2</v>
      </c>
      <c r="J206" s="60" t="s">
        <v>2987</v>
      </c>
      <c r="K206" s="53" t="s">
        <v>2978</v>
      </c>
      <c r="L206" s="78" t="s">
        <v>2988</v>
      </c>
      <c r="M206" s="32" t="s">
        <v>2989</v>
      </c>
      <c r="N206">
        <v>432</v>
      </c>
      <c r="O206" t="str">
        <f t="shared" si="28"/>
        <v>EBTAQ25-01.328</v>
      </c>
      <c r="P206" t="str">
        <f t="shared" si="29"/>
        <v>KIRANA ALMA SUSILO</v>
      </c>
      <c r="Q206" t="str">
        <f t="shared" si="30"/>
        <v>Perempuan</v>
      </c>
      <c r="R206" t="str">
        <f t="shared" si="31"/>
        <v>DEMAK</v>
      </c>
      <c r="S206" s="21">
        <f t="shared" si="32"/>
        <v>41965</v>
      </c>
      <c r="T206" t="str">
        <f t="shared" si="33"/>
        <v>HERI SUSILO</v>
      </c>
      <c r="U206" t="str">
        <f t="shared" si="34"/>
        <v>NUNIK PATRIANI</v>
      </c>
      <c r="V206" t="str">
        <f>VLOOKUP(O206,Lembar1!$A$4:$H$457,8,FALSE)</f>
        <v>BIO_Images/EBTAQ25-01.328.jpg</v>
      </c>
      <c r="W206" t="str">
        <f>IFERROR(VLOOKUP(O206,Lembar1!$A$4:$I$457,9,FALSE),C206)</f>
        <v>Demak - TPQ ITSBATU TAQWA</v>
      </c>
    </row>
    <row r="207" spans="1:23" ht="15.75" hidden="1" thickBot="1" x14ac:dyDescent="0.3">
      <c r="A207" s="28">
        <v>46001.95716435185</v>
      </c>
      <c r="B207" s="29" t="s">
        <v>10</v>
      </c>
      <c r="C207" s="29" t="s">
        <v>490</v>
      </c>
      <c r="D207" s="29" t="s">
        <v>2974</v>
      </c>
      <c r="E207" s="29" t="s">
        <v>28</v>
      </c>
      <c r="F207" s="30">
        <v>41965</v>
      </c>
      <c r="G207" s="29" t="s">
        <v>2975</v>
      </c>
      <c r="H207" s="29" t="s">
        <v>2976</v>
      </c>
      <c r="I207" s="29" t="s">
        <v>2</v>
      </c>
      <c r="J207" s="31" t="s">
        <v>2996</v>
      </c>
      <c r="K207" s="29" t="s">
        <v>2997</v>
      </c>
      <c r="L207" s="77" t="s">
        <v>2998</v>
      </c>
      <c r="M207" s="32" t="s">
        <v>2999</v>
      </c>
      <c r="N207">
        <v>433</v>
      </c>
      <c r="O207" t="str">
        <f t="shared" si="28"/>
        <v>EBTAQ25-01.329</v>
      </c>
      <c r="P207" t="str">
        <f t="shared" si="29"/>
        <v>KIRANA ALMA SUSILO</v>
      </c>
      <c r="Q207" t="str">
        <f t="shared" si="30"/>
        <v>Perempuan</v>
      </c>
      <c r="R207" t="str">
        <f t="shared" si="31"/>
        <v>DEMAK</v>
      </c>
      <c r="S207" s="21">
        <f t="shared" si="32"/>
        <v>41965</v>
      </c>
      <c r="T207" t="str">
        <f t="shared" si="33"/>
        <v>HERI SUSILO</v>
      </c>
      <c r="U207" t="str">
        <f t="shared" si="34"/>
        <v>NUNIK PATRIANI</v>
      </c>
      <c r="V207" t="str">
        <f>VLOOKUP(O207,Lembar1!$A$4:$H$457,8,FALSE)</f>
        <v>BIO_Images/EBTAQ25-01.329.jpg</v>
      </c>
      <c r="W207" t="str">
        <f>IFERROR(VLOOKUP(O207,Lembar1!$A$4:$I$457,9,FALSE),C207)</f>
        <v>Demak - TPQ ITSBATU TAQWA</v>
      </c>
    </row>
    <row r="208" spans="1:23" ht="15.75" hidden="1" thickBot="1" x14ac:dyDescent="0.3">
      <c r="A208" s="50">
        <v>45968.450312499997</v>
      </c>
      <c r="B208" s="53" t="s">
        <v>10</v>
      </c>
      <c r="C208" s="53" t="s">
        <v>14</v>
      </c>
      <c r="D208" s="53" t="s">
        <v>9</v>
      </c>
      <c r="E208" s="53" t="s">
        <v>10</v>
      </c>
      <c r="F208" s="57">
        <v>42501</v>
      </c>
      <c r="G208" s="53" t="s">
        <v>11</v>
      </c>
      <c r="H208" s="53" t="s">
        <v>12</v>
      </c>
      <c r="I208" s="53" t="s">
        <v>2</v>
      </c>
      <c r="J208" s="60" t="s">
        <v>908</v>
      </c>
      <c r="K208" s="53" t="s">
        <v>909</v>
      </c>
      <c r="L208" s="78" t="s">
        <v>8</v>
      </c>
      <c r="M208" s="32" t="s">
        <v>910</v>
      </c>
      <c r="N208">
        <v>434</v>
      </c>
      <c r="O208" t="str">
        <f t="shared" si="28"/>
        <v>EBTAQ25-01.111</v>
      </c>
      <c r="P208" t="str">
        <f t="shared" si="29"/>
        <v>WAKHIDATUN NAILIS SA'ADAH</v>
      </c>
      <c r="Q208" t="str">
        <f t="shared" si="30"/>
        <v>Perempuan</v>
      </c>
      <c r="R208" t="str">
        <f t="shared" si="31"/>
        <v>Demak</v>
      </c>
      <c r="S208" s="21">
        <f t="shared" si="32"/>
        <v>42501</v>
      </c>
      <c r="T208" t="str">
        <f t="shared" si="33"/>
        <v>MAD SOLEH</v>
      </c>
      <c r="U208" t="str">
        <f t="shared" si="34"/>
        <v>SITI KHOLIFAH</v>
      </c>
      <c r="V208" t="str">
        <f>VLOOKUP(O208,Lembar1!$A$4:$H$457,8,FALSE)</f>
        <v>BIO_Images/EBTAQ25-01.111.jpg</v>
      </c>
      <c r="W208" t="str">
        <f>IFERROR(VLOOKUP(O208,Lembar1!$A$4:$I$457,9,FALSE),C208)</f>
        <v>Demak - TPQ KH ALJAZERI</v>
      </c>
    </row>
    <row r="209" spans="1:23" ht="15.75" hidden="1" thickBot="1" x14ac:dyDescent="0.3">
      <c r="A209" s="49">
        <v>45968.494699074072</v>
      </c>
      <c r="B209" s="52" t="s">
        <v>10</v>
      </c>
      <c r="C209" s="52" t="s">
        <v>14</v>
      </c>
      <c r="D209" s="52" t="s">
        <v>16</v>
      </c>
      <c r="E209" s="52" t="s">
        <v>10</v>
      </c>
      <c r="F209" s="56">
        <v>41776</v>
      </c>
      <c r="G209" s="52" t="s">
        <v>17</v>
      </c>
      <c r="H209" s="52" t="s">
        <v>18</v>
      </c>
      <c r="I209" s="52" t="s">
        <v>2</v>
      </c>
      <c r="J209" s="59" t="s">
        <v>911</v>
      </c>
      <c r="K209" s="52" t="s">
        <v>912</v>
      </c>
      <c r="L209" s="77" t="s">
        <v>15</v>
      </c>
      <c r="M209" s="37" t="s">
        <v>913</v>
      </c>
      <c r="N209">
        <v>435</v>
      </c>
      <c r="O209" t="str">
        <f t="shared" si="28"/>
        <v>EBTAQ25-01.112</v>
      </c>
      <c r="P209" t="str">
        <f t="shared" si="29"/>
        <v>Atika Zahra Latifa</v>
      </c>
      <c r="Q209" t="str">
        <f t="shared" si="30"/>
        <v>Perempuan</v>
      </c>
      <c r="R209" t="str">
        <f t="shared" si="31"/>
        <v>Demak</v>
      </c>
      <c r="S209" s="21">
        <f t="shared" si="32"/>
        <v>41776</v>
      </c>
      <c r="T209" t="str">
        <f t="shared" si="33"/>
        <v>Abdul Hadi</v>
      </c>
      <c r="U209" t="str">
        <f t="shared" si="34"/>
        <v>Tika Ikhwal Maryana</v>
      </c>
      <c r="V209" t="str">
        <f>VLOOKUP(O209,Lembar1!$A$4:$H$457,8,FALSE)</f>
        <v>BIO_Images/EBTAQ25-01.112atika - safaroh nizam</v>
      </c>
      <c r="W209" t="str">
        <f>IFERROR(VLOOKUP(O209,Lembar1!$A$4:$I$457,9,FALSE),C209)</f>
        <v>Demak - TPQ KH ALJAZERI</v>
      </c>
    </row>
    <row r="210" spans="1:23" ht="15.75" hidden="1" thickBot="1" x14ac:dyDescent="0.3">
      <c r="A210" s="50">
        <v>45999.208379629628</v>
      </c>
      <c r="B210" s="53" t="s">
        <v>10</v>
      </c>
      <c r="C210" s="53" t="s">
        <v>14</v>
      </c>
      <c r="D210" s="53" t="s">
        <v>258</v>
      </c>
      <c r="E210" s="53" t="s">
        <v>259</v>
      </c>
      <c r="F210" s="57">
        <v>42162</v>
      </c>
      <c r="G210" s="53" t="s">
        <v>260</v>
      </c>
      <c r="H210" s="53" t="s">
        <v>261</v>
      </c>
      <c r="I210" s="53" t="s">
        <v>2</v>
      </c>
      <c r="J210" s="60" t="s">
        <v>1150</v>
      </c>
      <c r="K210" s="53" t="s">
        <v>1151</v>
      </c>
      <c r="L210" s="78" t="s">
        <v>257</v>
      </c>
      <c r="M210" s="32" t="s">
        <v>1152</v>
      </c>
      <c r="N210">
        <v>436</v>
      </c>
      <c r="O210" t="str">
        <f t="shared" si="28"/>
        <v>EBTAQ25-01.139</v>
      </c>
      <c r="P210" t="str">
        <f t="shared" si="29"/>
        <v>Zidnatul ilma</v>
      </c>
      <c r="Q210" t="str">
        <f t="shared" si="30"/>
        <v>Perempuan</v>
      </c>
      <c r="R210" t="str">
        <f t="shared" si="31"/>
        <v>Mlaten, karang melati, kec. Demak, kab. Semakin</v>
      </c>
      <c r="S210" s="21">
        <f t="shared" si="32"/>
        <v>42162</v>
      </c>
      <c r="T210" t="str">
        <f t="shared" si="33"/>
        <v>Hadi mahmudi</v>
      </c>
      <c r="U210" t="str">
        <f t="shared" si="34"/>
        <v>Siti azizah</v>
      </c>
      <c r="V210" t="str">
        <f>VLOOKUP(O210,Lembar1!$A$4:$H$457,8,FALSE)</f>
        <v>BIO_Images/EBTAQ25-01.139.jpg</v>
      </c>
      <c r="W210" t="str">
        <f>IFERROR(VLOOKUP(O210,Lembar1!$A$4:$I$457,9,FALSE),C210)</f>
        <v>Demak - TPQ KH ALJAZERI</v>
      </c>
    </row>
    <row r="211" spans="1:23" ht="15.75" hidden="1" thickBot="1" x14ac:dyDescent="0.3">
      <c r="A211" s="49">
        <v>45999.288935185185</v>
      </c>
      <c r="B211" s="52" t="s">
        <v>10</v>
      </c>
      <c r="C211" s="52" t="s">
        <v>14</v>
      </c>
      <c r="D211" s="52" t="s">
        <v>280</v>
      </c>
      <c r="E211" s="52" t="s">
        <v>28</v>
      </c>
      <c r="F211" s="56">
        <v>42022</v>
      </c>
      <c r="G211" s="52" t="s">
        <v>281</v>
      </c>
      <c r="H211" s="52" t="s">
        <v>282</v>
      </c>
      <c r="I211" s="52" t="s">
        <v>66</v>
      </c>
      <c r="J211" s="59" t="s">
        <v>1169</v>
      </c>
      <c r="K211" s="52" t="s">
        <v>1170</v>
      </c>
      <c r="L211" s="77" t="s">
        <v>279</v>
      </c>
      <c r="M211" s="37" t="s">
        <v>1171</v>
      </c>
      <c r="N211">
        <v>437</v>
      </c>
      <c r="O211" t="str">
        <f t="shared" si="28"/>
        <v>EBTAQ25-01.140</v>
      </c>
      <c r="P211" t="str">
        <f t="shared" si="29"/>
        <v>ARSYA MAULANA FIRMANSYAH</v>
      </c>
      <c r="Q211" t="str">
        <f t="shared" si="30"/>
        <v>Laki-laki</v>
      </c>
      <c r="R211" t="str">
        <f t="shared" si="31"/>
        <v>DEMAK</v>
      </c>
      <c r="S211" s="21">
        <f t="shared" si="32"/>
        <v>42022</v>
      </c>
      <c r="T211" t="str">
        <f t="shared" si="33"/>
        <v>MEN KARSIMAN</v>
      </c>
      <c r="U211" t="str">
        <f t="shared" si="34"/>
        <v>ZAKHIYAH SYAFITRI</v>
      </c>
      <c r="V211" t="str">
        <f>VLOOKUP(O211,Lembar1!$A$4:$H$457,8,FALSE)</f>
        <v>BIO_Images/EBTAQ25-01.140.jpg</v>
      </c>
      <c r="W211" t="str">
        <f>IFERROR(VLOOKUP(O211,Lembar1!$A$4:$I$457,9,FALSE),C211)</f>
        <v>Demak - TPQ KH ALJAZERI</v>
      </c>
    </row>
    <row r="212" spans="1:23" ht="15.75" hidden="1" thickBot="1" x14ac:dyDescent="0.3">
      <c r="A212" s="50">
        <v>45999.323113425926</v>
      </c>
      <c r="B212" s="53" t="s">
        <v>10</v>
      </c>
      <c r="C212" s="53" t="s">
        <v>14</v>
      </c>
      <c r="D212" s="53" t="s">
        <v>296</v>
      </c>
      <c r="E212" s="53" t="s">
        <v>10</v>
      </c>
      <c r="F212" s="57">
        <v>41644</v>
      </c>
      <c r="G212" s="53" t="s">
        <v>297</v>
      </c>
      <c r="H212" s="53" t="s">
        <v>298</v>
      </c>
      <c r="I212" s="53" t="s">
        <v>2</v>
      </c>
      <c r="J212" s="60" t="s">
        <v>1178</v>
      </c>
      <c r="K212" s="53" t="s">
        <v>1179</v>
      </c>
      <c r="L212" s="78" t="s">
        <v>295</v>
      </c>
      <c r="M212" s="32" t="s">
        <v>1180</v>
      </c>
      <c r="N212">
        <v>438</v>
      </c>
      <c r="O212" t="str">
        <f t="shared" si="28"/>
        <v>EBTAQ25-01.141</v>
      </c>
      <c r="P212" t="str">
        <f t="shared" si="29"/>
        <v>MURNI ASIH ARDIANTI</v>
      </c>
      <c r="Q212" t="str">
        <f t="shared" si="30"/>
        <v>Perempuan</v>
      </c>
      <c r="R212" t="str">
        <f t="shared" si="31"/>
        <v>Demak</v>
      </c>
      <c r="S212" s="21">
        <f t="shared" si="32"/>
        <v>41644</v>
      </c>
      <c r="T212" t="str">
        <f t="shared" si="33"/>
        <v>Zaenal Sodikin</v>
      </c>
      <c r="U212" t="str">
        <f t="shared" si="34"/>
        <v>Dewi Ratnawati</v>
      </c>
      <c r="V212" t="str">
        <f>VLOOKUP(O212,Lembar1!$A$4:$H$457,8,FALSE)</f>
        <v>BIO_Images/EBTAQ25-01.141.jpg</v>
      </c>
      <c r="W212" t="str">
        <f>IFERROR(VLOOKUP(O212,Lembar1!$A$4:$I$457,9,FALSE),C212)</f>
        <v>Demak - TPQ KH ALJAZERI</v>
      </c>
    </row>
    <row r="213" spans="1:23" ht="15.75" hidden="1" thickBot="1" x14ac:dyDescent="0.3">
      <c r="A213" s="28">
        <v>45999.342673611114</v>
      </c>
      <c r="B213" s="29" t="s">
        <v>10</v>
      </c>
      <c r="C213" s="29" t="s">
        <v>14</v>
      </c>
      <c r="D213" s="29" t="s">
        <v>301</v>
      </c>
      <c r="E213" s="29" t="s">
        <v>10</v>
      </c>
      <c r="F213" s="30">
        <v>42367</v>
      </c>
      <c r="G213" s="29" t="s">
        <v>302</v>
      </c>
      <c r="H213" s="29" t="s">
        <v>303</v>
      </c>
      <c r="I213" s="29" t="s">
        <v>2</v>
      </c>
      <c r="J213" s="31" t="s">
        <v>1187</v>
      </c>
      <c r="K213" s="29" t="s">
        <v>1188</v>
      </c>
      <c r="L213" s="77" t="s">
        <v>300</v>
      </c>
      <c r="M213" s="32" t="s">
        <v>1189</v>
      </c>
      <c r="N213">
        <v>439</v>
      </c>
      <c r="O213" t="str">
        <f t="shared" si="28"/>
        <v>EBTAQ25-01.142</v>
      </c>
      <c r="P213" t="str">
        <f t="shared" si="29"/>
        <v>Kamilatun Ni'mah</v>
      </c>
      <c r="Q213" t="str">
        <f t="shared" si="30"/>
        <v>Perempuan</v>
      </c>
      <c r="R213" t="str">
        <f t="shared" si="31"/>
        <v>Demak</v>
      </c>
      <c r="S213" s="21">
        <f t="shared" si="32"/>
        <v>42367</v>
      </c>
      <c r="T213" t="str">
        <f t="shared" si="33"/>
        <v>Nur Alex</v>
      </c>
      <c r="U213" t="str">
        <f t="shared" si="34"/>
        <v>Romi Zuli astuti</v>
      </c>
      <c r="V213" t="str">
        <f>VLOOKUP(O213,Lembar1!$A$4:$H$457,8,FALSE)</f>
        <v>BIO_Images/EBTAQ25-01.142.jpg</v>
      </c>
      <c r="W213" t="str">
        <f>IFERROR(VLOOKUP(O213,Lembar1!$A$4:$I$457,9,FALSE),C213)</f>
        <v>Demak - TPQ KH ALJAZERI</v>
      </c>
    </row>
    <row r="214" spans="1:23" ht="15.75" hidden="1" thickBot="1" x14ac:dyDescent="0.3">
      <c r="A214" s="33">
        <v>45999.423483796294</v>
      </c>
      <c r="B214" s="34" t="s">
        <v>10</v>
      </c>
      <c r="C214" s="34" t="s">
        <v>14</v>
      </c>
      <c r="D214" s="34" t="s">
        <v>321</v>
      </c>
      <c r="E214" s="34" t="s">
        <v>322</v>
      </c>
      <c r="F214" s="35">
        <v>42501</v>
      </c>
      <c r="G214" s="34" t="s">
        <v>323</v>
      </c>
      <c r="H214" s="34" t="s">
        <v>324</v>
      </c>
      <c r="I214" s="34" t="s">
        <v>2</v>
      </c>
      <c r="J214" s="36" t="s">
        <v>1247</v>
      </c>
      <c r="K214" s="34" t="s">
        <v>1248</v>
      </c>
      <c r="L214" s="78" t="s">
        <v>320</v>
      </c>
      <c r="M214" s="37" t="s">
        <v>1249</v>
      </c>
      <c r="N214">
        <v>440</v>
      </c>
      <c r="O214" t="str">
        <f t="shared" si="28"/>
        <v>EBTAQ25-01.144</v>
      </c>
      <c r="P214" t="str">
        <f t="shared" si="29"/>
        <v>Wakhidatunnailissaadah</v>
      </c>
      <c r="Q214" t="str">
        <f t="shared" si="30"/>
        <v>Perempuan</v>
      </c>
      <c r="R214" t="str">
        <f t="shared" si="31"/>
        <v>Krajan mangunjiwan 02 04</v>
      </c>
      <c r="S214" s="21">
        <f t="shared" si="32"/>
        <v>42501</v>
      </c>
      <c r="T214" t="str">
        <f t="shared" si="33"/>
        <v>Mad soleh</v>
      </c>
      <c r="U214" t="str">
        <f t="shared" si="34"/>
        <v>Siti kholifah</v>
      </c>
      <c r="V214" t="str">
        <f>VLOOKUP(O214,Lembar1!$A$4:$H$457,8,FALSE)</f>
        <v>BIO_Images/EBTAQ25-01.144.jpg</v>
      </c>
      <c r="W214" t="str">
        <f>IFERROR(VLOOKUP(O214,Lembar1!$A$4:$I$457,9,FALSE),C214)</f>
        <v>Demak - TPQ KH ALJAZERI</v>
      </c>
    </row>
    <row r="215" spans="1:23" ht="15.75" hidden="1" thickBot="1" x14ac:dyDescent="0.3">
      <c r="A215" s="49">
        <v>45999.484826388885</v>
      </c>
      <c r="B215" s="52" t="s">
        <v>10</v>
      </c>
      <c r="C215" s="52" t="s">
        <v>14</v>
      </c>
      <c r="D215" s="52" t="s">
        <v>334</v>
      </c>
      <c r="E215" s="52" t="s">
        <v>10</v>
      </c>
      <c r="F215" s="56">
        <v>42774</v>
      </c>
      <c r="G215" s="52" t="s">
        <v>335</v>
      </c>
      <c r="H215" s="52" t="s">
        <v>336</v>
      </c>
      <c r="I215" s="52" t="s">
        <v>66</v>
      </c>
      <c r="J215" s="59" t="s">
        <v>1276</v>
      </c>
      <c r="K215" s="52" t="s">
        <v>1277</v>
      </c>
      <c r="L215" s="77" t="s">
        <v>333</v>
      </c>
      <c r="M215" s="37" t="s">
        <v>1278</v>
      </c>
      <c r="N215">
        <v>441</v>
      </c>
      <c r="O215" t="str">
        <f t="shared" si="28"/>
        <v>EBTAQ25-01.145</v>
      </c>
      <c r="P215" t="str">
        <f t="shared" si="29"/>
        <v>Arsya pradipta kurniawan</v>
      </c>
      <c r="Q215" t="str">
        <f t="shared" si="30"/>
        <v>Laki-laki</v>
      </c>
      <c r="R215" t="str">
        <f t="shared" si="31"/>
        <v>Demak</v>
      </c>
      <c r="S215" s="21">
        <f t="shared" si="32"/>
        <v>42774</v>
      </c>
      <c r="T215" t="str">
        <f t="shared" si="33"/>
        <v>Ganda kurniawan</v>
      </c>
      <c r="U215" t="str">
        <f t="shared" si="34"/>
        <v>Nurul ulfa kartika bintarum</v>
      </c>
      <c r="V215" t="str">
        <f>VLOOKUP(O215,Lembar1!$A$4:$H$457,8,FALSE)</f>
        <v>BIO_Images/EBTAQ25-01.145.jpg</v>
      </c>
      <c r="W215" t="str">
        <f>IFERROR(VLOOKUP(O215,Lembar1!$A$4:$I$457,9,FALSE),C215)</f>
        <v>Demak - TPQ KH ALJAZERI</v>
      </c>
    </row>
    <row r="216" spans="1:23" ht="15.75" hidden="1" thickBot="1" x14ac:dyDescent="0.3">
      <c r="A216" s="50">
        <v>45999.559201388889</v>
      </c>
      <c r="B216" s="53" t="s">
        <v>10</v>
      </c>
      <c r="C216" s="53" t="s">
        <v>14</v>
      </c>
      <c r="D216" s="53" t="s">
        <v>354</v>
      </c>
      <c r="E216" s="53" t="s">
        <v>10</v>
      </c>
      <c r="F216" s="57">
        <v>41756</v>
      </c>
      <c r="G216" s="53" t="s">
        <v>355</v>
      </c>
      <c r="H216" s="53" t="s">
        <v>356</v>
      </c>
      <c r="I216" s="53" t="s">
        <v>66</v>
      </c>
      <c r="J216" s="60" t="s">
        <v>1305</v>
      </c>
      <c r="K216" s="53" t="s">
        <v>1306</v>
      </c>
      <c r="L216" s="78" t="s">
        <v>353</v>
      </c>
      <c r="M216" s="32" t="s">
        <v>1307</v>
      </c>
      <c r="N216">
        <v>442</v>
      </c>
      <c r="O216" t="str">
        <f t="shared" si="28"/>
        <v>EBTAQ25-01.149</v>
      </c>
      <c r="P216" t="str">
        <f t="shared" si="29"/>
        <v>Fadhil Yaqdan Nasrullah</v>
      </c>
      <c r="Q216" t="str">
        <f t="shared" si="30"/>
        <v>Laki-laki</v>
      </c>
      <c r="R216" t="str">
        <f t="shared" si="31"/>
        <v>Demak</v>
      </c>
      <c r="S216" s="21">
        <f t="shared" si="32"/>
        <v>41756</v>
      </c>
      <c r="T216" t="str">
        <f t="shared" si="33"/>
        <v>Faizal Riza</v>
      </c>
      <c r="U216" t="str">
        <f t="shared" si="34"/>
        <v>Nur Hasanah</v>
      </c>
      <c r="V216" t="str">
        <f>VLOOKUP(O216,Lembar1!$A$4:$H$457,8,FALSE)</f>
        <v>BIO_Images/EBTAQ25-01.149.jpg</v>
      </c>
      <c r="W216" t="str">
        <f>IFERROR(VLOOKUP(O216,Lembar1!$A$4:$I$457,9,FALSE),C216)</f>
        <v>Demak - TPQ KH ALJAZERI</v>
      </c>
    </row>
    <row r="217" spans="1:23" ht="15.75" hidden="1" thickBot="1" x14ac:dyDescent="0.3">
      <c r="A217" s="49">
        <v>45999.59884259259</v>
      </c>
      <c r="B217" s="52" t="s">
        <v>10</v>
      </c>
      <c r="C217" s="52" t="s">
        <v>14</v>
      </c>
      <c r="D217" s="52" t="s">
        <v>392</v>
      </c>
      <c r="E217" s="52" t="s">
        <v>10</v>
      </c>
      <c r="F217" s="56">
        <v>41889</v>
      </c>
      <c r="G217" s="52" t="s">
        <v>393</v>
      </c>
      <c r="H217" s="52" t="s">
        <v>394</v>
      </c>
      <c r="I217" s="52" t="s">
        <v>2</v>
      </c>
      <c r="J217" s="59" t="s">
        <v>1338</v>
      </c>
      <c r="K217" s="52" t="s">
        <v>1339</v>
      </c>
      <c r="L217" s="77" t="s">
        <v>391</v>
      </c>
      <c r="M217" s="37" t="s">
        <v>1340</v>
      </c>
      <c r="N217">
        <v>443</v>
      </c>
      <c r="O217" t="str">
        <f t="shared" si="28"/>
        <v>EBTAQ25-01.156</v>
      </c>
      <c r="P217" t="str">
        <f t="shared" si="29"/>
        <v>ARDILA SEPTIANI</v>
      </c>
      <c r="Q217" t="str">
        <f t="shared" si="30"/>
        <v>Perempuan</v>
      </c>
      <c r="R217" t="str">
        <f t="shared" si="31"/>
        <v>Demak</v>
      </c>
      <c r="S217" s="21">
        <f t="shared" si="32"/>
        <v>41889</v>
      </c>
      <c r="T217" t="str">
        <f t="shared" si="33"/>
        <v>Drajad sigit marsinggih</v>
      </c>
      <c r="U217" t="str">
        <f t="shared" si="34"/>
        <v>Nur faida</v>
      </c>
      <c r="V217" t="str">
        <f>VLOOKUP(O217,Lembar1!$A$4:$H$457,8,FALSE)</f>
        <v>BIO_Images/EBTAQ25-01.156.jpg</v>
      </c>
      <c r="W217" t="str">
        <f>IFERROR(VLOOKUP(O217,Lembar1!$A$4:$I$457,9,FALSE),C217)</f>
        <v>Demak - TPQ KH ALJAZERI</v>
      </c>
    </row>
    <row r="218" spans="1:23" ht="15.75" hidden="1" thickBot="1" x14ac:dyDescent="0.3">
      <c r="A218" s="33">
        <v>45999.62400462963</v>
      </c>
      <c r="B218" s="34" t="s">
        <v>10</v>
      </c>
      <c r="C218" s="34" t="s">
        <v>14</v>
      </c>
      <c r="D218" s="34" t="s">
        <v>397</v>
      </c>
      <c r="E218" s="34" t="s">
        <v>10</v>
      </c>
      <c r="F218" s="35">
        <v>42591</v>
      </c>
      <c r="G218" s="34" t="s">
        <v>398</v>
      </c>
      <c r="H218" s="34" t="s">
        <v>399</v>
      </c>
      <c r="I218" s="34" t="s">
        <v>2</v>
      </c>
      <c r="J218" s="36" t="s">
        <v>1358</v>
      </c>
      <c r="K218" s="34" t="s">
        <v>1359</v>
      </c>
      <c r="L218" s="78" t="s">
        <v>396</v>
      </c>
      <c r="M218" s="37" t="s">
        <v>1360</v>
      </c>
      <c r="N218">
        <v>444</v>
      </c>
      <c r="O218" t="str">
        <f t="shared" si="28"/>
        <v>EBTAQ25-01.157</v>
      </c>
      <c r="P218" t="str">
        <f t="shared" si="29"/>
        <v>Shofia naila saadah</v>
      </c>
      <c r="Q218" t="str">
        <f t="shared" si="30"/>
        <v>Perempuan</v>
      </c>
      <c r="R218" t="str">
        <f t="shared" si="31"/>
        <v>Demak</v>
      </c>
      <c r="S218" s="21">
        <f t="shared" si="32"/>
        <v>42591</v>
      </c>
      <c r="T218" t="str">
        <f t="shared" si="33"/>
        <v>Chairul Anam</v>
      </c>
      <c r="U218" t="str">
        <f t="shared" si="34"/>
        <v>Khoirotun Nisa</v>
      </c>
      <c r="V218" t="str">
        <f>VLOOKUP(O218,Lembar1!$A$4:$H$457,8,FALSE)</f>
        <v>BIO_Images/EBTAQ25-01.157.jpg</v>
      </c>
      <c r="W218" t="str">
        <f>IFERROR(VLOOKUP(O218,Lembar1!$A$4:$I$457,9,FALSE),C218)</f>
        <v>Demak - TPQ KH ALJAZERI</v>
      </c>
    </row>
    <row r="219" spans="1:23" ht="15.75" hidden="1" thickBot="1" x14ac:dyDescent="0.3">
      <c r="A219" s="28">
        <v>45999.648738425924</v>
      </c>
      <c r="B219" s="29" t="s">
        <v>10</v>
      </c>
      <c r="C219" s="29" t="s">
        <v>14</v>
      </c>
      <c r="D219" s="29" t="s">
        <v>16</v>
      </c>
      <c r="E219" s="29" t="s">
        <v>402</v>
      </c>
      <c r="F219" s="30">
        <v>41776</v>
      </c>
      <c r="G219" s="29" t="s">
        <v>403</v>
      </c>
      <c r="H219" s="29" t="s">
        <v>404</v>
      </c>
      <c r="I219" s="29" t="s">
        <v>2</v>
      </c>
      <c r="J219" s="31" t="s">
        <v>1361</v>
      </c>
      <c r="K219" s="29" t="s">
        <v>1362</v>
      </c>
      <c r="L219" s="77" t="s">
        <v>401</v>
      </c>
      <c r="M219" s="32" t="s">
        <v>1363</v>
      </c>
      <c r="N219">
        <v>445</v>
      </c>
      <c r="O219" t="str">
        <f t="shared" si="28"/>
        <v>EBTAQ25-01.158</v>
      </c>
      <c r="P219" t="str">
        <f t="shared" si="29"/>
        <v>Atika Zahra Latifa</v>
      </c>
      <c r="Q219" t="str">
        <f t="shared" si="30"/>
        <v>Perempuan</v>
      </c>
      <c r="R219" t="str">
        <f t="shared" si="31"/>
        <v>demak</v>
      </c>
      <c r="S219" s="21">
        <f t="shared" si="32"/>
        <v>41776</v>
      </c>
      <c r="T219" t="str">
        <f t="shared" si="33"/>
        <v>ABDUL HADI</v>
      </c>
      <c r="U219" t="str">
        <f t="shared" si="34"/>
        <v>TIKA IKHWAL MARYANA</v>
      </c>
      <c r="V219" t="str">
        <f>VLOOKUP(O219,Lembar1!$A$4:$H$457,8,FALSE)</f>
        <v>BIO_Images/EBTAQ25-01.158.jpg</v>
      </c>
      <c r="W219" t="str">
        <f>IFERROR(VLOOKUP(O219,Lembar1!$A$4:$I$457,9,FALSE),C219)</f>
        <v>Demak - TPQ KH ALJAZERI</v>
      </c>
    </row>
    <row r="220" spans="1:23" ht="15.75" hidden="1" thickBot="1" x14ac:dyDescent="0.3">
      <c r="A220" s="33">
        <v>45999.650555555556</v>
      </c>
      <c r="B220" s="34" t="s">
        <v>10</v>
      </c>
      <c r="C220" s="34" t="s">
        <v>14</v>
      </c>
      <c r="D220" s="34" t="s">
        <v>407</v>
      </c>
      <c r="E220" s="34" t="s">
        <v>10</v>
      </c>
      <c r="F220" s="35">
        <v>41776</v>
      </c>
      <c r="G220" s="34" t="s">
        <v>408</v>
      </c>
      <c r="H220" s="34" t="s">
        <v>409</v>
      </c>
      <c r="I220" s="34" t="s">
        <v>2</v>
      </c>
      <c r="J220" s="36" t="s">
        <v>1364</v>
      </c>
      <c r="K220" s="34" t="s">
        <v>1365</v>
      </c>
      <c r="L220" s="78" t="s">
        <v>406</v>
      </c>
      <c r="M220" s="37" t="s">
        <v>1366</v>
      </c>
      <c r="N220">
        <v>446</v>
      </c>
      <c r="O220" t="str">
        <f t="shared" si="28"/>
        <v>EBTAQ25-01.159</v>
      </c>
      <c r="P220" t="str">
        <f t="shared" si="29"/>
        <v>Atika zahra latifa</v>
      </c>
      <c r="Q220" t="str">
        <f t="shared" si="30"/>
        <v>Perempuan</v>
      </c>
      <c r="R220" t="str">
        <f t="shared" si="31"/>
        <v>Demak</v>
      </c>
      <c r="S220" s="21">
        <f t="shared" si="32"/>
        <v>41776</v>
      </c>
      <c r="T220" t="str">
        <f t="shared" si="33"/>
        <v>Abdul hadi</v>
      </c>
      <c r="U220" t="str">
        <f t="shared" si="34"/>
        <v>Tika ikhwal maryana</v>
      </c>
      <c r="V220" t="str">
        <f>VLOOKUP(O220,Lembar1!$A$4:$H$457,8,FALSE)</f>
        <v>BIO_Images/EBTAQ25-01.159.jpg</v>
      </c>
      <c r="W220" t="str">
        <f>IFERROR(VLOOKUP(O220,Lembar1!$A$4:$I$457,9,FALSE),C220)</f>
        <v>Demak - TPQ KH ALJAZERI</v>
      </c>
    </row>
    <row r="221" spans="1:23" ht="15.75" hidden="1" thickBot="1" x14ac:dyDescent="0.3">
      <c r="A221" s="28">
        <v>45999.652499999997</v>
      </c>
      <c r="B221" s="29" t="s">
        <v>10</v>
      </c>
      <c r="C221" s="29" t="s">
        <v>14</v>
      </c>
      <c r="D221" s="29" t="s">
        <v>412</v>
      </c>
      <c r="E221" s="29" t="s">
        <v>59</v>
      </c>
      <c r="F221" s="30">
        <v>41903</v>
      </c>
      <c r="G221" s="29" t="s">
        <v>413</v>
      </c>
      <c r="H221" s="29" t="s">
        <v>414</v>
      </c>
      <c r="I221" s="29" t="s">
        <v>2</v>
      </c>
      <c r="J221" s="31" t="s">
        <v>1367</v>
      </c>
      <c r="K221" s="29" t="s">
        <v>1368</v>
      </c>
      <c r="L221" s="77" t="s">
        <v>411</v>
      </c>
      <c r="M221" s="32" t="s">
        <v>1369</v>
      </c>
      <c r="N221">
        <v>447</v>
      </c>
      <c r="O221" t="str">
        <f t="shared" si="28"/>
        <v>EBTAQ25-01.160</v>
      </c>
      <c r="P221" t="str">
        <f t="shared" si="29"/>
        <v>Naella Putri Olivia</v>
      </c>
      <c r="Q221" t="str">
        <f t="shared" si="30"/>
        <v>Perempuan</v>
      </c>
      <c r="R221" t="str">
        <f t="shared" si="31"/>
        <v>Semarang</v>
      </c>
      <c r="S221" s="21">
        <f t="shared" si="32"/>
        <v>41903</v>
      </c>
      <c r="T221" t="str">
        <f t="shared" si="33"/>
        <v>Muhammad muntoha</v>
      </c>
      <c r="U221" t="str">
        <f t="shared" si="34"/>
        <v>Upik Nilawati</v>
      </c>
      <c r="V221" t="str">
        <f>VLOOKUP(O221,Lembar1!$A$4:$H$457,8,FALSE)</f>
        <v>BIO_Images/EBTAQ25-01.160.jpg</v>
      </c>
      <c r="W221" t="str">
        <f>IFERROR(VLOOKUP(O221,Lembar1!$A$4:$I$457,9,FALSE),C221)</f>
        <v>Demak - TPQ KH ALJAZERI</v>
      </c>
    </row>
    <row r="222" spans="1:23" ht="15.75" hidden="1" thickBot="1" x14ac:dyDescent="0.3">
      <c r="A222" s="33">
        <v>45999.653136574074</v>
      </c>
      <c r="B222" s="34" t="s">
        <v>10</v>
      </c>
      <c r="C222" s="34" t="s">
        <v>14</v>
      </c>
      <c r="D222" s="34" t="s">
        <v>417</v>
      </c>
      <c r="E222" s="34" t="s">
        <v>28</v>
      </c>
      <c r="F222" s="35">
        <v>41702</v>
      </c>
      <c r="G222" s="34" t="s">
        <v>418</v>
      </c>
      <c r="H222" s="34" t="s">
        <v>419</v>
      </c>
      <c r="I222" s="34" t="s">
        <v>2</v>
      </c>
      <c r="J222" s="36" t="s">
        <v>1370</v>
      </c>
      <c r="K222" s="34" t="s">
        <v>1371</v>
      </c>
      <c r="L222" s="78" t="s">
        <v>416</v>
      </c>
      <c r="M222" s="37" t="s">
        <v>1372</v>
      </c>
      <c r="N222">
        <v>448</v>
      </c>
      <c r="O222" t="str">
        <f t="shared" si="28"/>
        <v>EBTAQ25-01.161</v>
      </c>
      <c r="P222" t="str">
        <f t="shared" si="29"/>
        <v>JIHAN AZZAHRA</v>
      </c>
      <c r="Q222" t="str">
        <f t="shared" si="30"/>
        <v>Perempuan</v>
      </c>
      <c r="R222" t="str">
        <f t="shared" si="31"/>
        <v>DEMAK</v>
      </c>
      <c r="S222" s="21">
        <f t="shared" si="32"/>
        <v>41702</v>
      </c>
      <c r="T222" t="str">
        <f t="shared" si="33"/>
        <v>IPUNG TRI YUWANTORO</v>
      </c>
      <c r="U222" t="str">
        <f t="shared" si="34"/>
        <v>RAMAYANTI</v>
      </c>
      <c r="V222" t="str">
        <f>VLOOKUP(O222,Lembar1!$A$4:$H$457,8,FALSE)</f>
        <v>BIO_Images/EBTAQ25-01.161.jpg</v>
      </c>
      <c r="W222" t="str">
        <f>IFERROR(VLOOKUP(O222,Lembar1!$A$4:$I$457,9,FALSE),C222)</f>
        <v>Demak - TPQ KH ALJAZERI</v>
      </c>
    </row>
    <row r="223" spans="1:23" ht="15.75" hidden="1" thickBot="1" x14ac:dyDescent="0.3">
      <c r="A223" s="28">
        <v>45999.655682870369</v>
      </c>
      <c r="B223" s="29" t="s">
        <v>10</v>
      </c>
      <c r="C223" s="29" t="s">
        <v>14</v>
      </c>
      <c r="D223" s="29" t="s">
        <v>422</v>
      </c>
      <c r="E223" s="29" t="s">
        <v>423</v>
      </c>
      <c r="F223" s="30">
        <v>41644</v>
      </c>
      <c r="G223" s="29" t="s">
        <v>297</v>
      </c>
      <c r="H223" s="29" t="s">
        <v>298</v>
      </c>
      <c r="I223" s="29" t="s">
        <v>2</v>
      </c>
      <c r="J223" s="31" t="s">
        <v>1373</v>
      </c>
      <c r="K223" s="29" t="s">
        <v>1374</v>
      </c>
      <c r="L223" s="77" t="s">
        <v>421</v>
      </c>
      <c r="M223" s="32" t="s">
        <v>1375</v>
      </c>
      <c r="N223">
        <v>449</v>
      </c>
      <c r="O223" t="str">
        <f t="shared" si="28"/>
        <v>EBTAQ25-01.162</v>
      </c>
      <c r="P223" t="str">
        <f t="shared" si="29"/>
        <v>Murni Asih Ardianti</v>
      </c>
      <c r="Q223" t="str">
        <f t="shared" si="30"/>
        <v>Perempuan</v>
      </c>
      <c r="R223" t="str">
        <f t="shared" si="31"/>
        <v>Demak, Jawa tengah</v>
      </c>
      <c r="S223" s="21">
        <f t="shared" si="32"/>
        <v>41644</v>
      </c>
      <c r="T223" t="str">
        <f t="shared" si="33"/>
        <v>Zaenal Sodikin</v>
      </c>
      <c r="U223" t="str">
        <f t="shared" si="34"/>
        <v>Dewi Ratnawati</v>
      </c>
      <c r="V223" t="str">
        <f>VLOOKUP(O223,Lembar1!$A$4:$H$457,8,FALSE)</f>
        <v>BIO_Images/EBTAQ25-01.162.jpg</v>
      </c>
      <c r="W223" t="str">
        <f>IFERROR(VLOOKUP(O223,Lembar1!$A$4:$I$457,9,FALSE),C223)</f>
        <v>Demak - TPQ KH ALJAZERI</v>
      </c>
    </row>
    <row r="224" spans="1:23" ht="15.75" hidden="1" thickBot="1" x14ac:dyDescent="0.3">
      <c r="A224" s="33">
        <v>45999.709398148145</v>
      </c>
      <c r="B224" s="34" t="s">
        <v>10</v>
      </c>
      <c r="C224" s="34" t="s">
        <v>14</v>
      </c>
      <c r="D224" s="34" t="s">
        <v>443</v>
      </c>
      <c r="E224" s="34" t="s">
        <v>315</v>
      </c>
      <c r="F224" s="35">
        <v>42181</v>
      </c>
      <c r="G224" s="34" t="s">
        <v>444</v>
      </c>
      <c r="H224" s="34" t="s">
        <v>194</v>
      </c>
      <c r="I224" s="34" t="s">
        <v>2</v>
      </c>
      <c r="J224" s="36" t="s">
        <v>1400</v>
      </c>
      <c r="K224" s="34" t="s">
        <v>1401</v>
      </c>
      <c r="L224" s="78" t="s">
        <v>442</v>
      </c>
      <c r="M224" s="37" t="s">
        <v>1402</v>
      </c>
      <c r="N224">
        <v>450</v>
      </c>
      <c r="O224" t="str">
        <f t="shared" si="28"/>
        <v>EBTAQ25-01.166</v>
      </c>
      <c r="P224" t="str">
        <f t="shared" si="29"/>
        <v>KEISHA ANGELIA BUNGA</v>
      </c>
      <c r="Q224" t="str">
        <f t="shared" si="30"/>
        <v>Perempuan</v>
      </c>
      <c r="R224" t="str">
        <f t="shared" si="31"/>
        <v>JAKARTA</v>
      </c>
      <c r="S224" s="21">
        <f t="shared" si="32"/>
        <v>42181</v>
      </c>
      <c r="T224" t="str">
        <f t="shared" si="33"/>
        <v>BUNGA</v>
      </c>
      <c r="U224" t="str">
        <f t="shared" si="34"/>
        <v>NUR HAYATI</v>
      </c>
      <c r="V224" t="str">
        <f>VLOOKUP(O224,Lembar1!$A$4:$H$457,8,FALSE)</f>
        <v>BIO_Images/EBTAQ25-01.166.jpg</v>
      </c>
      <c r="W224" t="str">
        <f>IFERROR(VLOOKUP(O224,Lembar1!$A$4:$I$457,9,FALSE),C224)</f>
        <v>Demak - TPQ KH ALJAZERI</v>
      </c>
    </row>
    <row r="225" spans="1:23" ht="15.75" hidden="1" thickBot="1" x14ac:dyDescent="0.3">
      <c r="A225" s="28">
        <v>45999.748252314814</v>
      </c>
      <c r="B225" s="29" t="s">
        <v>10</v>
      </c>
      <c r="C225" s="29" t="s">
        <v>14</v>
      </c>
      <c r="D225" s="29" t="s">
        <v>459</v>
      </c>
      <c r="E225" s="29" t="s">
        <v>28</v>
      </c>
      <c r="F225" s="30">
        <v>41599</v>
      </c>
      <c r="G225" s="29" t="s">
        <v>460</v>
      </c>
      <c r="H225" s="29" t="s">
        <v>461</v>
      </c>
      <c r="I225" s="29" t="s">
        <v>2</v>
      </c>
      <c r="J225" s="31" t="s">
        <v>1409</v>
      </c>
      <c r="K225" s="29" t="s">
        <v>1410</v>
      </c>
      <c r="L225" s="77" t="s">
        <v>458</v>
      </c>
      <c r="M225" s="32" t="s">
        <v>1411</v>
      </c>
      <c r="N225">
        <v>451</v>
      </c>
      <c r="O225" t="str">
        <f t="shared" si="28"/>
        <v>EBTAQ25-01.168</v>
      </c>
      <c r="P225" t="str">
        <f t="shared" si="29"/>
        <v>ALMA SURYANINGTYAS</v>
      </c>
      <c r="Q225" t="str">
        <f t="shared" si="30"/>
        <v>Perempuan</v>
      </c>
      <c r="R225" t="str">
        <f t="shared" si="31"/>
        <v>DEMAK</v>
      </c>
      <c r="S225" s="21">
        <f t="shared" si="32"/>
        <v>41599</v>
      </c>
      <c r="T225" t="str">
        <f t="shared" si="33"/>
        <v>MUH NATSIR APRIYANTO</v>
      </c>
      <c r="U225" t="str">
        <f t="shared" si="34"/>
        <v>ARIYAH</v>
      </c>
      <c r="V225" t="str">
        <f>VLOOKUP(O225,Lembar1!$A$4:$H$457,8,FALSE)</f>
        <v>BIO_Images/EBTAQ25-01.168.png</v>
      </c>
      <c r="W225" t="str">
        <f>IFERROR(VLOOKUP(O225,Lembar1!$A$4:$I$457,9,FALSE),C225)</f>
        <v>Demak - TPQ KH ALJAZERI</v>
      </c>
    </row>
    <row r="226" spans="1:23" ht="15.75" hidden="1" thickBot="1" x14ac:dyDescent="0.3">
      <c r="A226" s="33">
        <v>45999.759918981479</v>
      </c>
      <c r="B226" s="34" t="s">
        <v>10</v>
      </c>
      <c r="C226" s="34" t="s">
        <v>14</v>
      </c>
      <c r="D226" s="34" t="s">
        <v>464</v>
      </c>
      <c r="E226" s="34" t="s">
        <v>28</v>
      </c>
      <c r="F226" s="35">
        <v>42256</v>
      </c>
      <c r="G226" s="34" t="s">
        <v>465</v>
      </c>
      <c r="H226" s="34" t="s">
        <v>466</v>
      </c>
      <c r="I226" s="34" t="s">
        <v>2</v>
      </c>
      <c r="J226" s="36" t="s">
        <v>1412</v>
      </c>
      <c r="K226" s="34" t="s">
        <v>1413</v>
      </c>
      <c r="L226" s="78" t="s">
        <v>463</v>
      </c>
      <c r="M226" s="37" t="s">
        <v>1414</v>
      </c>
      <c r="N226">
        <v>452</v>
      </c>
      <c r="O226" t="str">
        <f t="shared" si="28"/>
        <v>EBTAQ25-01.169</v>
      </c>
      <c r="P226" t="str">
        <f t="shared" si="29"/>
        <v>KHOFIFATUS SYIFA</v>
      </c>
      <c r="Q226" t="str">
        <f t="shared" si="30"/>
        <v>Perempuan</v>
      </c>
      <c r="R226" t="str">
        <f t="shared" si="31"/>
        <v>DEMAK</v>
      </c>
      <c r="S226" s="21">
        <f t="shared" si="32"/>
        <v>42256</v>
      </c>
      <c r="T226" t="str">
        <f t="shared" si="33"/>
        <v>MUHAMMAD CHOIRI</v>
      </c>
      <c r="U226" t="str">
        <f t="shared" si="34"/>
        <v>SITI MUSYAIROH</v>
      </c>
      <c r="V226" t="str">
        <f>VLOOKUP(O226,Lembar1!$A$4:$H$457,8,FALSE)</f>
        <v>BIO_Images/EBTAQ25-01.169.png</v>
      </c>
      <c r="W226" t="str">
        <f>IFERROR(VLOOKUP(O226,Lembar1!$A$4:$I$457,9,FALSE),C226)</f>
        <v>Demak - TPQ KH ALJAZERI</v>
      </c>
    </row>
    <row r="227" spans="1:23" ht="15.75" hidden="1" thickBot="1" x14ac:dyDescent="0.3">
      <c r="A227" s="28">
        <v>46001.405439814815</v>
      </c>
      <c r="B227" s="29" t="s">
        <v>10</v>
      </c>
      <c r="C227" s="29" t="s">
        <v>2008</v>
      </c>
      <c r="D227" s="29" t="s">
        <v>2009</v>
      </c>
      <c r="E227" s="29" t="s">
        <v>28</v>
      </c>
      <c r="F227" s="30">
        <v>42131</v>
      </c>
      <c r="G227" s="29" t="s">
        <v>2010</v>
      </c>
      <c r="H227" s="29" t="s">
        <v>2011</v>
      </c>
      <c r="I227" s="29" t="s">
        <v>2</v>
      </c>
      <c r="J227" s="31" t="s">
        <v>2012</v>
      </c>
      <c r="K227" s="29" t="s">
        <v>2013</v>
      </c>
      <c r="L227" s="77" t="s">
        <v>2014</v>
      </c>
      <c r="M227" s="32" t="s">
        <v>2015</v>
      </c>
      <c r="N227">
        <v>453</v>
      </c>
      <c r="O227" t="str">
        <f t="shared" ref="O227:O290" si="35">L227</f>
        <v>EBTAQ25-01.229</v>
      </c>
      <c r="P227" t="str">
        <f t="shared" ref="P227:P290" si="36">D227</f>
        <v>AZZAHRA AUFA RAFIFAH</v>
      </c>
      <c r="Q227" t="str">
        <f t="shared" ref="Q227:Q290" si="37">I227</f>
        <v>Perempuan</v>
      </c>
      <c r="R227" t="str">
        <f t="shared" ref="R227:R290" si="38">E227</f>
        <v>DEMAK</v>
      </c>
      <c r="S227" s="21">
        <f t="shared" ref="S227:S290" si="39">F227</f>
        <v>42131</v>
      </c>
      <c r="T227" t="str">
        <f t="shared" ref="T227:T290" si="40">G227</f>
        <v>KASNO</v>
      </c>
      <c r="U227" t="str">
        <f t="shared" ref="U227:U290" si="41">H227</f>
        <v>QURROTUL 'AIN</v>
      </c>
      <c r="V227" t="str">
        <f>VLOOKUP(O227,Lembar1!$A$4:$H$457,8,FALSE)</f>
        <v>BIO_Images/EBTAQ25-01.229.jpg</v>
      </c>
      <c r="W227" t="str">
        <f>IFERROR(VLOOKUP(O227,Lembar1!$A$4:$I$457,9,FALSE),C227)</f>
        <v>Demak - TPQ MIFTAHUL JANNAH</v>
      </c>
    </row>
    <row r="228" spans="1:23" ht="15.75" hidden="1" thickBot="1" x14ac:dyDescent="0.3">
      <c r="A228" s="33">
        <v>46001.79478009259</v>
      </c>
      <c r="B228" s="34" t="s">
        <v>10</v>
      </c>
      <c r="C228" s="34" t="s">
        <v>2008</v>
      </c>
      <c r="D228" s="34" t="s">
        <v>2832</v>
      </c>
      <c r="E228" s="34" t="s">
        <v>28</v>
      </c>
      <c r="F228" s="35">
        <v>41818</v>
      </c>
      <c r="G228" s="34" t="s">
        <v>2833</v>
      </c>
      <c r="H228" s="34" t="s">
        <v>194</v>
      </c>
      <c r="I228" s="34" t="s">
        <v>66</v>
      </c>
      <c r="J228" s="36" t="s">
        <v>2834</v>
      </c>
      <c r="K228" s="34" t="s">
        <v>2013</v>
      </c>
      <c r="L228" s="78" t="s">
        <v>2835</v>
      </c>
      <c r="M228" s="37" t="s">
        <v>2836</v>
      </c>
      <c r="N228">
        <v>454</v>
      </c>
      <c r="O228" t="str">
        <f t="shared" si="35"/>
        <v>EBTAQ25-01.312</v>
      </c>
      <c r="P228" t="str">
        <f t="shared" si="36"/>
        <v>DIMASKY MIRZA ARDANI</v>
      </c>
      <c r="Q228" t="str">
        <f t="shared" si="37"/>
        <v>Laki-laki</v>
      </c>
      <c r="R228" t="str">
        <f t="shared" si="38"/>
        <v>DEMAK</v>
      </c>
      <c r="S228" s="21">
        <f t="shared" si="39"/>
        <v>41818</v>
      </c>
      <c r="T228" t="str">
        <f t="shared" si="40"/>
        <v>DEDY SURYADI</v>
      </c>
      <c r="U228" t="str">
        <f t="shared" si="41"/>
        <v>NUR HAYATI</v>
      </c>
      <c r="V228" t="str">
        <f>VLOOKUP(O228,Lembar1!$A$4:$H$457,8,FALSE)</f>
        <v>BIO_Images/EBTAQ25-01.312.jpg</v>
      </c>
      <c r="W228" t="str">
        <f>IFERROR(VLOOKUP(O228,Lembar1!$A$4:$I$457,9,FALSE),C228)</f>
        <v>Demak - TPQ MIFTAHUL JANNAH</v>
      </c>
    </row>
    <row r="229" spans="1:23" ht="15.75" hidden="1" thickBot="1" x14ac:dyDescent="0.3">
      <c r="A229" s="28">
        <v>46001.802997685183</v>
      </c>
      <c r="B229" s="29" t="s">
        <v>10</v>
      </c>
      <c r="C229" s="29" t="s">
        <v>2008</v>
      </c>
      <c r="D229" s="29" t="s">
        <v>2837</v>
      </c>
      <c r="E229" s="29" t="s">
        <v>28</v>
      </c>
      <c r="F229" s="30">
        <v>41926</v>
      </c>
      <c r="G229" s="29" t="s">
        <v>2838</v>
      </c>
      <c r="H229" s="29" t="s">
        <v>2839</v>
      </c>
      <c r="I229" s="29" t="s">
        <v>2</v>
      </c>
      <c r="J229" s="31" t="s">
        <v>2840</v>
      </c>
      <c r="K229" s="29" t="s">
        <v>2013</v>
      </c>
      <c r="L229" s="77" t="s">
        <v>2841</v>
      </c>
      <c r="M229" s="32" t="s">
        <v>2842</v>
      </c>
      <c r="N229">
        <v>455</v>
      </c>
      <c r="O229" t="str">
        <f t="shared" si="35"/>
        <v>EBTAQ25-01.313</v>
      </c>
      <c r="P229" t="str">
        <f t="shared" si="36"/>
        <v>BILQIS AUFA OKTAVIANI</v>
      </c>
      <c r="Q229" t="str">
        <f t="shared" si="37"/>
        <v>Perempuan</v>
      </c>
      <c r="R229" t="str">
        <f t="shared" si="38"/>
        <v>DEMAK</v>
      </c>
      <c r="S229" s="21">
        <f t="shared" si="39"/>
        <v>41926</v>
      </c>
      <c r="T229" t="str">
        <f t="shared" si="40"/>
        <v>SUNARDI</v>
      </c>
      <c r="U229" t="str">
        <f t="shared" si="41"/>
        <v>MUJI RISTIANI</v>
      </c>
      <c r="V229" t="str">
        <f>VLOOKUP(O229,Lembar1!$A$4:$H$457,8,FALSE)</f>
        <v>BIO_Images/EBTAQ25-01.313.jpg</v>
      </c>
      <c r="W229" t="str">
        <f>IFERROR(VLOOKUP(O229,Lembar1!$A$4:$I$457,9,FALSE),C229)</f>
        <v>Demak - TPQ MIFTAHUL JANNAH</v>
      </c>
    </row>
    <row r="230" spans="1:23" ht="15.75" hidden="1" thickBot="1" x14ac:dyDescent="0.3">
      <c r="A230" s="50">
        <v>46001.811192129629</v>
      </c>
      <c r="B230" s="53" t="s">
        <v>10</v>
      </c>
      <c r="C230" s="53" t="s">
        <v>2008</v>
      </c>
      <c r="D230" s="53" t="s">
        <v>2850</v>
      </c>
      <c r="E230" s="53" t="s">
        <v>28</v>
      </c>
      <c r="F230" s="57">
        <v>42537</v>
      </c>
      <c r="G230" s="53" t="s">
        <v>2851</v>
      </c>
      <c r="H230" s="53" t="s">
        <v>2852</v>
      </c>
      <c r="I230" s="53" t="s">
        <v>66</v>
      </c>
      <c r="J230" s="60" t="s">
        <v>2853</v>
      </c>
      <c r="K230" s="53" t="s">
        <v>2013</v>
      </c>
      <c r="L230" s="78" t="s">
        <v>2854</v>
      </c>
      <c r="M230" s="32" t="s">
        <v>2855</v>
      </c>
      <c r="N230">
        <v>456</v>
      </c>
      <c r="O230" t="str">
        <f t="shared" si="35"/>
        <v>EBTAQ25-01.315</v>
      </c>
      <c r="P230" t="str">
        <f t="shared" si="36"/>
        <v>ABID LANGIT RAMADHANI</v>
      </c>
      <c r="Q230" t="str">
        <f t="shared" si="37"/>
        <v>Laki-laki</v>
      </c>
      <c r="R230" t="str">
        <f t="shared" si="38"/>
        <v>DEMAK</v>
      </c>
      <c r="S230" s="21">
        <f t="shared" si="39"/>
        <v>42537</v>
      </c>
      <c r="T230" t="str">
        <f t="shared" si="40"/>
        <v>EDI UTOMO</v>
      </c>
      <c r="U230" t="str">
        <f t="shared" si="41"/>
        <v>DWI RATNA ARIANI</v>
      </c>
      <c r="V230" t="str">
        <f>VLOOKUP(O230,Lembar1!$A$4:$H$457,8,FALSE)</f>
        <v>BIO_Images/EBTAQ25-01.315.jpg</v>
      </c>
      <c r="W230" t="str">
        <f>IFERROR(VLOOKUP(O230,Lembar1!$A$4:$I$457,9,FALSE),C230)</f>
        <v>Demak - TPQ MIFTAHUL JANNAH</v>
      </c>
    </row>
    <row r="231" spans="1:23" ht="15.75" hidden="1" thickBot="1" x14ac:dyDescent="0.3">
      <c r="A231" s="49">
        <v>46001.832245370373</v>
      </c>
      <c r="B231" s="52" t="s">
        <v>10</v>
      </c>
      <c r="C231" s="52" t="s">
        <v>2008</v>
      </c>
      <c r="D231" s="52" t="s">
        <v>2009</v>
      </c>
      <c r="E231" s="52" t="s">
        <v>28</v>
      </c>
      <c r="F231" s="56">
        <v>42131</v>
      </c>
      <c r="G231" s="52" t="s">
        <v>2010</v>
      </c>
      <c r="H231" s="52" t="s">
        <v>2011</v>
      </c>
      <c r="I231" s="52" t="s">
        <v>2</v>
      </c>
      <c r="J231" s="59" t="s">
        <v>2887</v>
      </c>
      <c r="K231" s="52" t="s">
        <v>2013</v>
      </c>
      <c r="L231" s="77" t="s">
        <v>2888</v>
      </c>
      <c r="M231" s="37" t="s">
        <v>2889</v>
      </c>
      <c r="N231">
        <v>457</v>
      </c>
      <c r="O231" t="str">
        <f t="shared" si="35"/>
        <v>EBTAQ25-01.321</v>
      </c>
      <c r="P231" t="str">
        <f t="shared" si="36"/>
        <v>AZZAHRA AUFA RAFIFAH</v>
      </c>
      <c r="Q231" t="str">
        <f t="shared" si="37"/>
        <v>Perempuan</v>
      </c>
      <c r="R231" t="str">
        <f t="shared" si="38"/>
        <v>DEMAK</v>
      </c>
      <c r="S231" s="21">
        <f t="shared" si="39"/>
        <v>42131</v>
      </c>
      <c r="T231" t="str">
        <f t="shared" si="40"/>
        <v>KASNO</v>
      </c>
      <c r="U231" t="str">
        <f t="shared" si="41"/>
        <v>QURROTUL 'AIN</v>
      </c>
      <c r="V231" t="str">
        <f>VLOOKUP(O231,Lembar1!$A$4:$H$457,8,FALSE)</f>
        <v>BIO_Images/EBTAQ25-01.321.jpg</v>
      </c>
      <c r="W231" t="str">
        <f>IFERROR(VLOOKUP(O231,Lembar1!$A$4:$I$457,9,FALSE),C231)</f>
        <v>Demak - TPQ MIFTAHUL JANNAH</v>
      </c>
    </row>
    <row r="232" spans="1:23" ht="15.75" hidden="1" thickBot="1" x14ac:dyDescent="0.3">
      <c r="A232" s="50">
        <v>45999.671435185184</v>
      </c>
      <c r="B232" s="53" t="s">
        <v>10</v>
      </c>
      <c r="C232" s="53" t="s">
        <v>435</v>
      </c>
      <c r="D232" s="53" t="s">
        <v>431</v>
      </c>
      <c r="E232" s="53" t="s">
        <v>10</v>
      </c>
      <c r="F232" s="57">
        <v>41619</v>
      </c>
      <c r="G232" s="53" t="s">
        <v>432</v>
      </c>
      <c r="H232" s="53" t="s">
        <v>433</v>
      </c>
      <c r="I232" s="53" t="s">
        <v>66</v>
      </c>
      <c r="J232" s="60" t="s">
        <v>1379</v>
      </c>
      <c r="K232" s="53" t="s">
        <v>1380</v>
      </c>
      <c r="L232" s="78" t="s">
        <v>430</v>
      </c>
      <c r="M232" s="32" t="s">
        <v>1381</v>
      </c>
      <c r="N232">
        <v>458</v>
      </c>
      <c r="O232" t="str">
        <f t="shared" si="35"/>
        <v>EBTAQ25-01.164</v>
      </c>
      <c r="P232" t="str">
        <f t="shared" si="36"/>
        <v>Abdi Khusen Teguh Pratama</v>
      </c>
      <c r="Q232" t="str">
        <f t="shared" si="37"/>
        <v>Laki-laki</v>
      </c>
      <c r="R232" t="str">
        <f t="shared" si="38"/>
        <v>Demak</v>
      </c>
      <c r="S232" s="21">
        <f t="shared" si="39"/>
        <v>41619</v>
      </c>
      <c r="T232" t="str">
        <f t="shared" si="40"/>
        <v>Yuliyono</v>
      </c>
      <c r="U232" t="str">
        <f t="shared" si="41"/>
        <v>Nur Magfiroh</v>
      </c>
      <c r="V232" t="str">
        <f>VLOOKUP(O232,Lembar1!$A$4:$H$457,8,FALSE)</f>
        <v>BIO_Images/EBTAQ25-01.164.jpeg</v>
      </c>
      <c r="W232" t="str">
        <f>IFERROR(VLOOKUP(O232,Lembar1!$A$4:$I$457,9,FALSE),C232)</f>
        <v>Demak - TPQ NURUL IMAN</v>
      </c>
    </row>
    <row r="233" spans="1:23" ht="15.75" hidden="1" thickBot="1" x14ac:dyDescent="0.3">
      <c r="A233" s="49">
        <v>46000.740162037036</v>
      </c>
      <c r="B233" s="52" t="s">
        <v>10</v>
      </c>
      <c r="C233" s="52" t="s">
        <v>435</v>
      </c>
      <c r="D233" s="52" t="s">
        <v>755</v>
      </c>
      <c r="E233" s="52" t="s">
        <v>10</v>
      </c>
      <c r="F233" s="56">
        <v>41860</v>
      </c>
      <c r="G233" s="52" t="s">
        <v>756</v>
      </c>
      <c r="H233" s="52" t="s">
        <v>757</v>
      </c>
      <c r="I233" s="52" t="s">
        <v>66</v>
      </c>
      <c r="J233" s="59" t="s">
        <v>1773</v>
      </c>
      <c r="K233" s="52" t="s">
        <v>1774</v>
      </c>
      <c r="L233" s="77" t="s">
        <v>754</v>
      </c>
      <c r="M233" s="37" t="s">
        <v>1775</v>
      </c>
      <c r="N233">
        <v>459</v>
      </c>
      <c r="O233" t="str">
        <f t="shared" si="35"/>
        <v>EBTAQ25-01.196</v>
      </c>
      <c r="P233" t="str">
        <f t="shared" si="36"/>
        <v>JOKO JAYA PRAKOSO</v>
      </c>
      <c r="Q233" t="str">
        <f t="shared" si="37"/>
        <v>Laki-laki</v>
      </c>
      <c r="R233" t="str">
        <f t="shared" si="38"/>
        <v>Demak</v>
      </c>
      <c r="S233" s="21">
        <f t="shared" si="39"/>
        <v>41860</v>
      </c>
      <c r="T233" t="str">
        <f t="shared" si="40"/>
        <v>SUWOTO</v>
      </c>
      <c r="U233" t="str">
        <f t="shared" si="41"/>
        <v>ERNA WATI</v>
      </c>
      <c r="V233" t="str">
        <f>VLOOKUP(O233,Lembar1!$A$4:$H$457,8,FALSE)</f>
        <v>BIO_Images/EBTAQ25-01.196.jpg</v>
      </c>
      <c r="W233" t="str">
        <f>IFERROR(VLOOKUP(O233,Lembar1!$A$4:$I$457,9,FALSE),C233)</f>
        <v>Demak - TPQ NURUL IMAN</v>
      </c>
    </row>
    <row r="234" spans="1:23" ht="15.75" hidden="1" thickBot="1" x14ac:dyDescent="0.3">
      <c r="A234" s="50">
        <v>46000.743472222224</v>
      </c>
      <c r="B234" s="53" t="s">
        <v>10</v>
      </c>
      <c r="C234" s="53" t="s">
        <v>435</v>
      </c>
      <c r="D234" s="53" t="s">
        <v>760</v>
      </c>
      <c r="E234" s="53" t="s">
        <v>10</v>
      </c>
      <c r="F234" s="57">
        <v>42697</v>
      </c>
      <c r="G234" s="53" t="s">
        <v>761</v>
      </c>
      <c r="H234" s="53" t="s">
        <v>762</v>
      </c>
      <c r="I234" s="53" t="s">
        <v>2</v>
      </c>
      <c r="J234" s="60" t="s">
        <v>1776</v>
      </c>
      <c r="K234" s="53" t="s">
        <v>1777</v>
      </c>
      <c r="L234" s="78" t="s">
        <v>759</v>
      </c>
      <c r="M234" s="32" t="s">
        <v>1778</v>
      </c>
      <c r="N234">
        <v>460</v>
      </c>
      <c r="O234" t="str">
        <f t="shared" si="35"/>
        <v>EBTAQ25-01.197</v>
      </c>
      <c r="P234" t="str">
        <f t="shared" si="36"/>
        <v>NOVA ADELIA</v>
      </c>
      <c r="Q234" t="str">
        <f t="shared" si="37"/>
        <v>Perempuan</v>
      </c>
      <c r="R234" t="str">
        <f t="shared" si="38"/>
        <v>Demak</v>
      </c>
      <c r="S234" s="21">
        <f t="shared" si="39"/>
        <v>42697</v>
      </c>
      <c r="T234" t="str">
        <f t="shared" si="40"/>
        <v>Sugiharto</v>
      </c>
      <c r="U234" t="str">
        <f t="shared" si="41"/>
        <v>Juni Kundari</v>
      </c>
      <c r="V234" t="str">
        <f>VLOOKUP(O234,Lembar1!$A$4:$H$457,8,FALSE)</f>
        <v>BIO_Images/EBTAQ25-01.197.jpg</v>
      </c>
      <c r="W234" t="str">
        <f>IFERROR(VLOOKUP(O234,Lembar1!$A$4:$I$457,9,FALSE),C234)</f>
        <v>Demak - TPQ NURUL IMAN</v>
      </c>
    </row>
    <row r="235" spans="1:23" ht="15.75" hidden="1" thickBot="1" x14ac:dyDescent="0.3">
      <c r="A235" s="28">
        <v>46000.74722222222</v>
      </c>
      <c r="B235" s="29" t="s">
        <v>10</v>
      </c>
      <c r="C235" s="29" t="s">
        <v>435</v>
      </c>
      <c r="D235" s="29" t="s">
        <v>765</v>
      </c>
      <c r="E235" s="29" t="s">
        <v>10</v>
      </c>
      <c r="F235" s="30">
        <v>42049</v>
      </c>
      <c r="G235" s="29" t="s">
        <v>766</v>
      </c>
      <c r="H235" s="29" t="s">
        <v>767</v>
      </c>
      <c r="I235" s="29" t="s">
        <v>2</v>
      </c>
      <c r="J235" s="31" t="s">
        <v>1784</v>
      </c>
      <c r="K235" s="29" t="s">
        <v>1785</v>
      </c>
      <c r="L235" s="77" t="s">
        <v>764</v>
      </c>
      <c r="M235" s="32" t="s">
        <v>1786</v>
      </c>
      <c r="N235">
        <v>461</v>
      </c>
      <c r="O235" t="str">
        <f t="shared" si="35"/>
        <v>EBTAQ25-01.198</v>
      </c>
      <c r="P235" t="str">
        <f t="shared" si="36"/>
        <v>DEVINDA QIARA ALFADILA</v>
      </c>
      <c r="Q235" t="str">
        <f t="shared" si="37"/>
        <v>Perempuan</v>
      </c>
      <c r="R235" t="str">
        <f t="shared" si="38"/>
        <v>Demak</v>
      </c>
      <c r="S235" s="21">
        <f t="shared" si="39"/>
        <v>42049</v>
      </c>
      <c r="T235" t="str">
        <f t="shared" si="40"/>
        <v>SUGONDO</v>
      </c>
      <c r="U235" t="str">
        <f t="shared" si="41"/>
        <v>DIYAH SUTANTI</v>
      </c>
      <c r="V235" t="str">
        <f>VLOOKUP(O235,Lembar1!$A$4:$H$457,8,FALSE)</f>
        <v>BIO_Images/EBTAQ25-01.198.jpg</v>
      </c>
      <c r="W235" t="str">
        <f>IFERROR(VLOOKUP(O235,Lembar1!$A$4:$I$457,9,FALSE),C235)</f>
        <v>Demak - TPQ NURUL IMAN</v>
      </c>
    </row>
    <row r="236" spans="1:23" ht="15.75" hidden="1" thickBot="1" x14ac:dyDescent="0.3">
      <c r="A236" s="50">
        <v>46000.753287037034</v>
      </c>
      <c r="B236" s="53" t="s">
        <v>10</v>
      </c>
      <c r="C236" s="53" t="s">
        <v>435</v>
      </c>
      <c r="D236" s="53" t="s">
        <v>770</v>
      </c>
      <c r="E236" s="53" t="s">
        <v>10</v>
      </c>
      <c r="F236" s="57">
        <v>41953</v>
      </c>
      <c r="G236" s="53" t="s">
        <v>771</v>
      </c>
      <c r="H236" s="53" t="s">
        <v>772</v>
      </c>
      <c r="I236" s="53" t="s">
        <v>2</v>
      </c>
      <c r="J236" s="60" t="s">
        <v>1789</v>
      </c>
      <c r="K236" s="53" t="s">
        <v>1790</v>
      </c>
      <c r="L236" s="78" t="s">
        <v>769</v>
      </c>
      <c r="M236" s="32" t="s">
        <v>1791</v>
      </c>
      <c r="N236">
        <v>462</v>
      </c>
      <c r="O236" t="str">
        <f t="shared" si="35"/>
        <v>EBTAQ25-01.199</v>
      </c>
      <c r="P236" t="str">
        <f t="shared" si="36"/>
        <v>Siti mawar adiya</v>
      </c>
      <c r="Q236" t="str">
        <f t="shared" si="37"/>
        <v>Perempuan</v>
      </c>
      <c r="R236" t="str">
        <f t="shared" si="38"/>
        <v>Demak</v>
      </c>
      <c r="S236" s="21">
        <f t="shared" si="39"/>
        <v>41953</v>
      </c>
      <c r="T236" t="str">
        <f t="shared" si="40"/>
        <v>Muhammad rochim</v>
      </c>
      <c r="U236" t="str">
        <f t="shared" si="41"/>
        <v>Ponirah</v>
      </c>
      <c r="V236" t="str">
        <f>VLOOKUP(O236,Lembar1!$A$4:$H$457,8,FALSE)</f>
        <v>BIO_Images/EBTAQ25-01.199.jpg</v>
      </c>
      <c r="W236" t="str">
        <f>IFERROR(VLOOKUP(O236,Lembar1!$A$4:$I$457,9,FALSE),C236)</f>
        <v>Demak - TPQ NURUL IMAN</v>
      </c>
    </row>
    <row r="237" spans="1:23" ht="15.75" hidden="1" thickBot="1" x14ac:dyDescent="0.3">
      <c r="A237" s="49">
        <v>46000.755162037036</v>
      </c>
      <c r="B237" s="52" t="s">
        <v>10</v>
      </c>
      <c r="C237" s="52" t="s">
        <v>435</v>
      </c>
      <c r="D237" s="52" t="s">
        <v>775</v>
      </c>
      <c r="E237" s="52" t="s">
        <v>10</v>
      </c>
      <c r="F237" s="56">
        <v>46000</v>
      </c>
      <c r="G237" s="52" t="s">
        <v>776</v>
      </c>
      <c r="H237" s="52" t="s">
        <v>777</v>
      </c>
      <c r="I237" s="52" t="s">
        <v>66</v>
      </c>
      <c r="J237" s="59" t="s">
        <v>1792</v>
      </c>
      <c r="K237" s="52" t="s">
        <v>1793</v>
      </c>
      <c r="L237" s="77" t="s">
        <v>774</v>
      </c>
      <c r="M237" s="37" t="s">
        <v>1794</v>
      </c>
      <c r="N237">
        <v>463</v>
      </c>
      <c r="O237" t="str">
        <f t="shared" si="35"/>
        <v>EBTAQ25-01.200</v>
      </c>
      <c r="P237" t="str">
        <f t="shared" si="36"/>
        <v>Muhammad ali akbar</v>
      </c>
      <c r="Q237" t="str">
        <f t="shared" si="37"/>
        <v>Laki-laki</v>
      </c>
      <c r="R237" t="str">
        <f t="shared" si="38"/>
        <v>Demak</v>
      </c>
      <c r="S237" s="21">
        <f t="shared" si="39"/>
        <v>46000</v>
      </c>
      <c r="T237" t="str">
        <f t="shared" si="40"/>
        <v>Wahyu Budi Utomo</v>
      </c>
      <c r="U237" t="str">
        <f t="shared" si="41"/>
        <v>Heni Sulistiyoningsih</v>
      </c>
      <c r="V237" t="str">
        <f>VLOOKUP(O237,Lembar1!$A$4:$H$457,8,FALSE)</f>
        <v>BIO_Images/EBTAQ25-01.200.jpg</v>
      </c>
      <c r="W237" t="str">
        <f>IFERROR(VLOOKUP(O237,Lembar1!$A$4:$I$457,9,FALSE),C237)</f>
        <v>Demak - TPQ NURUL IMAN</v>
      </c>
    </row>
    <row r="238" spans="1:23" ht="15.75" hidden="1" thickBot="1" x14ac:dyDescent="0.3">
      <c r="A238" s="33">
        <v>46000.757488425923</v>
      </c>
      <c r="B238" s="34" t="s">
        <v>10</v>
      </c>
      <c r="C238" s="34" t="s">
        <v>435</v>
      </c>
      <c r="D238" s="34" t="s">
        <v>785</v>
      </c>
      <c r="E238" s="34" t="s">
        <v>10</v>
      </c>
      <c r="F238" s="35">
        <v>41682</v>
      </c>
      <c r="G238" s="34" t="s">
        <v>786</v>
      </c>
      <c r="H238" s="34" t="s">
        <v>787</v>
      </c>
      <c r="I238" s="34" t="s">
        <v>66</v>
      </c>
      <c r="J238" s="36" t="s">
        <v>1798</v>
      </c>
      <c r="K238" s="34" t="s">
        <v>1799</v>
      </c>
      <c r="L238" s="78" t="s">
        <v>784</v>
      </c>
      <c r="M238" s="37" t="s">
        <v>1800</v>
      </c>
      <c r="N238">
        <v>464</v>
      </c>
      <c r="O238" t="str">
        <f t="shared" si="35"/>
        <v>EBTAQ25-01.201</v>
      </c>
      <c r="P238" t="str">
        <f t="shared" si="36"/>
        <v>Iqbal Zada Pradipta</v>
      </c>
      <c r="Q238" t="str">
        <f t="shared" si="37"/>
        <v>Laki-laki</v>
      </c>
      <c r="R238" t="str">
        <f t="shared" si="38"/>
        <v>Demak</v>
      </c>
      <c r="S238" s="21">
        <f t="shared" si="39"/>
        <v>41682</v>
      </c>
      <c r="T238" t="str">
        <f t="shared" si="40"/>
        <v>Winarno</v>
      </c>
      <c r="U238" t="str">
        <f t="shared" si="41"/>
        <v>Mastiah</v>
      </c>
      <c r="V238" t="str">
        <f>VLOOKUP(O238,Lembar1!$A$4:$H$457,8,FALSE)</f>
        <v>BIO_Images/EBTAQ25-01.201.jpeg</v>
      </c>
      <c r="W238" t="str">
        <f>IFERROR(VLOOKUP(O238,Lembar1!$A$4:$I$457,9,FALSE),C238)</f>
        <v>Demak - TPQ NURUL IMAN</v>
      </c>
    </row>
    <row r="239" spans="1:23" ht="15.75" hidden="1" thickBot="1" x14ac:dyDescent="0.3">
      <c r="A239" s="28">
        <v>46000.759699074071</v>
      </c>
      <c r="B239" s="29" t="s">
        <v>10</v>
      </c>
      <c r="C239" s="29" t="s">
        <v>435</v>
      </c>
      <c r="D239" s="29" t="s">
        <v>790</v>
      </c>
      <c r="E239" s="29" t="s">
        <v>10</v>
      </c>
      <c r="F239" s="30">
        <v>42228</v>
      </c>
      <c r="G239" s="29" t="s">
        <v>791</v>
      </c>
      <c r="H239" s="29" t="s">
        <v>792</v>
      </c>
      <c r="I239" s="29" t="s">
        <v>66</v>
      </c>
      <c r="J239" s="31" t="s">
        <v>1801</v>
      </c>
      <c r="K239" s="29" t="s">
        <v>1802</v>
      </c>
      <c r="L239" s="77" t="s">
        <v>789</v>
      </c>
      <c r="M239" s="32" t="s">
        <v>1803</v>
      </c>
      <c r="N239">
        <v>465</v>
      </c>
      <c r="O239" t="str">
        <f t="shared" si="35"/>
        <v>EBTAQ25-01.202</v>
      </c>
      <c r="P239" t="str">
        <f t="shared" si="36"/>
        <v>Muhammad Fahriza Rahman</v>
      </c>
      <c r="Q239" t="str">
        <f t="shared" si="37"/>
        <v>Laki-laki</v>
      </c>
      <c r="R239" t="str">
        <f t="shared" si="38"/>
        <v>Demak</v>
      </c>
      <c r="S239" s="21">
        <f t="shared" si="39"/>
        <v>42228</v>
      </c>
      <c r="T239" t="str">
        <f t="shared" si="40"/>
        <v>Budiyanto</v>
      </c>
      <c r="U239" t="str">
        <f t="shared" si="41"/>
        <v>Naily Rahmawati</v>
      </c>
      <c r="V239" t="str">
        <f>VLOOKUP(O239,Lembar1!$A$4:$H$457,8,FALSE)</f>
        <v>BIO_Images/EBTAQ25-01.202.jpg</v>
      </c>
      <c r="W239" t="str">
        <f>IFERROR(VLOOKUP(O239,Lembar1!$A$4:$I$457,9,FALSE),C239)</f>
        <v>Demak - TPQ NURUL IMAN</v>
      </c>
    </row>
    <row r="240" spans="1:23" ht="15.75" hidden="1" thickBot="1" x14ac:dyDescent="0.3">
      <c r="A240" s="33">
        <v>46000.766504629632</v>
      </c>
      <c r="B240" s="34" t="s">
        <v>10</v>
      </c>
      <c r="C240" s="34" t="s">
        <v>435</v>
      </c>
      <c r="D240" s="34" t="s">
        <v>785</v>
      </c>
      <c r="E240" s="34" t="s">
        <v>10</v>
      </c>
      <c r="F240" s="35">
        <v>41682</v>
      </c>
      <c r="G240" s="34" t="s">
        <v>786</v>
      </c>
      <c r="H240" s="34" t="s">
        <v>787</v>
      </c>
      <c r="I240" s="34" t="s">
        <v>66</v>
      </c>
      <c r="J240" s="36" t="s">
        <v>1813</v>
      </c>
      <c r="K240" s="34" t="s">
        <v>1814</v>
      </c>
      <c r="L240" s="78" t="s">
        <v>799</v>
      </c>
      <c r="M240" s="37" t="s">
        <v>1815</v>
      </c>
      <c r="N240">
        <v>466</v>
      </c>
      <c r="O240" t="str">
        <f t="shared" si="35"/>
        <v>EBTAQ25-01.203</v>
      </c>
      <c r="P240" t="str">
        <f t="shared" si="36"/>
        <v>Iqbal Zada Pradipta</v>
      </c>
      <c r="Q240" t="str">
        <f t="shared" si="37"/>
        <v>Laki-laki</v>
      </c>
      <c r="R240" t="str">
        <f t="shared" si="38"/>
        <v>Demak</v>
      </c>
      <c r="S240" s="21">
        <f t="shared" si="39"/>
        <v>41682</v>
      </c>
      <c r="T240" t="str">
        <f t="shared" si="40"/>
        <v>Winarno</v>
      </c>
      <c r="U240" t="str">
        <f t="shared" si="41"/>
        <v>Mastiah</v>
      </c>
      <c r="V240" t="str">
        <f>VLOOKUP(O240,Lembar1!$A$4:$H$457,8,FALSE)</f>
        <v>BIO_Images/EBTAQ25-01.203.jpg</v>
      </c>
      <c r="W240" t="str">
        <f>IFERROR(VLOOKUP(O240,Lembar1!$A$4:$I$457,9,FALSE),C240)</f>
        <v>Demak - TPQ NURUL IMAN</v>
      </c>
    </row>
    <row r="241" spans="1:23" ht="15.75" hidden="1" thickBot="1" x14ac:dyDescent="0.3">
      <c r="A241" s="49">
        <v>46000.769074074073</v>
      </c>
      <c r="B241" s="52" t="s">
        <v>10</v>
      </c>
      <c r="C241" s="52" t="s">
        <v>435</v>
      </c>
      <c r="D241" s="52" t="s">
        <v>790</v>
      </c>
      <c r="E241" s="52" t="s">
        <v>10</v>
      </c>
      <c r="F241" s="56">
        <v>42228</v>
      </c>
      <c r="G241" s="52" t="s">
        <v>791</v>
      </c>
      <c r="H241" s="52" t="s">
        <v>792</v>
      </c>
      <c r="I241" s="52" t="s">
        <v>66</v>
      </c>
      <c r="J241" s="59" t="s">
        <v>1819</v>
      </c>
      <c r="K241" s="52" t="s">
        <v>1820</v>
      </c>
      <c r="L241" s="77" t="s">
        <v>801</v>
      </c>
      <c r="M241" s="37" t="s">
        <v>1821</v>
      </c>
      <c r="N241">
        <v>467</v>
      </c>
      <c r="O241" t="str">
        <f t="shared" si="35"/>
        <v>EBTAQ25-01.204</v>
      </c>
      <c r="P241" t="str">
        <f t="shared" si="36"/>
        <v>Muhammad Fahriza Rahman</v>
      </c>
      <c r="Q241" t="str">
        <f t="shared" si="37"/>
        <v>Laki-laki</v>
      </c>
      <c r="R241" t="str">
        <f t="shared" si="38"/>
        <v>Demak</v>
      </c>
      <c r="S241" s="21">
        <f t="shared" si="39"/>
        <v>42228</v>
      </c>
      <c r="T241" t="str">
        <f t="shared" si="40"/>
        <v>Budiyanto</v>
      </c>
      <c r="U241" t="str">
        <f t="shared" si="41"/>
        <v>Naily Rahmawati</v>
      </c>
      <c r="V241" t="str">
        <f>VLOOKUP(O241,Lembar1!$A$4:$H$457,8,FALSE)</f>
        <v>BIO_Images/EBTAQ25-01.204.jpg</v>
      </c>
      <c r="W241" t="str">
        <f>IFERROR(VLOOKUP(O241,Lembar1!$A$4:$I$457,9,FALSE),C241)</f>
        <v>Demak - TPQ NURUL IMAN</v>
      </c>
    </row>
    <row r="242" spans="1:23" ht="15.75" hidden="1" thickBot="1" x14ac:dyDescent="0.3">
      <c r="A242" s="50">
        <v>46000.778449074074</v>
      </c>
      <c r="B242" s="53" t="s">
        <v>10</v>
      </c>
      <c r="C242" s="53" t="s">
        <v>435</v>
      </c>
      <c r="D242" s="53" t="s">
        <v>804</v>
      </c>
      <c r="E242" s="53" t="s">
        <v>10</v>
      </c>
      <c r="F242" s="57">
        <v>41602</v>
      </c>
      <c r="G242" s="53" t="s">
        <v>805</v>
      </c>
      <c r="H242" s="53" t="s">
        <v>806</v>
      </c>
      <c r="I242" s="53" t="s">
        <v>2</v>
      </c>
      <c r="J242" s="60" t="s">
        <v>1832</v>
      </c>
      <c r="K242" s="53" t="s">
        <v>1833</v>
      </c>
      <c r="L242" s="78" t="s">
        <v>803</v>
      </c>
      <c r="M242" s="32" t="s">
        <v>1834</v>
      </c>
      <c r="N242">
        <v>468</v>
      </c>
      <c r="O242" t="str">
        <f t="shared" si="35"/>
        <v>EBTAQ25-01.205</v>
      </c>
      <c r="P242" t="str">
        <f t="shared" si="36"/>
        <v>SITI MASRIDATUN NAFIAH</v>
      </c>
      <c r="Q242" t="str">
        <f t="shared" si="37"/>
        <v>Perempuan</v>
      </c>
      <c r="R242" t="str">
        <f t="shared" si="38"/>
        <v>Demak</v>
      </c>
      <c r="S242" s="21">
        <f t="shared" si="39"/>
        <v>41602</v>
      </c>
      <c r="T242" t="str">
        <f t="shared" si="40"/>
        <v>PARWONO</v>
      </c>
      <c r="U242" t="str">
        <f t="shared" si="41"/>
        <v>PIK WIDAYAH</v>
      </c>
      <c r="V242" t="str">
        <f>VLOOKUP(O242,Lembar1!$A$4:$H$457,8,FALSE)</f>
        <v>BIO_Images/EBTAQ25-01.205.jpg</v>
      </c>
      <c r="W242" t="str">
        <f>IFERROR(VLOOKUP(O242,Lembar1!$A$4:$I$457,9,FALSE),C242)</f>
        <v>Demak - TPQ NURUL IMAN</v>
      </c>
    </row>
    <row r="243" spans="1:23" ht="15.75" hidden="1" thickBot="1" x14ac:dyDescent="0.3">
      <c r="A243" s="49">
        <v>46000.805555555555</v>
      </c>
      <c r="B243" s="52" t="s">
        <v>10</v>
      </c>
      <c r="C243" s="52" t="s">
        <v>435</v>
      </c>
      <c r="D243" s="52" t="s">
        <v>820</v>
      </c>
      <c r="E243" s="52" t="s">
        <v>10</v>
      </c>
      <c r="F243" s="56">
        <v>42102</v>
      </c>
      <c r="G243" s="52" t="s">
        <v>821</v>
      </c>
      <c r="H243" s="52" t="s">
        <v>822</v>
      </c>
      <c r="I243" s="52" t="s">
        <v>2</v>
      </c>
      <c r="J243" s="59" t="s">
        <v>1869</v>
      </c>
      <c r="K243" s="52" t="s">
        <v>1870</v>
      </c>
      <c r="L243" s="77" t="s">
        <v>819</v>
      </c>
      <c r="M243" s="37" t="s">
        <v>1871</v>
      </c>
      <c r="N243">
        <v>469</v>
      </c>
      <c r="O243" t="str">
        <f t="shared" si="35"/>
        <v>EBTAQ25-01.208</v>
      </c>
      <c r="P243" t="str">
        <f t="shared" si="36"/>
        <v>Adelia faranisa azni</v>
      </c>
      <c r="Q243" t="str">
        <f t="shared" si="37"/>
        <v>Perempuan</v>
      </c>
      <c r="R243" t="str">
        <f t="shared" si="38"/>
        <v>Demak</v>
      </c>
      <c r="S243" s="21">
        <f t="shared" si="39"/>
        <v>42102</v>
      </c>
      <c r="T243" t="str">
        <f t="shared" si="40"/>
        <v>Puji Widarto</v>
      </c>
      <c r="U243" t="str">
        <f t="shared" si="41"/>
        <v>Ratnasari</v>
      </c>
      <c r="V243" t="str">
        <f>VLOOKUP(O243,Lembar1!$A$4:$H$457,8,FALSE)</f>
        <v>BIO_Images/EBTAQ25-01.208.jpg</v>
      </c>
      <c r="W243" t="str">
        <f>IFERROR(VLOOKUP(O243,Lembar1!$A$4:$I$457,9,FALSE),C243)</f>
        <v>Demak - TPQ NURUL IMAN</v>
      </c>
    </row>
    <row r="244" spans="1:23" ht="15.75" hidden="1" thickBot="1" x14ac:dyDescent="0.3">
      <c r="A244" s="33">
        <v>46000.833020833335</v>
      </c>
      <c r="B244" s="34" t="s">
        <v>10</v>
      </c>
      <c r="C244" s="34" t="s">
        <v>435</v>
      </c>
      <c r="D244" s="34" t="s">
        <v>830</v>
      </c>
      <c r="E244" s="34" t="s">
        <v>402</v>
      </c>
      <c r="F244" s="35">
        <v>42101</v>
      </c>
      <c r="G244" s="34" t="s">
        <v>831</v>
      </c>
      <c r="H244" s="34" t="s">
        <v>832</v>
      </c>
      <c r="I244" s="34" t="s">
        <v>2</v>
      </c>
      <c r="J244" s="36" t="s">
        <v>1886</v>
      </c>
      <c r="K244" s="34" t="s">
        <v>1887</v>
      </c>
      <c r="L244" s="78" t="s">
        <v>829</v>
      </c>
      <c r="M244" s="37" t="s">
        <v>1888</v>
      </c>
      <c r="N244">
        <v>470</v>
      </c>
      <c r="O244" t="str">
        <f t="shared" si="35"/>
        <v>EBTAQ25-01.210</v>
      </c>
      <c r="P244" t="str">
        <f t="shared" si="36"/>
        <v>prischaila hanny alvenira</v>
      </c>
      <c r="Q244" t="str">
        <f t="shared" si="37"/>
        <v>Perempuan</v>
      </c>
      <c r="R244" t="str">
        <f t="shared" si="38"/>
        <v>demak</v>
      </c>
      <c r="S244" s="21">
        <f t="shared" si="39"/>
        <v>42101</v>
      </c>
      <c r="T244" t="str">
        <f t="shared" si="40"/>
        <v>budi suyanto</v>
      </c>
      <c r="U244" t="str">
        <f t="shared" si="41"/>
        <v>eni setiyowati</v>
      </c>
      <c r="V244" t="str">
        <f>VLOOKUP(O244,Lembar1!$A$4:$H$457,8,FALSE)</f>
        <v>BIO_Images/EBTAQ25-01.210.jpg</v>
      </c>
      <c r="W244" t="str">
        <f>IFERROR(VLOOKUP(O244,Lembar1!$A$4:$I$457,9,FALSE),C244)</f>
        <v>Demak - TPQ NURUL IMAN</v>
      </c>
    </row>
    <row r="245" spans="1:23" ht="15.75" hidden="1" thickBot="1" x14ac:dyDescent="0.3">
      <c r="A245" s="28">
        <v>46000.835879629631</v>
      </c>
      <c r="B245" s="29" t="s">
        <v>10</v>
      </c>
      <c r="C245" s="29" t="s">
        <v>435</v>
      </c>
      <c r="D245" s="29" t="s">
        <v>835</v>
      </c>
      <c r="E245" s="29" t="s">
        <v>10</v>
      </c>
      <c r="F245" s="30">
        <v>42233</v>
      </c>
      <c r="G245" s="29" t="s">
        <v>836</v>
      </c>
      <c r="H245" s="29" t="s">
        <v>837</v>
      </c>
      <c r="I245" s="29" t="s">
        <v>2</v>
      </c>
      <c r="J245" s="31" t="s">
        <v>1889</v>
      </c>
      <c r="K245" s="29" t="s">
        <v>1890</v>
      </c>
      <c r="L245" s="77" t="s">
        <v>834</v>
      </c>
      <c r="M245" s="32" t="s">
        <v>1891</v>
      </c>
      <c r="N245">
        <v>471</v>
      </c>
      <c r="O245" t="str">
        <f t="shared" si="35"/>
        <v>EBTAQ25-01.211</v>
      </c>
      <c r="P245" t="str">
        <f t="shared" si="36"/>
        <v>KEYSHA Al MAQHVIRA</v>
      </c>
      <c r="Q245" t="str">
        <f t="shared" si="37"/>
        <v>Perempuan</v>
      </c>
      <c r="R245" t="str">
        <f t="shared" si="38"/>
        <v>Demak</v>
      </c>
      <c r="S245" s="21">
        <f t="shared" si="39"/>
        <v>42233</v>
      </c>
      <c r="T245" t="str">
        <f t="shared" si="40"/>
        <v>Agus suradi</v>
      </c>
      <c r="U245" t="str">
        <f t="shared" si="41"/>
        <v>Purwaningsih</v>
      </c>
      <c r="V245" t="str">
        <f>VLOOKUP(O245,Lembar1!$A$4:$H$457,8,FALSE)</f>
        <v>BIO_Images/EBTAQ25-01.211.jpg</v>
      </c>
      <c r="W245" t="str">
        <f>IFERROR(VLOOKUP(O245,Lembar1!$A$4:$I$457,9,FALSE),C245)</f>
        <v>Demak - TPQ NURUL IMAN</v>
      </c>
    </row>
    <row r="246" spans="1:23" ht="15.75" hidden="1" thickBot="1" x14ac:dyDescent="0.3">
      <c r="A246" s="50">
        <v>46000.85355324074</v>
      </c>
      <c r="B246" s="53" t="s">
        <v>10</v>
      </c>
      <c r="C246" s="53" t="s">
        <v>435</v>
      </c>
      <c r="D246" s="53" t="s">
        <v>840</v>
      </c>
      <c r="E246" s="53" t="s">
        <v>10</v>
      </c>
      <c r="F246" s="57">
        <v>42101</v>
      </c>
      <c r="G246" s="53" t="s">
        <v>841</v>
      </c>
      <c r="H246" s="53" t="s">
        <v>842</v>
      </c>
      <c r="I246" s="53" t="s">
        <v>2</v>
      </c>
      <c r="J246" s="60" t="s">
        <v>1898</v>
      </c>
      <c r="K246" s="53" t="s">
        <v>1899</v>
      </c>
      <c r="L246" s="78" t="s">
        <v>839</v>
      </c>
      <c r="M246" s="32" t="s">
        <v>1900</v>
      </c>
      <c r="N246">
        <v>472</v>
      </c>
      <c r="O246" t="str">
        <f t="shared" si="35"/>
        <v>EBTAQ25-01.212</v>
      </c>
      <c r="P246" t="str">
        <f t="shared" si="36"/>
        <v>Prischaila hanny alvenira</v>
      </c>
      <c r="Q246" t="str">
        <f t="shared" si="37"/>
        <v>Perempuan</v>
      </c>
      <c r="R246" t="str">
        <f t="shared" si="38"/>
        <v>Demak</v>
      </c>
      <c r="S246" s="21">
        <f t="shared" si="39"/>
        <v>42101</v>
      </c>
      <c r="T246" t="str">
        <f t="shared" si="40"/>
        <v>Budi suyanto</v>
      </c>
      <c r="U246" t="str">
        <f t="shared" si="41"/>
        <v>Eni setiyowati</v>
      </c>
      <c r="V246" t="str">
        <f>VLOOKUP(O246,Lembar1!$A$4:$H$457,8,FALSE)</f>
        <v>BIO_Images/EBTAQ25-01.212.jpeg</v>
      </c>
      <c r="W246" t="str">
        <f>IFERROR(VLOOKUP(O246,Lembar1!$A$4:$I$457,9,FALSE),C246)</f>
        <v>Demak - TPQ NURUL IMAN</v>
      </c>
    </row>
    <row r="247" spans="1:23" ht="15.75" hidden="1" thickBot="1" x14ac:dyDescent="0.3">
      <c r="A247" s="28">
        <v>46000.914768518516</v>
      </c>
      <c r="B247" s="29" t="s">
        <v>10</v>
      </c>
      <c r="C247" s="29" t="s">
        <v>435</v>
      </c>
      <c r="D247" s="29" t="s">
        <v>861</v>
      </c>
      <c r="E247" s="29" t="s">
        <v>28</v>
      </c>
      <c r="F247" s="30">
        <v>42220</v>
      </c>
      <c r="G247" s="29" t="s">
        <v>862</v>
      </c>
      <c r="H247" s="29" t="s">
        <v>863</v>
      </c>
      <c r="I247" s="29" t="s">
        <v>66</v>
      </c>
      <c r="J247" s="31" t="s">
        <v>1951</v>
      </c>
      <c r="K247" s="29" t="s">
        <v>1952</v>
      </c>
      <c r="L247" s="77" t="s">
        <v>860</v>
      </c>
      <c r="M247" s="32" t="s">
        <v>1953</v>
      </c>
      <c r="N247">
        <v>473</v>
      </c>
      <c r="O247" t="str">
        <f t="shared" si="35"/>
        <v>EBTAQ25-01.216</v>
      </c>
      <c r="P247" t="str">
        <f t="shared" si="36"/>
        <v>ABID FHADIL PRANAJA</v>
      </c>
      <c r="Q247" t="str">
        <f t="shared" si="37"/>
        <v>Laki-laki</v>
      </c>
      <c r="R247" t="str">
        <f t="shared" si="38"/>
        <v>DEMAK</v>
      </c>
      <c r="S247" s="21">
        <f t="shared" si="39"/>
        <v>42220</v>
      </c>
      <c r="T247" t="str">
        <f t="shared" si="40"/>
        <v>SETIYO PURNOMO</v>
      </c>
      <c r="U247" t="str">
        <f t="shared" si="41"/>
        <v>MAULIDDIYAH NINGRUM</v>
      </c>
      <c r="V247" t="str">
        <f>VLOOKUP(O247,Lembar1!$A$4:$H$457,8,FALSE)</f>
        <v>BIO_Images/EBTAQ25-01.216.jpg</v>
      </c>
      <c r="W247" t="str">
        <f>IFERROR(VLOOKUP(O247,Lembar1!$A$4:$I$457,9,FALSE),C247)</f>
        <v>Demak - TPQ NURUL IMAN</v>
      </c>
    </row>
    <row r="248" spans="1:23" ht="15.75" hidden="1" thickBot="1" x14ac:dyDescent="0.3">
      <c r="A248" s="33">
        <v>46000.936342592591</v>
      </c>
      <c r="B248" s="34" t="s">
        <v>10</v>
      </c>
      <c r="C248" s="34" t="s">
        <v>435</v>
      </c>
      <c r="D248" s="34" t="s">
        <v>866</v>
      </c>
      <c r="E248" s="34" t="s">
        <v>10</v>
      </c>
      <c r="F248" s="35">
        <v>42267</v>
      </c>
      <c r="G248" s="34" t="s">
        <v>867</v>
      </c>
      <c r="H248" s="34" t="s">
        <v>868</v>
      </c>
      <c r="I248" s="34" t="s">
        <v>2</v>
      </c>
      <c r="J248" s="36" t="s">
        <v>1954</v>
      </c>
      <c r="K248" s="34" t="s">
        <v>1955</v>
      </c>
      <c r="L248" s="78" t="s">
        <v>865</v>
      </c>
      <c r="M248" s="37" t="s">
        <v>1956</v>
      </c>
      <c r="N248">
        <v>474</v>
      </c>
      <c r="O248" t="str">
        <f t="shared" si="35"/>
        <v>EBTAQ25-01.217</v>
      </c>
      <c r="P248" t="str">
        <f t="shared" si="36"/>
        <v>Athaya Zahira Rifda</v>
      </c>
      <c r="Q248" t="str">
        <f t="shared" si="37"/>
        <v>Perempuan</v>
      </c>
      <c r="R248" t="str">
        <f t="shared" si="38"/>
        <v>Demak</v>
      </c>
      <c r="S248" s="21">
        <f t="shared" si="39"/>
        <v>42267</v>
      </c>
      <c r="T248" t="str">
        <f t="shared" si="40"/>
        <v>Samiono</v>
      </c>
      <c r="U248" t="str">
        <f t="shared" si="41"/>
        <v>Sri ngatini</v>
      </c>
      <c r="V248" t="str">
        <f>VLOOKUP(O248,Lembar1!$A$4:$H$457,8,FALSE)</f>
        <v>BIO_Images/EBTAQ25-01.217.jpg</v>
      </c>
      <c r="W248" t="str">
        <f>IFERROR(VLOOKUP(O248,Lembar1!$A$4:$I$457,9,FALSE),C248)</f>
        <v>Demak - TPQ NURUL IMAN</v>
      </c>
    </row>
    <row r="249" spans="1:23" ht="15.75" hidden="1" thickBot="1" x14ac:dyDescent="0.3">
      <c r="A249" s="28">
        <v>46001.319745370369</v>
      </c>
      <c r="B249" s="29" t="s">
        <v>10</v>
      </c>
      <c r="C249" s="29" t="s">
        <v>435</v>
      </c>
      <c r="D249" s="29" t="s">
        <v>898</v>
      </c>
      <c r="E249" s="29" t="s">
        <v>28</v>
      </c>
      <c r="F249" s="30">
        <v>42228</v>
      </c>
      <c r="G249" s="29" t="s">
        <v>899</v>
      </c>
      <c r="H249" s="29" t="s">
        <v>900</v>
      </c>
      <c r="I249" s="29" t="s">
        <v>66</v>
      </c>
      <c r="J249" s="31" t="s">
        <v>1983</v>
      </c>
      <c r="K249" s="29" t="s">
        <v>1984</v>
      </c>
      <c r="L249" s="77" t="s">
        <v>897</v>
      </c>
      <c r="M249" s="32" t="s">
        <v>1985</v>
      </c>
      <c r="N249">
        <v>475</v>
      </c>
      <c r="O249" t="str">
        <f t="shared" si="35"/>
        <v>EBTAQ25-01.224</v>
      </c>
      <c r="P249" t="str">
        <f t="shared" si="36"/>
        <v>MUHAMMAD FAHRIZA RAHMAN</v>
      </c>
      <c r="Q249" t="str">
        <f t="shared" si="37"/>
        <v>Laki-laki</v>
      </c>
      <c r="R249" t="str">
        <f t="shared" si="38"/>
        <v>DEMAK</v>
      </c>
      <c r="S249" s="21">
        <f t="shared" si="39"/>
        <v>42228</v>
      </c>
      <c r="T249" t="str">
        <f t="shared" si="40"/>
        <v>BUDIYANTO</v>
      </c>
      <c r="U249" t="str">
        <f t="shared" si="41"/>
        <v>NAILY RAHMAWATI</v>
      </c>
      <c r="V249" t="str">
        <f>VLOOKUP(O249,Lembar1!$A$4:$H$457,8,FALSE)</f>
        <v>BIO_Images/EBTAQ25-01.224.jpeg</v>
      </c>
      <c r="W249" t="str">
        <f>IFERROR(VLOOKUP(O249,Lembar1!$A$4:$I$457,9,FALSE),C249)</f>
        <v>Demak - TPQ NURUL IMAN</v>
      </c>
    </row>
    <row r="250" spans="1:23" ht="15.75" hidden="1" thickBot="1" x14ac:dyDescent="0.3">
      <c r="A250" s="50">
        <v>46001.398194444446</v>
      </c>
      <c r="B250" s="53" t="s">
        <v>10</v>
      </c>
      <c r="C250" s="53" t="s">
        <v>435</v>
      </c>
      <c r="D250" s="53" t="s">
        <v>898</v>
      </c>
      <c r="E250" s="53" t="s">
        <v>28</v>
      </c>
      <c r="F250" s="57">
        <v>42346</v>
      </c>
      <c r="G250" s="53" t="s">
        <v>899</v>
      </c>
      <c r="H250" s="53" t="s">
        <v>900</v>
      </c>
      <c r="I250" s="53" t="s">
        <v>66</v>
      </c>
      <c r="J250" s="60" t="s">
        <v>2001</v>
      </c>
      <c r="K250" s="53" t="s">
        <v>2002</v>
      </c>
      <c r="L250" s="78" t="s">
        <v>2003</v>
      </c>
      <c r="M250" s="32" t="s">
        <v>2004</v>
      </c>
      <c r="N250">
        <v>476</v>
      </c>
      <c r="O250" t="str">
        <f t="shared" si="35"/>
        <v>EBTAQ25-01.227</v>
      </c>
      <c r="P250" t="str">
        <f t="shared" si="36"/>
        <v>MUHAMMAD FAHRIZA RAHMAN</v>
      </c>
      <c r="Q250" t="str">
        <f t="shared" si="37"/>
        <v>Laki-laki</v>
      </c>
      <c r="R250" t="str">
        <f t="shared" si="38"/>
        <v>DEMAK</v>
      </c>
      <c r="S250" s="21">
        <f t="shared" si="39"/>
        <v>42346</v>
      </c>
      <c r="T250" t="str">
        <f t="shared" si="40"/>
        <v>BUDIYANTO</v>
      </c>
      <c r="U250" t="str">
        <f t="shared" si="41"/>
        <v>NAILY RAHMAWATI</v>
      </c>
      <c r="V250" t="str">
        <f>VLOOKUP(O250,Lembar1!$A$4:$H$457,8,FALSE)</f>
        <v>BIO_Images/EBTAQ25-01.227.jpg</v>
      </c>
      <c r="W250" t="str">
        <f>IFERROR(VLOOKUP(O250,Lembar1!$A$4:$I$457,9,FALSE),C250)</f>
        <v>Demak - TPQ NURUL IMAN</v>
      </c>
    </row>
    <row r="251" spans="1:23" ht="15.75" hidden="1" thickBot="1" x14ac:dyDescent="0.3">
      <c r="A251" s="28">
        <v>46001.678020833337</v>
      </c>
      <c r="B251" s="29" t="s">
        <v>10</v>
      </c>
      <c r="C251" s="29" t="s">
        <v>435</v>
      </c>
      <c r="D251" s="29" t="s">
        <v>2510</v>
      </c>
      <c r="E251" s="29" t="s">
        <v>10</v>
      </c>
      <c r="F251" s="30">
        <v>42481</v>
      </c>
      <c r="G251" s="29" t="s">
        <v>2511</v>
      </c>
      <c r="H251" s="29" t="s">
        <v>2512</v>
      </c>
      <c r="I251" s="29" t="s">
        <v>2</v>
      </c>
      <c r="J251" s="31" t="s">
        <v>2513</v>
      </c>
      <c r="K251" s="29" t="s">
        <v>2514</v>
      </c>
      <c r="L251" s="77" t="s">
        <v>2515</v>
      </c>
      <c r="M251" s="32" t="s">
        <v>2516</v>
      </c>
      <c r="N251">
        <v>477</v>
      </c>
      <c r="O251" t="str">
        <f t="shared" si="35"/>
        <v>EBTAQ25-01.278</v>
      </c>
      <c r="P251" t="str">
        <f t="shared" si="36"/>
        <v>JENY KARTIN APRILIA</v>
      </c>
      <c r="Q251" t="str">
        <f t="shared" si="37"/>
        <v>Perempuan</v>
      </c>
      <c r="R251" t="str">
        <f t="shared" si="38"/>
        <v>Demak</v>
      </c>
      <c r="S251" s="21">
        <f t="shared" si="39"/>
        <v>42481</v>
      </c>
      <c r="T251" t="str">
        <f t="shared" si="40"/>
        <v>Bejo</v>
      </c>
      <c r="U251" t="str">
        <f t="shared" si="41"/>
        <v>Siti Atminah</v>
      </c>
      <c r="V251" t="str">
        <f>VLOOKUP(O251,Lembar1!$A$4:$H$457,8,FALSE)</f>
        <v>BIO_Images/EBTAQ25-01.278.jpg</v>
      </c>
      <c r="W251" t="str">
        <f>IFERROR(VLOOKUP(O251,Lembar1!$A$4:$I$457,9,FALSE),C251)</f>
        <v>Demak - TPQ NURUL IMAN</v>
      </c>
    </row>
    <row r="252" spans="1:23" ht="15.75" hidden="1" thickBot="1" x14ac:dyDescent="0.3">
      <c r="A252" s="33">
        <v>46001.693796296298</v>
      </c>
      <c r="B252" s="34" t="s">
        <v>10</v>
      </c>
      <c r="C252" s="34" t="s">
        <v>435</v>
      </c>
      <c r="D252" s="34" t="s">
        <v>2573</v>
      </c>
      <c r="E252" s="34" t="s">
        <v>10</v>
      </c>
      <c r="F252" s="35">
        <v>42404</v>
      </c>
      <c r="G252" s="34" t="s">
        <v>2574</v>
      </c>
      <c r="H252" s="34" t="s">
        <v>2575</v>
      </c>
      <c r="I252" s="34" t="s">
        <v>2</v>
      </c>
      <c r="J252" s="36" t="s">
        <v>2576</v>
      </c>
      <c r="K252" s="34" t="s">
        <v>2577</v>
      </c>
      <c r="L252" s="78" t="s">
        <v>2578</v>
      </c>
      <c r="M252" s="37" t="s">
        <v>2579</v>
      </c>
      <c r="N252">
        <v>478</v>
      </c>
      <c r="O252" t="str">
        <f t="shared" si="35"/>
        <v>EBTAQ25-01.284</v>
      </c>
      <c r="P252" t="str">
        <f t="shared" si="36"/>
        <v>Vania Zahra Aqila</v>
      </c>
      <c r="Q252" t="str">
        <f t="shared" si="37"/>
        <v>Perempuan</v>
      </c>
      <c r="R252" t="str">
        <f t="shared" si="38"/>
        <v>Demak</v>
      </c>
      <c r="S252" s="21">
        <f t="shared" si="39"/>
        <v>42404</v>
      </c>
      <c r="T252" t="str">
        <f t="shared" si="40"/>
        <v>Setyono</v>
      </c>
      <c r="U252" t="str">
        <f t="shared" si="41"/>
        <v>Miftahul Khoiriyah</v>
      </c>
      <c r="V252" t="str">
        <f>VLOOKUP(O252,Lembar1!$A$4:$H$457,8,FALSE)</f>
        <v>BIO_Images/EBTAQ25-01.284.jpg</v>
      </c>
      <c r="W252" t="str">
        <f>IFERROR(VLOOKUP(O252,Lembar1!$A$4:$I$457,9,FALSE),C252)</f>
        <v>Demak - TPQ NURUL IMAN</v>
      </c>
    </row>
    <row r="253" spans="1:23" ht="15.75" hidden="1" thickBot="1" x14ac:dyDescent="0.3">
      <c r="A253" s="49">
        <v>46001.724340277775</v>
      </c>
      <c r="B253" s="52" t="s">
        <v>10</v>
      </c>
      <c r="C253" s="52" t="s">
        <v>435</v>
      </c>
      <c r="D253" s="52" t="s">
        <v>2688</v>
      </c>
      <c r="E253" s="52" t="s">
        <v>10</v>
      </c>
      <c r="F253" s="56">
        <v>41840</v>
      </c>
      <c r="G253" s="52" t="s">
        <v>2689</v>
      </c>
      <c r="H253" s="52" t="s">
        <v>2690</v>
      </c>
      <c r="I253" s="52" t="s">
        <v>2</v>
      </c>
      <c r="J253" s="59" t="s">
        <v>2691</v>
      </c>
      <c r="K253" s="52" t="s">
        <v>2692</v>
      </c>
      <c r="L253" s="77" t="s">
        <v>2693</v>
      </c>
      <c r="M253" s="37" t="s">
        <v>2694</v>
      </c>
      <c r="N253">
        <v>479</v>
      </c>
      <c r="O253" t="str">
        <f t="shared" si="35"/>
        <v>EBTAQ25-01.298</v>
      </c>
      <c r="P253" t="str">
        <f t="shared" si="36"/>
        <v>Adzaqnal wadqo khordalil wustqo</v>
      </c>
      <c r="Q253" t="str">
        <f t="shared" si="37"/>
        <v>Perempuan</v>
      </c>
      <c r="R253" t="str">
        <f t="shared" si="38"/>
        <v>Demak</v>
      </c>
      <c r="S253" s="21">
        <f t="shared" si="39"/>
        <v>41840</v>
      </c>
      <c r="T253" t="str">
        <f t="shared" si="40"/>
        <v>Mudiono</v>
      </c>
      <c r="U253" t="str">
        <f t="shared" si="41"/>
        <v>Nur rohmawati</v>
      </c>
      <c r="V253" t="str">
        <f>VLOOKUP(O253,Lembar1!$A$4:$H$457,8,FALSE)</f>
        <v>BIO_Images/EBTAQ25-01.298.jpg</v>
      </c>
      <c r="W253" t="str">
        <f>IFERROR(VLOOKUP(O253,Lembar1!$A$4:$I$457,9,FALSE),C253)</f>
        <v>Demak - TPQ NURUL IMAN</v>
      </c>
    </row>
    <row r="254" spans="1:23" ht="15.75" hidden="1" thickBot="1" x14ac:dyDescent="0.3">
      <c r="A254" s="50">
        <v>46001.814513888887</v>
      </c>
      <c r="B254" s="53" t="s">
        <v>10</v>
      </c>
      <c r="C254" s="53" t="s">
        <v>435</v>
      </c>
      <c r="D254" s="53" t="s">
        <v>2843</v>
      </c>
      <c r="E254" s="53" t="s">
        <v>116</v>
      </c>
      <c r="F254" s="57">
        <v>42040</v>
      </c>
      <c r="G254" s="53" t="s">
        <v>2844</v>
      </c>
      <c r="H254" s="53" t="s">
        <v>2845</v>
      </c>
      <c r="I254" s="53" t="s">
        <v>2</v>
      </c>
      <c r="J254" s="60" t="s">
        <v>2863</v>
      </c>
      <c r="K254" s="53" t="s">
        <v>2847</v>
      </c>
      <c r="L254" s="78" t="s">
        <v>2864</v>
      </c>
      <c r="M254" s="32" t="s">
        <v>2865</v>
      </c>
      <c r="N254">
        <v>480</v>
      </c>
      <c r="O254" t="str">
        <f t="shared" si="35"/>
        <v>EBTAQ25-01.317</v>
      </c>
      <c r="P254" t="str">
        <f t="shared" si="36"/>
        <v>Kayyasa Zaara Rahman</v>
      </c>
      <c r="Q254" t="str">
        <f t="shared" si="37"/>
        <v>Perempuan</v>
      </c>
      <c r="R254" t="str">
        <f t="shared" si="38"/>
        <v>Kudus</v>
      </c>
      <c r="S254" s="21">
        <f t="shared" si="39"/>
        <v>42040</v>
      </c>
      <c r="T254" t="str">
        <f t="shared" si="40"/>
        <v>Taufiq Rahman</v>
      </c>
      <c r="U254" t="str">
        <f t="shared" si="41"/>
        <v>Vika Andriyanti</v>
      </c>
      <c r="V254" t="str">
        <f>VLOOKUP(O254,Lembar1!$A$4:$H$457,8,FALSE)</f>
        <v>BIO_Images/EBTAQ25-01.317.jpg</v>
      </c>
      <c r="W254" t="str">
        <f>IFERROR(VLOOKUP(O254,Lembar1!$A$4:$I$457,9,FALSE),C254)</f>
        <v>Demak - TPQ NURUL IMAN</v>
      </c>
    </row>
    <row r="255" spans="1:23" ht="15.75" hidden="1" thickBot="1" x14ac:dyDescent="0.3">
      <c r="A255" s="49">
        <v>46001.815567129626</v>
      </c>
      <c r="B255" s="52" t="s">
        <v>10</v>
      </c>
      <c r="C255" s="52" t="s">
        <v>435</v>
      </c>
      <c r="D255" s="52" t="s">
        <v>2843</v>
      </c>
      <c r="E255" s="52" t="s">
        <v>116</v>
      </c>
      <c r="F255" s="56">
        <v>42040</v>
      </c>
      <c r="G255" s="52" t="s">
        <v>2844</v>
      </c>
      <c r="H255" s="52" t="s">
        <v>2845</v>
      </c>
      <c r="I255" s="52" t="s">
        <v>2</v>
      </c>
      <c r="J255" s="59" t="s">
        <v>2846</v>
      </c>
      <c r="K255" s="52" t="s">
        <v>2847</v>
      </c>
      <c r="L255" s="77" t="s">
        <v>2848</v>
      </c>
      <c r="M255" s="37" t="s">
        <v>2849</v>
      </c>
      <c r="N255">
        <v>481</v>
      </c>
      <c r="O255" t="str">
        <f t="shared" si="35"/>
        <v>EBTAQ25-01.314</v>
      </c>
      <c r="P255" t="str">
        <f t="shared" si="36"/>
        <v>Kayyasa Zaara Rahman</v>
      </c>
      <c r="Q255" t="str">
        <f t="shared" si="37"/>
        <v>Perempuan</v>
      </c>
      <c r="R255" t="str">
        <f t="shared" si="38"/>
        <v>Kudus</v>
      </c>
      <c r="S255" s="21">
        <f t="shared" si="39"/>
        <v>42040</v>
      </c>
      <c r="T255" t="str">
        <f t="shared" si="40"/>
        <v>Taufiq Rahman</v>
      </c>
      <c r="U255" t="str">
        <f t="shared" si="41"/>
        <v>Vika Andriyanti</v>
      </c>
      <c r="V255" t="str">
        <f>VLOOKUP(O255,Lembar1!$A$4:$H$457,8,FALSE)</f>
        <v>BIO_Images/EBTAQ25-01.314.jpg</v>
      </c>
      <c r="W255" t="str">
        <f>IFERROR(VLOOKUP(O255,Lembar1!$A$4:$I$457,9,FALSE),C255)</f>
        <v>Demak - TPQ NURUL IMAN</v>
      </c>
    </row>
    <row r="256" spans="1:23" ht="15.75" hidden="1" thickBot="1" x14ac:dyDescent="0.3">
      <c r="A256" s="50">
        <v>46001.822812500002</v>
      </c>
      <c r="B256" s="53" t="s">
        <v>10</v>
      </c>
      <c r="C256" s="53" t="s">
        <v>435</v>
      </c>
      <c r="D256" s="53" t="s">
        <v>2843</v>
      </c>
      <c r="E256" s="53" t="s">
        <v>116</v>
      </c>
      <c r="F256" s="57">
        <v>42040</v>
      </c>
      <c r="G256" s="53" t="s">
        <v>2844</v>
      </c>
      <c r="H256" s="53" t="s">
        <v>2845</v>
      </c>
      <c r="I256" s="53" t="s">
        <v>2</v>
      </c>
      <c r="J256" s="60" t="s">
        <v>2873</v>
      </c>
      <c r="K256" s="53" t="s">
        <v>2874</v>
      </c>
      <c r="L256" s="78" t="s">
        <v>2875</v>
      </c>
      <c r="M256" s="32" t="s">
        <v>2876</v>
      </c>
      <c r="N256">
        <v>482</v>
      </c>
      <c r="O256" t="str">
        <f t="shared" si="35"/>
        <v>EBTAQ25-01.318</v>
      </c>
      <c r="P256" t="str">
        <f t="shared" si="36"/>
        <v>Kayyasa Zaara Rahman</v>
      </c>
      <c r="Q256" t="str">
        <f t="shared" si="37"/>
        <v>Perempuan</v>
      </c>
      <c r="R256" t="str">
        <f t="shared" si="38"/>
        <v>Kudus</v>
      </c>
      <c r="S256" s="21">
        <f t="shared" si="39"/>
        <v>42040</v>
      </c>
      <c r="T256" t="str">
        <f t="shared" si="40"/>
        <v>Taufiq Rahman</v>
      </c>
      <c r="U256" t="str">
        <f t="shared" si="41"/>
        <v>Vika Andriyanti</v>
      </c>
      <c r="V256" t="str">
        <f>VLOOKUP(O256,Lembar1!$A$4:$H$457,8,FALSE)</f>
        <v>BIO_Images/EBTAQ25-01.318.jpg</v>
      </c>
      <c r="W256" t="str">
        <f>IFERROR(VLOOKUP(O256,Lembar1!$A$4:$I$457,9,FALSE),C256)</f>
        <v>Demak - TPQ NURUL IMAN</v>
      </c>
    </row>
    <row r="257" spans="1:23" ht="15.75" hidden="1" thickBot="1" x14ac:dyDescent="0.3">
      <c r="A257" s="49">
        <v>46001.825578703705</v>
      </c>
      <c r="B257" s="52" t="s">
        <v>10</v>
      </c>
      <c r="C257" s="52" t="s">
        <v>435</v>
      </c>
      <c r="D257" s="52" t="s">
        <v>2856</v>
      </c>
      <c r="E257" s="52" t="s">
        <v>402</v>
      </c>
      <c r="F257" s="56">
        <v>42344</v>
      </c>
      <c r="G257" s="52" t="s">
        <v>2857</v>
      </c>
      <c r="H257" s="52" t="s">
        <v>2858</v>
      </c>
      <c r="I257" s="52" t="s">
        <v>2</v>
      </c>
      <c r="J257" s="59" t="s">
        <v>2859</v>
      </c>
      <c r="K257" s="52" t="s">
        <v>2860</v>
      </c>
      <c r="L257" s="77" t="s">
        <v>2861</v>
      </c>
      <c r="M257" s="37" t="s">
        <v>2862</v>
      </c>
      <c r="N257">
        <v>483</v>
      </c>
      <c r="O257" t="str">
        <f t="shared" si="35"/>
        <v>EBTAQ25-01.316</v>
      </c>
      <c r="P257" t="str">
        <f t="shared" si="36"/>
        <v>Kezia Naquita Caroline</v>
      </c>
      <c r="Q257" t="str">
        <f t="shared" si="37"/>
        <v>Perempuan</v>
      </c>
      <c r="R257" t="str">
        <f t="shared" si="38"/>
        <v>demak</v>
      </c>
      <c r="S257" s="21">
        <f t="shared" si="39"/>
        <v>42344</v>
      </c>
      <c r="T257" t="str">
        <f t="shared" si="40"/>
        <v>feri eko budiyanto</v>
      </c>
      <c r="U257" t="str">
        <f t="shared" si="41"/>
        <v>nunung halimah</v>
      </c>
      <c r="V257" t="str">
        <f>VLOOKUP(O257,Lembar1!$A$4:$H$457,8,FALSE)</f>
        <v>BIO_Images/EBTAQ25-01.316.jpg</v>
      </c>
      <c r="W257" t="str">
        <f>IFERROR(VLOOKUP(O257,Lembar1!$A$4:$I$457,9,FALSE),C257)</f>
        <v>Demak - TPQ NURUL IMAN</v>
      </c>
    </row>
    <row r="258" spans="1:23" ht="15.75" hidden="1" thickBot="1" x14ac:dyDescent="0.3">
      <c r="A258" s="33">
        <v>46001.826249999998</v>
      </c>
      <c r="B258" s="34" t="s">
        <v>10</v>
      </c>
      <c r="C258" s="34" t="s">
        <v>435</v>
      </c>
      <c r="D258" s="34" t="s">
        <v>2843</v>
      </c>
      <c r="E258" s="34" t="s">
        <v>116</v>
      </c>
      <c r="F258" s="35">
        <v>42040</v>
      </c>
      <c r="G258" s="34" t="s">
        <v>2844</v>
      </c>
      <c r="H258" s="34" t="s">
        <v>2845</v>
      </c>
      <c r="I258" s="34" t="s">
        <v>2</v>
      </c>
      <c r="J258" s="36" t="s">
        <v>2877</v>
      </c>
      <c r="K258" s="34" t="s">
        <v>2874</v>
      </c>
      <c r="L258" s="78" t="s">
        <v>2878</v>
      </c>
      <c r="M258" s="37" t="s">
        <v>2879</v>
      </c>
      <c r="N258">
        <v>484</v>
      </c>
      <c r="O258" t="str">
        <f t="shared" si="35"/>
        <v>EBTAQ25-01.319</v>
      </c>
      <c r="P258" t="str">
        <f t="shared" si="36"/>
        <v>Kayyasa Zaara Rahman</v>
      </c>
      <c r="Q258" t="str">
        <f t="shared" si="37"/>
        <v>Perempuan</v>
      </c>
      <c r="R258" t="str">
        <f t="shared" si="38"/>
        <v>Kudus</v>
      </c>
      <c r="S258" s="21">
        <f t="shared" si="39"/>
        <v>42040</v>
      </c>
      <c r="T258" t="str">
        <f t="shared" si="40"/>
        <v>Taufiq Rahman</v>
      </c>
      <c r="U258" t="str">
        <f t="shared" si="41"/>
        <v>Vika Andriyanti</v>
      </c>
      <c r="V258" t="str">
        <f>VLOOKUP(O258,Lembar1!$A$4:$H$457,8,FALSE)</f>
        <v>BIO_Images/EBTAQ25-01.319.jpg</v>
      </c>
      <c r="W258" t="str">
        <f>IFERROR(VLOOKUP(O258,Lembar1!$A$4:$I$457,9,FALSE),C258)</f>
        <v>Demak - TPQ NURUL IMAN</v>
      </c>
    </row>
    <row r="259" spans="1:23" ht="15.75" hidden="1" thickBot="1" x14ac:dyDescent="0.3">
      <c r="A259" s="28">
        <v>46001.835046296299</v>
      </c>
      <c r="B259" s="29" t="s">
        <v>10</v>
      </c>
      <c r="C259" s="29" t="s">
        <v>435</v>
      </c>
      <c r="D259" s="29" t="s">
        <v>2890</v>
      </c>
      <c r="E259" s="29" t="s">
        <v>10</v>
      </c>
      <c r="F259" s="30">
        <v>42313</v>
      </c>
      <c r="G259" s="29" t="s">
        <v>2891</v>
      </c>
      <c r="H259" s="29" t="s">
        <v>2892</v>
      </c>
      <c r="I259" s="29" t="s">
        <v>66</v>
      </c>
      <c r="J259" s="31" t="s">
        <v>2893</v>
      </c>
      <c r="K259" s="29" t="s">
        <v>2894</v>
      </c>
      <c r="L259" s="77" t="s">
        <v>2895</v>
      </c>
      <c r="M259" s="32" t="s">
        <v>2896</v>
      </c>
      <c r="N259">
        <v>485</v>
      </c>
      <c r="O259" t="str">
        <f t="shared" si="35"/>
        <v>EBTAQ25-01.322</v>
      </c>
      <c r="P259" t="str">
        <f t="shared" si="36"/>
        <v>Muhammad Alfa Reza pratama</v>
      </c>
      <c r="Q259" t="str">
        <f t="shared" si="37"/>
        <v>Laki-laki</v>
      </c>
      <c r="R259" t="str">
        <f t="shared" si="38"/>
        <v>Demak</v>
      </c>
      <c r="S259" s="21">
        <f t="shared" si="39"/>
        <v>42313</v>
      </c>
      <c r="T259" t="str">
        <f t="shared" si="40"/>
        <v>Muhamad musafak</v>
      </c>
      <c r="U259" t="str">
        <f t="shared" si="41"/>
        <v>Ana istiaroh</v>
      </c>
      <c r="V259" t="str">
        <f>VLOOKUP(O259,Lembar1!$A$4:$H$457,8,FALSE)</f>
        <v>BIO_Images/EBTAQ25-01.322.jpg</v>
      </c>
      <c r="W259" t="str">
        <f>IFERROR(VLOOKUP(O259,Lembar1!$A$4:$I$457,9,FALSE),C259)</f>
        <v>Demak - TPQ NURUL IMAN</v>
      </c>
    </row>
    <row r="260" spans="1:23" ht="15.75" hidden="1" thickBot="1" x14ac:dyDescent="0.3">
      <c r="A260" s="33">
        <v>46001.835127314815</v>
      </c>
      <c r="B260" s="34" t="s">
        <v>10</v>
      </c>
      <c r="C260" s="34" t="s">
        <v>435</v>
      </c>
      <c r="D260" s="34" t="s">
        <v>2843</v>
      </c>
      <c r="E260" s="34" t="s">
        <v>116</v>
      </c>
      <c r="F260" s="35">
        <v>42040</v>
      </c>
      <c r="G260" s="34" t="s">
        <v>2844</v>
      </c>
      <c r="H260" s="34" t="s">
        <v>2845</v>
      </c>
      <c r="I260" s="34" t="s">
        <v>2</v>
      </c>
      <c r="J260" s="36" t="s">
        <v>2897</v>
      </c>
      <c r="K260" s="34" t="s">
        <v>2898</v>
      </c>
      <c r="L260" s="78" t="s">
        <v>2899</v>
      </c>
      <c r="M260" s="37" t="s">
        <v>2900</v>
      </c>
      <c r="N260">
        <v>486</v>
      </c>
      <c r="O260" t="str">
        <f t="shared" si="35"/>
        <v>EBTAQ25-01.323</v>
      </c>
      <c r="P260" t="str">
        <f t="shared" si="36"/>
        <v>Kayyasa Zaara Rahman</v>
      </c>
      <c r="Q260" t="str">
        <f t="shared" si="37"/>
        <v>Perempuan</v>
      </c>
      <c r="R260" t="str">
        <f t="shared" si="38"/>
        <v>Kudus</v>
      </c>
      <c r="S260" s="21">
        <f t="shared" si="39"/>
        <v>42040</v>
      </c>
      <c r="T260" t="str">
        <f t="shared" si="40"/>
        <v>Taufiq Rahman</v>
      </c>
      <c r="U260" t="str">
        <f t="shared" si="41"/>
        <v>Vika Andriyanti</v>
      </c>
      <c r="V260" t="str">
        <f>VLOOKUP(O260,Lembar1!$A$4:$H$457,8,FALSE)</f>
        <v>BIO_Images/EBTAQ25-01.323.jpg</v>
      </c>
      <c r="W260" t="str">
        <f>IFERROR(VLOOKUP(O260,Lembar1!$A$4:$I$457,9,FALSE),C260)</f>
        <v>Demak - TPQ NURUL IMAN</v>
      </c>
    </row>
    <row r="261" spans="1:23" ht="15.75" hidden="1" thickBot="1" x14ac:dyDescent="0.3">
      <c r="A261" s="28">
        <v>46001.836400462962</v>
      </c>
      <c r="B261" s="29" t="s">
        <v>10</v>
      </c>
      <c r="C261" s="29" t="s">
        <v>435</v>
      </c>
      <c r="D261" s="29" t="s">
        <v>2890</v>
      </c>
      <c r="E261" s="29" t="s">
        <v>10</v>
      </c>
      <c r="F261" s="30">
        <v>42313</v>
      </c>
      <c r="G261" s="29" t="s">
        <v>2891</v>
      </c>
      <c r="H261" s="29" t="s">
        <v>2892</v>
      </c>
      <c r="I261" s="29" t="s">
        <v>66</v>
      </c>
      <c r="J261" s="31" t="s">
        <v>2901</v>
      </c>
      <c r="K261" s="29" t="s">
        <v>2894</v>
      </c>
      <c r="L261" s="77" t="s">
        <v>2902</v>
      </c>
      <c r="M261" s="32" t="s">
        <v>2903</v>
      </c>
      <c r="N261">
        <v>487</v>
      </c>
      <c r="O261" t="str">
        <f t="shared" si="35"/>
        <v>EBTAQ25-01.324</v>
      </c>
      <c r="P261" t="str">
        <f t="shared" si="36"/>
        <v>Muhammad Alfa Reza pratama</v>
      </c>
      <c r="Q261" t="str">
        <f t="shared" si="37"/>
        <v>Laki-laki</v>
      </c>
      <c r="R261" t="str">
        <f t="shared" si="38"/>
        <v>Demak</v>
      </c>
      <c r="S261" s="21">
        <f t="shared" si="39"/>
        <v>42313</v>
      </c>
      <c r="T261" t="str">
        <f t="shared" si="40"/>
        <v>Muhamad musafak</v>
      </c>
      <c r="U261" t="str">
        <f t="shared" si="41"/>
        <v>Ana istiaroh</v>
      </c>
      <c r="V261" t="str">
        <f>VLOOKUP(O261,Lembar1!$A$4:$H$457,8,FALSE)</f>
        <v>BIO_Images/EBTAQ25-01.324.jpg</v>
      </c>
      <c r="W261" t="str">
        <f>IFERROR(VLOOKUP(O261,Lembar1!$A$4:$I$457,9,FALSE),C261)</f>
        <v>Demak - TPQ NURUL IMAN</v>
      </c>
    </row>
    <row r="262" spans="1:23" ht="15.75" hidden="1" thickBot="1" x14ac:dyDescent="0.3">
      <c r="A262" s="50">
        <v>46001.841921296298</v>
      </c>
      <c r="B262" s="53" t="s">
        <v>10</v>
      </c>
      <c r="C262" s="53" t="s">
        <v>435</v>
      </c>
      <c r="D262" s="53" t="s">
        <v>2843</v>
      </c>
      <c r="E262" s="53" t="s">
        <v>116</v>
      </c>
      <c r="F262" s="57">
        <v>42040</v>
      </c>
      <c r="G262" s="53" t="s">
        <v>2844</v>
      </c>
      <c r="H262" s="53" t="s">
        <v>2845</v>
      </c>
      <c r="I262" s="53" t="s">
        <v>2</v>
      </c>
      <c r="J262" s="60" t="s">
        <v>2909</v>
      </c>
      <c r="K262" s="53" t="s">
        <v>2898</v>
      </c>
      <c r="L262" s="78" t="s">
        <v>2910</v>
      </c>
      <c r="M262" s="32" t="s">
        <v>2911</v>
      </c>
      <c r="N262">
        <v>488</v>
      </c>
      <c r="O262" t="str">
        <f t="shared" si="35"/>
        <v>EBTAQ25-01.325</v>
      </c>
      <c r="P262" t="str">
        <f t="shared" si="36"/>
        <v>Kayyasa Zaara Rahman</v>
      </c>
      <c r="Q262" t="str">
        <f t="shared" si="37"/>
        <v>Perempuan</v>
      </c>
      <c r="R262" t="str">
        <f t="shared" si="38"/>
        <v>Kudus</v>
      </c>
      <c r="S262" s="21">
        <f t="shared" si="39"/>
        <v>42040</v>
      </c>
      <c r="T262" t="str">
        <f t="shared" si="40"/>
        <v>Taufiq Rahman</v>
      </c>
      <c r="U262" t="str">
        <f t="shared" si="41"/>
        <v>Vika Andriyanti</v>
      </c>
      <c r="V262" t="str">
        <f>VLOOKUP(O262,Lembar1!$A$4:$H$457,8,FALSE)</f>
        <v>BIO_Images/EBTAQ25-01.325.jpg</v>
      </c>
      <c r="W262" t="str">
        <f>IFERROR(VLOOKUP(O262,Lembar1!$A$4:$I$457,9,FALSE),C262)</f>
        <v>Demak - TPQ NURUL IMAN</v>
      </c>
    </row>
    <row r="263" spans="1:23" ht="15.75" hidden="1" thickBot="1" x14ac:dyDescent="0.3">
      <c r="A263" s="49">
        <v>46001.841967592591</v>
      </c>
      <c r="B263" s="52" t="s">
        <v>10</v>
      </c>
      <c r="C263" s="52" t="s">
        <v>435</v>
      </c>
      <c r="D263" s="52" t="s">
        <v>2890</v>
      </c>
      <c r="E263" s="52" t="s">
        <v>10</v>
      </c>
      <c r="F263" s="56">
        <v>42313</v>
      </c>
      <c r="G263" s="52" t="s">
        <v>2891</v>
      </c>
      <c r="H263" s="52" t="s">
        <v>2892</v>
      </c>
      <c r="I263" s="52" t="s">
        <v>66</v>
      </c>
      <c r="J263" s="59" t="s">
        <v>2912</v>
      </c>
      <c r="K263" s="52" t="s">
        <v>2894</v>
      </c>
      <c r="L263" s="77" t="s">
        <v>2913</v>
      </c>
      <c r="M263" s="37" t="s">
        <v>2914</v>
      </c>
      <c r="N263">
        <v>489</v>
      </c>
      <c r="O263" t="str">
        <f t="shared" si="35"/>
        <v>EBTAQ25-01.326</v>
      </c>
      <c r="P263" t="str">
        <f t="shared" si="36"/>
        <v>Muhammad Alfa Reza pratama</v>
      </c>
      <c r="Q263" t="str">
        <f t="shared" si="37"/>
        <v>Laki-laki</v>
      </c>
      <c r="R263" t="str">
        <f t="shared" si="38"/>
        <v>Demak</v>
      </c>
      <c r="S263" s="21">
        <f t="shared" si="39"/>
        <v>42313</v>
      </c>
      <c r="T263" t="str">
        <f t="shared" si="40"/>
        <v>Muhamad musafak</v>
      </c>
      <c r="U263" t="str">
        <f t="shared" si="41"/>
        <v>Ana istiaroh</v>
      </c>
      <c r="V263" t="str">
        <f>VLOOKUP(O263,Lembar1!$A$4:$H$457,8,FALSE)</f>
        <v>BIO_Images/EBTAQ25-01.326.jpg</v>
      </c>
      <c r="W263" t="str">
        <f>IFERROR(VLOOKUP(O263,Lembar1!$A$4:$I$457,9,FALSE),C263)</f>
        <v>Demak - TPQ NURUL IMAN</v>
      </c>
    </row>
    <row r="264" spans="1:23" ht="15.75" hidden="1" thickBot="1" x14ac:dyDescent="0.3">
      <c r="A264" s="33">
        <v>45999.736030092594</v>
      </c>
      <c r="B264" s="34" t="s">
        <v>10</v>
      </c>
      <c r="C264" s="34" t="s">
        <v>457</v>
      </c>
      <c r="D264" s="34" t="s">
        <v>452</v>
      </c>
      <c r="E264" s="34" t="s">
        <v>453</v>
      </c>
      <c r="F264" s="35">
        <v>42703</v>
      </c>
      <c r="G264" s="34" t="s">
        <v>454</v>
      </c>
      <c r="H264" s="34" t="s">
        <v>455</v>
      </c>
      <c r="I264" s="34" t="s">
        <v>2</v>
      </c>
      <c r="J264" s="36" t="s">
        <v>1406</v>
      </c>
      <c r="K264" s="34" t="s">
        <v>1407</v>
      </c>
      <c r="L264" s="78" t="s">
        <v>451</v>
      </c>
      <c r="M264" s="37" t="s">
        <v>1408</v>
      </c>
      <c r="N264">
        <v>490</v>
      </c>
      <c r="O264" t="str">
        <f t="shared" si="35"/>
        <v>EBTAQ25-01.167</v>
      </c>
      <c r="P264" t="str">
        <f t="shared" si="36"/>
        <v>ISHMAH FARADISA</v>
      </c>
      <c r="Q264" t="str">
        <f t="shared" si="37"/>
        <v>Perempuan</v>
      </c>
      <c r="R264" t="str">
        <f t="shared" si="38"/>
        <v>ROKAN HULU</v>
      </c>
      <c r="S264" s="21">
        <f t="shared" si="39"/>
        <v>42703</v>
      </c>
      <c r="T264" t="str">
        <f t="shared" si="40"/>
        <v>M. ULIL ABSHOR</v>
      </c>
      <c r="U264" t="str">
        <f t="shared" si="41"/>
        <v>MUNAWAROH</v>
      </c>
      <c r="V264" t="str">
        <f>VLOOKUP(O264,Lembar1!$A$4:$H$457,8,FALSE)</f>
        <v>BIO_Images/EBTAQ25-01.167.jpg</v>
      </c>
      <c r="W264" t="str">
        <f>IFERROR(VLOOKUP(O264,Lembar1!$A$4:$I$457,9,FALSE),C264)</f>
        <v>Demak - TPQ Nuzulur Rohmah</v>
      </c>
    </row>
    <row r="265" spans="1:23" ht="15.75" hidden="1" thickBot="1" x14ac:dyDescent="0.3">
      <c r="A265" s="28">
        <v>46001.745706018519</v>
      </c>
      <c r="B265" s="29" t="s">
        <v>10</v>
      </c>
      <c r="C265" s="29" t="s">
        <v>2781</v>
      </c>
      <c r="D265" s="29" t="s">
        <v>2782</v>
      </c>
      <c r="E265" s="39">
        <v>42287</v>
      </c>
      <c r="F265" s="30">
        <v>42287</v>
      </c>
      <c r="G265" s="29" t="s">
        <v>2783</v>
      </c>
      <c r="H265" s="29" t="s">
        <v>2784</v>
      </c>
      <c r="I265" s="29" t="s">
        <v>66</v>
      </c>
      <c r="J265" s="31" t="s">
        <v>2785</v>
      </c>
      <c r="K265" s="29" t="s">
        <v>2786</v>
      </c>
      <c r="L265" s="77" t="s">
        <v>2787</v>
      </c>
      <c r="M265" s="32" t="s">
        <v>2788</v>
      </c>
      <c r="N265">
        <v>491</v>
      </c>
      <c r="O265" t="str">
        <f t="shared" si="35"/>
        <v>EBTAQ25-01.310</v>
      </c>
      <c r="P265" t="str">
        <f t="shared" si="36"/>
        <v>ADRIAN PRADIPTA WIJAYA</v>
      </c>
      <c r="Q265" t="str">
        <f t="shared" si="37"/>
        <v>Laki-laki</v>
      </c>
      <c r="R265">
        <f t="shared" si="38"/>
        <v>42287</v>
      </c>
      <c r="S265" s="21">
        <f t="shared" si="39"/>
        <v>42287</v>
      </c>
      <c r="T265" t="str">
        <f t="shared" si="40"/>
        <v>DANANG HARYANTO</v>
      </c>
      <c r="U265" t="str">
        <f t="shared" si="41"/>
        <v>NIKMATUL INAYAH</v>
      </c>
      <c r="V265" t="str">
        <f>VLOOKUP(O265,Lembar1!$A$4:$H$457,8,FALSE)</f>
        <v>BIO_Images/EBTAQ25-01.310.jpg</v>
      </c>
      <c r="W265" t="str">
        <f>IFERROR(VLOOKUP(O265,Lembar1!$A$4:$I$457,9,FALSE),C265)</f>
        <v>Demak - TPQ ROUDHOTUL JANNAH</v>
      </c>
    </row>
    <row r="266" spans="1:23" ht="15.75" hidden="1" thickBot="1" x14ac:dyDescent="0.3">
      <c r="A266" s="33">
        <v>46001.705717592595</v>
      </c>
      <c r="B266" s="34" t="s">
        <v>10</v>
      </c>
      <c r="C266" s="34" t="s">
        <v>2626</v>
      </c>
      <c r="D266" s="34" t="s">
        <v>2627</v>
      </c>
      <c r="E266" s="34" t="s">
        <v>10</v>
      </c>
      <c r="F266" s="35">
        <v>42272</v>
      </c>
      <c r="G266" s="34" t="s">
        <v>2628</v>
      </c>
      <c r="H266" s="34" t="s">
        <v>2629</v>
      </c>
      <c r="I266" s="34" t="s">
        <v>2</v>
      </c>
      <c r="J266" s="36" t="s">
        <v>2630</v>
      </c>
      <c r="K266" s="34" t="s">
        <v>2631</v>
      </c>
      <c r="L266" s="78" t="s">
        <v>2632</v>
      </c>
      <c r="M266" s="37" t="s">
        <v>2633</v>
      </c>
      <c r="N266">
        <v>492</v>
      </c>
      <c r="O266" t="str">
        <f t="shared" si="35"/>
        <v>EBTAQ25-01.289</v>
      </c>
      <c r="P266" t="str">
        <f t="shared" si="36"/>
        <v>Alayya Nahda Rafanda</v>
      </c>
      <c r="Q266" t="str">
        <f t="shared" si="37"/>
        <v>Perempuan</v>
      </c>
      <c r="R266" t="str">
        <f t="shared" si="38"/>
        <v>Demak</v>
      </c>
      <c r="S266" s="21">
        <f t="shared" si="39"/>
        <v>42272</v>
      </c>
      <c r="T266" t="str">
        <f t="shared" si="40"/>
        <v>Sumber Kusnadi</v>
      </c>
      <c r="U266" t="str">
        <f t="shared" si="41"/>
        <v>IRA SOFIANA</v>
      </c>
      <c r="V266" t="str">
        <f>VLOOKUP(O266,Lembar1!$A$4:$H$457,8,FALSE)</f>
        <v>BIO_Images/EBTAQ25-01.289.jpeg</v>
      </c>
      <c r="W266" t="str">
        <f>IFERROR(VLOOKUP(O266,Lembar1!$A$4:$I$457,9,FALSE),C266)</f>
        <v>Demak - TPQ SULAMUNNAJAH</v>
      </c>
    </row>
    <row r="267" spans="1:23" ht="15.75" hidden="1" thickBot="1" x14ac:dyDescent="0.3">
      <c r="A267" s="28">
        <v>46001.724421296298</v>
      </c>
      <c r="B267" s="29" t="s">
        <v>10</v>
      </c>
      <c r="C267" s="29" t="s">
        <v>2626</v>
      </c>
      <c r="D267" s="29" t="s">
        <v>2695</v>
      </c>
      <c r="E267" s="29" t="s">
        <v>10</v>
      </c>
      <c r="F267" s="30">
        <v>42563</v>
      </c>
      <c r="G267" s="29" t="s">
        <v>2696</v>
      </c>
      <c r="H267" s="29" t="s">
        <v>2697</v>
      </c>
      <c r="I267" s="29" t="s">
        <v>2</v>
      </c>
      <c r="J267" s="31" t="s">
        <v>2698</v>
      </c>
      <c r="K267" s="29" t="s">
        <v>2631</v>
      </c>
      <c r="L267" s="77" t="s">
        <v>2699</v>
      </c>
      <c r="M267" s="32" t="s">
        <v>2700</v>
      </c>
      <c r="N267">
        <v>493</v>
      </c>
      <c r="O267" t="str">
        <f t="shared" si="35"/>
        <v>EBTAQ25-01.299</v>
      </c>
      <c r="P267" t="str">
        <f t="shared" si="36"/>
        <v>RHEA AINAYA SAPUTRA</v>
      </c>
      <c r="Q267" t="str">
        <f t="shared" si="37"/>
        <v>Perempuan</v>
      </c>
      <c r="R267" t="str">
        <f t="shared" si="38"/>
        <v>Demak</v>
      </c>
      <c r="S267" s="21">
        <f t="shared" si="39"/>
        <v>42563</v>
      </c>
      <c r="T267" t="str">
        <f t="shared" si="40"/>
        <v>Lilik Dwi Saputro</v>
      </c>
      <c r="U267" t="str">
        <f t="shared" si="41"/>
        <v>ANIK ANDRIANINGRUM</v>
      </c>
      <c r="V267" t="str">
        <f>VLOOKUP(O267,Lembar1!$A$4:$H$457,8,FALSE)</f>
        <v>BIO_Images/EBTAQ25-01.299.jpeg</v>
      </c>
      <c r="W267" t="str">
        <f>IFERROR(VLOOKUP(O267,Lembar1!$A$4:$I$457,9,FALSE),C267)</f>
        <v>Demak - TPQ SULAMUNNAJAH</v>
      </c>
    </row>
    <row r="268" spans="1:23" ht="15.75" hidden="1" thickBot="1" x14ac:dyDescent="0.3">
      <c r="A268" s="50">
        <v>46001.726261574076</v>
      </c>
      <c r="B268" s="53" t="s">
        <v>10</v>
      </c>
      <c r="C268" s="53" t="s">
        <v>2626</v>
      </c>
      <c r="D268" s="53" t="s">
        <v>2708</v>
      </c>
      <c r="E268" s="53" t="s">
        <v>2709</v>
      </c>
      <c r="F268" s="57">
        <v>42614</v>
      </c>
      <c r="G268" s="53" t="s">
        <v>2710</v>
      </c>
      <c r="H268" s="53" t="s">
        <v>2711</v>
      </c>
      <c r="I268" s="53" t="s">
        <v>2</v>
      </c>
      <c r="J268" s="60" t="s">
        <v>2712</v>
      </c>
      <c r="K268" s="53" t="s">
        <v>2631</v>
      </c>
      <c r="L268" s="78" t="s">
        <v>2713</v>
      </c>
      <c r="M268" s="32" t="s">
        <v>2714</v>
      </c>
      <c r="N268">
        <v>494</v>
      </c>
      <c r="O268" t="str">
        <f t="shared" si="35"/>
        <v>EBTAQ25-01.301</v>
      </c>
      <c r="P268" t="str">
        <f t="shared" si="36"/>
        <v>Wimala Nuriel Sefti Elysia</v>
      </c>
      <c r="Q268" t="str">
        <f t="shared" si="37"/>
        <v>Perempuan</v>
      </c>
      <c r="R268" t="str">
        <f t="shared" si="38"/>
        <v>Klaten</v>
      </c>
      <c r="S268" s="21">
        <f t="shared" si="39"/>
        <v>42614</v>
      </c>
      <c r="T268" t="str">
        <f t="shared" si="40"/>
        <v>Iswanto</v>
      </c>
      <c r="U268" t="str">
        <f t="shared" si="41"/>
        <v>Nur Kayati</v>
      </c>
      <c r="V268" t="str">
        <f>VLOOKUP(O268,Lembar1!$A$4:$H$457,8,FALSE)</f>
        <v>BIO_Images/EBTAQ25-01.301.jpeg</v>
      </c>
      <c r="W268" t="str">
        <f>IFERROR(VLOOKUP(O268,Lembar1!$A$4:$I$457,9,FALSE),C268)</f>
        <v>Demak - TPQ SULAMUNNAJAH</v>
      </c>
    </row>
    <row r="269" spans="1:23" ht="15.75" hidden="1" thickBot="1" x14ac:dyDescent="0.3">
      <c r="A269" s="28">
        <v>45998.692557870374</v>
      </c>
      <c r="B269" s="29" t="s">
        <v>10</v>
      </c>
      <c r="C269" s="29" t="s">
        <v>256</v>
      </c>
      <c r="D269" s="29" t="s">
        <v>252</v>
      </c>
      <c r="E269" s="29" t="s">
        <v>10</v>
      </c>
      <c r="F269" s="30">
        <v>41692</v>
      </c>
      <c r="G269" s="29" t="s">
        <v>253</v>
      </c>
      <c r="H269" s="29" t="s">
        <v>254</v>
      </c>
      <c r="I269" s="29" t="s">
        <v>2</v>
      </c>
      <c r="J269" s="31" t="s">
        <v>1115</v>
      </c>
      <c r="K269" s="29" t="s">
        <v>1116</v>
      </c>
      <c r="L269" s="77" t="s">
        <v>251</v>
      </c>
      <c r="M269" s="32" t="s">
        <v>1117</v>
      </c>
      <c r="N269">
        <v>495</v>
      </c>
      <c r="O269" t="str">
        <f t="shared" si="35"/>
        <v>EBTAQ25-01.138</v>
      </c>
      <c r="P269" t="str">
        <f t="shared" si="36"/>
        <v>Syaffira Maharani Putri Fie</v>
      </c>
      <c r="Q269" t="str">
        <f t="shared" si="37"/>
        <v>Perempuan</v>
      </c>
      <c r="R269" t="str">
        <f t="shared" si="38"/>
        <v>Demak</v>
      </c>
      <c r="S269" s="21">
        <f t="shared" si="39"/>
        <v>41692</v>
      </c>
      <c r="T269" t="str">
        <f t="shared" si="40"/>
        <v>Fahruddin Lutfiei</v>
      </c>
      <c r="U269" t="str">
        <f t="shared" si="41"/>
        <v>Eka Prasetya Ningrum</v>
      </c>
      <c r="V269" t="str">
        <f>VLOOKUP(O269,Lembar1!$A$4:$H$457,8,FALSE)</f>
        <v>BIO_Images/EBTAQ25-01.138.jpg</v>
      </c>
      <c r="W269" t="str">
        <f>IFERROR(VLOOKUP(O269,Lembar1!$A$4:$I$457,9,FALSE),C269)</f>
        <v>Dewoka - Nuzulur Rohmah</v>
      </c>
    </row>
    <row r="270" spans="1:23" ht="15.75" hidden="1" thickBot="1" x14ac:dyDescent="0.3">
      <c r="A270" s="50">
        <v>46000.867546296293</v>
      </c>
      <c r="B270" s="53" t="s">
        <v>10</v>
      </c>
      <c r="C270" s="53" t="s">
        <v>854</v>
      </c>
      <c r="D270" s="53" t="s">
        <v>850</v>
      </c>
      <c r="E270" s="53" t="s">
        <v>10</v>
      </c>
      <c r="F270" s="57">
        <v>41531</v>
      </c>
      <c r="G270" s="53" t="s">
        <v>851</v>
      </c>
      <c r="H270" s="53" t="s">
        <v>852</v>
      </c>
      <c r="I270" s="53" t="s">
        <v>2</v>
      </c>
      <c r="J270" s="60" t="s">
        <v>1904</v>
      </c>
      <c r="K270" s="53" t="s">
        <v>1905</v>
      </c>
      <c r="L270" s="78" t="s">
        <v>849</v>
      </c>
      <c r="M270" s="32" t="s">
        <v>1906</v>
      </c>
      <c r="N270">
        <v>496</v>
      </c>
      <c r="O270" t="str">
        <f t="shared" si="35"/>
        <v>EBTAQ25-01.214</v>
      </c>
      <c r="P270" t="str">
        <f t="shared" si="36"/>
        <v>Kanza Tichtania Akshafani Irawan</v>
      </c>
      <c r="Q270" t="str">
        <f t="shared" si="37"/>
        <v>Perempuan</v>
      </c>
      <c r="R270" t="str">
        <f t="shared" si="38"/>
        <v>Demak</v>
      </c>
      <c r="S270" s="21">
        <f t="shared" si="39"/>
        <v>41531</v>
      </c>
      <c r="T270" t="str">
        <f t="shared" si="40"/>
        <v>IRAWAN NOOR ARIFIANTO</v>
      </c>
      <c r="U270" t="str">
        <f t="shared" si="41"/>
        <v>IDA MUZANIFAH</v>
      </c>
      <c r="V270" t="str">
        <f>VLOOKUP(O270,Lembar1!$A$4:$H$457,8,FALSE)</f>
        <v>BIO_Images/EBTAQ25-01.214.jpg</v>
      </c>
      <c r="W270" t="str">
        <f>IFERROR(VLOOKUP(O270,Lembar1!$A$4:$I$457,9,FALSE),C270)</f>
        <v>Karangga - Al Furqon</v>
      </c>
    </row>
    <row r="271" spans="1:23" ht="15.75" hidden="1" thickBot="1" x14ac:dyDescent="0.3">
      <c r="A271" s="28">
        <v>46000.236875000002</v>
      </c>
      <c r="B271" s="29" t="s">
        <v>10</v>
      </c>
      <c r="C271" s="29" t="s">
        <v>484</v>
      </c>
      <c r="D271" s="29" t="s">
        <v>480</v>
      </c>
      <c r="E271" s="29" t="s">
        <v>10</v>
      </c>
      <c r="F271" s="30">
        <v>41779</v>
      </c>
      <c r="G271" s="29" t="s">
        <v>481</v>
      </c>
      <c r="H271" s="29" t="s">
        <v>482</v>
      </c>
      <c r="I271" s="29" t="s">
        <v>66</v>
      </c>
      <c r="J271" s="31" t="s">
        <v>1438</v>
      </c>
      <c r="K271" s="29" t="s">
        <v>1439</v>
      </c>
      <c r="L271" s="77" t="s">
        <v>479</v>
      </c>
      <c r="M271" s="32" t="s">
        <v>1440</v>
      </c>
      <c r="N271">
        <v>497</v>
      </c>
      <c r="O271" t="str">
        <f t="shared" si="35"/>
        <v>EBTAQ25-01.171</v>
      </c>
      <c r="P271" t="str">
        <f t="shared" si="36"/>
        <v>Muhammad Sultan Al Fatih</v>
      </c>
      <c r="Q271" t="str">
        <f t="shared" si="37"/>
        <v>Laki-laki</v>
      </c>
      <c r="R271" t="str">
        <f t="shared" si="38"/>
        <v>Demak</v>
      </c>
      <c r="S271" s="21">
        <f t="shared" si="39"/>
        <v>41779</v>
      </c>
      <c r="T271" t="str">
        <f t="shared" si="40"/>
        <v>Sofi Luthfi</v>
      </c>
      <c r="U271" t="str">
        <f t="shared" si="41"/>
        <v>Evi Khosiatul Kholisoh</v>
      </c>
      <c r="V271" t="str">
        <f>VLOOKUP(O271,Lembar1!$A$4:$H$457,8,FALSE)</f>
        <v>BIO_Images/EBTAQ25-01.171.jpg</v>
      </c>
      <c r="W271" t="str">
        <f>IFERROR(VLOOKUP(O271,Lembar1!$A$4:$I$457,9,FALSE),C271)</f>
        <v>Karangga - Al Hikmah</v>
      </c>
    </row>
    <row r="272" spans="1:23" ht="15.75" hidden="1" thickBot="1" x14ac:dyDescent="0.3">
      <c r="A272" s="33">
        <v>46000.866840277777</v>
      </c>
      <c r="B272" s="34" t="s">
        <v>10</v>
      </c>
      <c r="C272" s="34" t="s">
        <v>484</v>
      </c>
      <c r="D272" s="34" t="s">
        <v>845</v>
      </c>
      <c r="E272" s="34" t="s">
        <v>10</v>
      </c>
      <c r="F272" s="35">
        <v>41548</v>
      </c>
      <c r="G272" s="34" t="s">
        <v>846</v>
      </c>
      <c r="H272" s="34" t="s">
        <v>847</v>
      </c>
      <c r="I272" s="34" t="s">
        <v>2</v>
      </c>
      <c r="J272" s="36" t="s">
        <v>1901</v>
      </c>
      <c r="K272" s="34" t="s">
        <v>1902</v>
      </c>
      <c r="L272" s="78" t="s">
        <v>844</v>
      </c>
      <c r="M272" s="37" t="s">
        <v>1903</v>
      </c>
      <c r="N272">
        <v>498</v>
      </c>
      <c r="O272" t="str">
        <f t="shared" si="35"/>
        <v>EBTAQ25-01.213</v>
      </c>
      <c r="P272" t="str">
        <f t="shared" si="36"/>
        <v>Fitriana aida syifa</v>
      </c>
      <c r="Q272" t="str">
        <f t="shared" si="37"/>
        <v>Perempuan</v>
      </c>
      <c r="R272" t="str">
        <f t="shared" si="38"/>
        <v>Demak</v>
      </c>
      <c r="S272" s="21">
        <f t="shared" si="39"/>
        <v>41548</v>
      </c>
      <c r="T272" t="str">
        <f t="shared" si="40"/>
        <v>Budi utomo</v>
      </c>
      <c r="U272" t="str">
        <f t="shared" si="41"/>
        <v>Siti masroyah</v>
      </c>
      <c r="V272" t="str">
        <f>VLOOKUP(O272,Lembar1!$A$4:$H$457,8,FALSE)</f>
        <v>BIO_Images/EBTAQ25-01.213.jpg</v>
      </c>
      <c r="W272" t="str">
        <f>IFERROR(VLOOKUP(O272,Lembar1!$A$4:$I$457,9,FALSE),C272)</f>
        <v>Karangga - Al Hikmah</v>
      </c>
    </row>
    <row r="273" spans="1:23" ht="15.75" hidden="1" thickBot="1" x14ac:dyDescent="0.3">
      <c r="A273" s="49">
        <v>46001.217962962961</v>
      </c>
      <c r="B273" s="52" t="s">
        <v>10</v>
      </c>
      <c r="C273" s="52" t="s">
        <v>484</v>
      </c>
      <c r="D273" s="52" t="s">
        <v>876</v>
      </c>
      <c r="E273" s="52" t="s">
        <v>10</v>
      </c>
      <c r="F273" s="56">
        <v>45935</v>
      </c>
      <c r="G273" s="52" t="s">
        <v>877</v>
      </c>
      <c r="H273" s="52" t="s">
        <v>878</v>
      </c>
      <c r="I273" s="52" t="s">
        <v>2</v>
      </c>
      <c r="J273" s="59" t="s">
        <v>1960</v>
      </c>
      <c r="K273" s="52" t="s">
        <v>1961</v>
      </c>
      <c r="L273" s="77" t="s">
        <v>875</v>
      </c>
      <c r="M273" s="37" t="s">
        <v>1962</v>
      </c>
      <c r="N273">
        <v>499</v>
      </c>
      <c r="O273" t="str">
        <f t="shared" si="35"/>
        <v>EBTAQ25-01.219</v>
      </c>
      <c r="P273" t="str">
        <f t="shared" si="36"/>
        <v>Silvia adinda neng tias</v>
      </c>
      <c r="Q273" t="str">
        <f t="shared" si="37"/>
        <v>Perempuan</v>
      </c>
      <c r="R273" t="str">
        <f t="shared" si="38"/>
        <v>Demak</v>
      </c>
      <c r="S273" s="21">
        <f t="shared" si="39"/>
        <v>45935</v>
      </c>
      <c r="T273" t="str">
        <f t="shared" si="40"/>
        <v>Ahmad nur hasyim</v>
      </c>
      <c r="U273" t="str">
        <f t="shared" si="41"/>
        <v>Sulyati</v>
      </c>
      <c r="V273" t="str">
        <f>VLOOKUP(O273,Lembar1!$A$4:$H$457,8,FALSE)</f>
        <v>BIO_Images/EBTAQ25-01.219.jpg</v>
      </c>
      <c r="W273" t="str">
        <f>IFERROR(VLOOKUP(O273,Lembar1!$A$4:$I$457,9,FALSE),C273)</f>
        <v>Karangga - Al Hikmah</v>
      </c>
    </row>
    <row r="274" spans="1:23" ht="15.75" hidden="1" thickBot="1" x14ac:dyDescent="0.3">
      <c r="A274" s="50">
        <v>46001.231782407405</v>
      </c>
      <c r="B274" s="53" t="s">
        <v>10</v>
      </c>
      <c r="C274" s="53" t="s">
        <v>484</v>
      </c>
      <c r="D274" s="53" t="s">
        <v>886</v>
      </c>
      <c r="E274" s="53" t="s">
        <v>10</v>
      </c>
      <c r="F274" s="57">
        <v>41552</v>
      </c>
      <c r="G274" s="53" t="s">
        <v>887</v>
      </c>
      <c r="H274" s="53" t="s">
        <v>878</v>
      </c>
      <c r="I274" s="53" t="s">
        <v>2</v>
      </c>
      <c r="J274" s="60" t="s">
        <v>1971</v>
      </c>
      <c r="K274" s="53" t="s">
        <v>1972</v>
      </c>
      <c r="L274" s="78" t="s">
        <v>885</v>
      </c>
      <c r="M274" s="32" t="s">
        <v>1973</v>
      </c>
      <c r="N274">
        <v>500</v>
      </c>
      <c r="O274" t="str">
        <f t="shared" si="35"/>
        <v>EBTAQ25-01.221</v>
      </c>
      <c r="P274" t="str">
        <f t="shared" si="36"/>
        <v>Silvia Adinda Ningtias</v>
      </c>
      <c r="Q274" t="str">
        <f t="shared" si="37"/>
        <v>Perempuan</v>
      </c>
      <c r="R274" t="str">
        <f t="shared" si="38"/>
        <v>Demak</v>
      </c>
      <c r="S274" s="21">
        <f t="shared" si="39"/>
        <v>41552</v>
      </c>
      <c r="T274" t="str">
        <f t="shared" si="40"/>
        <v>Ahmad Nur Hasyim</v>
      </c>
      <c r="U274" t="str">
        <f t="shared" si="41"/>
        <v>Sulyati</v>
      </c>
      <c r="V274" t="str">
        <f>VLOOKUP(O274,Lembar1!$A$4:$H$457,8,FALSE)</f>
        <v>BIO_Images/EBTAQ25-01.221.jpg</v>
      </c>
      <c r="W274" t="str">
        <f>IFERROR(VLOOKUP(O274,Lembar1!$A$4:$I$457,9,FALSE),C274)</f>
        <v>Karangga - Al Hikmah</v>
      </c>
    </row>
    <row r="275" spans="1:23" ht="15.75" hidden="1" thickBot="1" x14ac:dyDescent="0.3">
      <c r="A275" s="28">
        <v>46001.243900462963</v>
      </c>
      <c r="B275" s="29" t="s">
        <v>10</v>
      </c>
      <c r="C275" s="29" t="s">
        <v>484</v>
      </c>
      <c r="D275" s="29" t="s">
        <v>890</v>
      </c>
      <c r="E275" s="29" t="s">
        <v>10</v>
      </c>
      <c r="F275" s="30">
        <v>41752</v>
      </c>
      <c r="G275" s="29" t="s">
        <v>891</v>
      </c>
      <c r="H275" s="29" t="s">
        <v>892</v>
      </c>
      <c r="I275" s="29" t="s">
        <v>66</v>
      </c>
      <c r="J275" s="31" t="s">
        <v>1977</v>
      </c>
      <c r="K275" s="29" t="s">
        <v>1978</v>
      </c>
      <c r="L275" s="77" t="s">
        <v>889</v>
      </c>
      <c r="M275" s="32" t="s">
        <v>1979</v>
      </c>
      <c r="N275">
        <v>501</v>
      </c>
      <c r="O275" t="str">
        <f t="shared" si="35"/>
        <v>EBTAQ25-01.222</v>
      </c>
      <c r="P275" t="str">
        <f t="shared" si="36"/>
        <v>Muhammad Farid Al Hafizh</v>
      </c>
      <c r="Q275" t="str">
        <f t="shared" si="37"/>
        <v>Laki-laki</v>
      </c>
      <c r="R275" t="str">
        <f t="shared" si="38"/>
        <v>Demak</v>
      </c>
      <c r="S275" s="21">
        <f t="shared" si="39"/>
        <v>41752</v>
      </c>
      <c r="T275" t="str">
        <f t="shared" si="40"/>
        <v>Ali Sobirin</v>
      </c>
      <c r="U275" t="str">
        <f t="shared" si="41"/>
        <v>Mariya ulfa</v>
      </c>
      <c r="V275" t="str">
        <f>VLOOKUP(O275,Lembar1!$A$4:$H$457,8,FALSE)</f>
        <v>BIO_Images/EBTAQ25-01.222.jpg</v>
      </c>
      <c r="W275" t="str">
        <f>IFERROR(VLOOKUP(O275,Lembar1!$A$4:$I$457,9,FALSE),C275)</f>
        <v>Karangga - Al Hikmah</v>
      </c>
    </row>
    <row r="276" spans="1:23" ht="15.75" hidden="1" thickBot="1" x14ac:dyDescent="0.3">
      <c r="A276" s="33">
        <v>46001.253275462965</v>
      </c>
      <c r="B276" s="34" t="s">
        <v>10</v>
      </c>
      <c r="C276" s="34" t="s">
        <v>484</v>
      </c>
      <c r="D276" s="34" t="s">
        <v>890</v>
      </c>
      <c r="E276" s="34" t="s">
        <v>10</v>
      </c>
      <c r="F276" s="35">
        <v>41752</v>
      </c>
      <c r="G276" s="34" t="s">
        <v>891</v>
      </c>
      <c r="H276" s="34" t="s">
        <v>895</v>
      </c>
      <c r="I276" s="34" t="s">
        <v>66</v>
      </c>
      <c r="J276" s="36" t="s">
        <v>1980</v>
      </c>
      <c r="K276" s="34" t="s">
        <v>1981</v>
      </c>
      <c r="L276" s="78" t="s">
        <v>894</v>
      </c>
      <c r="M276" s="37" t="s">
        <v>1982</v>
      </c>
      <c r="N276">
        <v>502</v>
      </c>
      <c r="O276" t="str">
        <f t="shared" si="35"/>
        <v>EBTAQ25-01.223</v>
      </c>
      <c r="P276" t="str">
        <f t="shared" si="36"/>
        <v>Muhammad Farid Al Hafizh</v>
      </c>
      <c r="Q276" t="str">
        <f t="shared" si="37"/>
        <v>Laki-laki</v>
      </c>
      <c r="R276" t="str">
        <f t="shared" si="38"/>
        <v>Demak</v>
      </c>
      <c r="S276" s="21">
        <f t="shared" si="39"/>
        <v>41752</v>
      </c>
      <c r="T276" t="str">
        <f t="shared" si="40"/>
        <v>Ali Sobirin</v>
      </c>
      <c r="U276" t="str">
        <f t="shared" si="41"/>
        <v>Mariya Ulfa</v>
      </c>
      <c r="V276" t="str">
        <f>VLOOKUP(O276,Lembar1!$A$4:$H$457,8,FALSE)</f>
        <v>BIO_Images/EBTAQ25-01.223.jpg</v>
      </c>
      <c r="W276" t="str">
        <f>IFERROR(VLOOKUP(O276,Lembar1!$A$4:$I$457,9,FALSE),C276)</f>
        <v>Karangga - Al Hikmah</v>
      </c>
    </row>
    <row r="277" spans="1:23" ht="15.75" hidden="1" thickBot="1" x14ac:dyDescent="0.3">
      <c r="A277" s="49">
        <v>46001.455011574071</v>
      </c>
      <c r="B277" s="52" t="s">
        <v>10</v>
      </c>
      <c r="C277" s="52" t="s">
        <v>484</v>
      </c>
      <c r="D277" s="52" t="s">
        <v>2036</v>
      </c>
      <c r="E277" s="52" t="s">
        <v>2037</v>
      </c>
      <c r="F277" s="56">
        <v>46017</v>
      </c>
      <c r="G277" s="52" t="s">
        <v>1964</v>
      </c>
      <c r="H277" s="52" t="s">
        <v>1965</v>
      </c>
      <c r="I277" s="52" t="s">
        <v>2</v>
      </c>
      <c r="J277" s="59" t="s">
        <v>2038</v>
      </c>
      <c r="K277" s="52" t="s">
        <v>1967</v>
      </c>
      <c r="L277" s="77" t="s">
        <v>2039</v>
      </c>
      <c r="M277" s="37" t="s">
        <v>2040</v>
      </c>
      <c r="N277">
        <v>503</v>
      </c>
      <c r="O277" t="str">
        <f t="shared" si="35"/>
        <v>EBTAQ25-01.233</v>
      </c>
      <c r="P277" t="str">
        <f t="shared" si="36"/>
        <v>Novia Rahayu Mustovia</v>
      </c>
      <c r="Q277" t="str">
        <f t="shared" si="37"/>
        <v>Perempuan</v>
      </c>
      <c r="R277" t="str">
        <f t="shared" si="38"/>
        <v>11/26/2013</v>
      </c>
      <c r="S277" s="21">
        <f t="shared" si="39"/>
        <v>46017</v>
      </c>
      <c r="T277" t="str">
        <f t="shared" si="40"/>
        <v>Agus Okto pramono</v>
      </c>
      <c r="U277" t="str">
        <f t="shared" si="41"/>
        <v>Musripah</v>
      </c>
      <c r="V277" t="str">
        <f>VLOOKUP(O277,Lembar1!$A$4:$H$457,8,FALSE)</f>
        <v>BIO_Images/EBTAQ25-01.233.jpg</v>
      </c>
      <c r="W277" t="str">
        <f>IFERROR(VLOOKUP(O277,Lembar1!$A$4:$I$457,9,FALSE),C277)</f>
        <v>Karangga - Al Hikmah</v>
      </c>
    </row>
    <row r="278" spans="1:23" ht="15.75" hidden="1" thickBot="1" x14ac:dyDescent="0.3">
      <c r="A278" s="50">
        <v>46001.471331018518</v>
      </c>
      <c r="B278" s="53" t="s">
        <v>10</v>
      </c>
      <c r="C278" s="53" t="s">
        <v>484</v>
      </c>
      <c r="D278" s="53" t="s">
        <v>2036</v>
      </c>
      <c r="E278" s="53" t="s">
        <v>10</v>
      </c>
      <c r="F278" s="57">
        <v>46017</v>
      </c>
      <c r="G278" s="53" t="s">
        <v>1964</v>
      </c>
      <c r="H278" s="53" t="s">
        <v>1965</v>
      </c>
      <c r="I278" s="53" t="s">
        <v>2</v>
      </c>
      <c r="J278" s="60" t="s">
        <v>2059</v>
      </c>
      <c r="K278" s="53" t="s">
        <v>1967</v>
      </c>
      <c r="L278" s="78" t="s">
        <v>2060</v>
      </c>
      <c r="M278" s="32" t="s">
        <v>2061</v>
      </c>
      <c r="N278">
        <v>504</v>
      </c>
      <c r="O278" t="str">
        <f t="shared" si="35"/>
        <v>EBTAQ25-01.236</v>
      </c>
      <c r="P278" t="str">
        <f t="shared" si="36"/>
        <v>Novia Rahayu Mustovia</v>
      </c>
      <c r="Q278" t="str">
        <f t="shared" si="37"/>
        <v>Perempuan</v>
      </c>
      <c r="R278" t="str">
        <f t="shared" si="38"/>
        <v>Demak</v>
      </c>
      <c r="S278" s="21">
        <f t="shared" si="39"/>
        <v>46017</v>
      </c>
      <c r="T278" t="str">
        <f t="shared" si="40"/>
        <v>Agus Okto pramono</v>
      </c>
      <c r="U278" t="str">
        <f t="shared" si="41"/>
        <v>Musripah</v>
      </c>
      <c r="V278" t="str">
        <f>VLOOKUP(O278,Lembar1!$A$4:$H$457,8,FALSE)</f>
        <v>BIO_Images/EBTAQ25-01.236.jpg</v>
      </c>
      <c r="W278" t="str">
        <f>IFERROR(VLOOKUP(O278,Lembar1!$A$4:$I$457,9,FALSE),C278)</f>
        <v>Karangga - Al Hikmah</v>
      </c>
    </row>
    <row r="279" spans="1:23" ht="15.75" hidden="1" thickBot="1" x14ac:dyDescent="0.3">
      <c r="A279" s="28">
        <v>46001.473749999997</v>
      </c>
      <c r="B279" s="29" t="s">
        <v>10</v>
      </c>
      <c r="C279" s="29" t="s">
        <v>484</v>
      </c>
      <c r="D279" s="29" t="s">
        <v>2036</v>
      </c>
      <c r="E279" s="29" t="s">
        <v>10</v>
      </c>
      <c r="F279" s="30">
        <v>46017</v>
      </c>
      <c r="G279" s="29" t="s">
        <v>1964</v>
      </c>
      <c r="H279" s="29" t="s">
        <v>1965</v>
      </c>
      <c r="I279" s="29" t="s">
        <v>2</v>
      </c>
      <c r="J279" s="31" t="s">
        <v>2067</v>
      </c>
      <c r="K279" s="29" t="s">
        <v>1967</v>
      </c>
      <c r="L279" s="77" t="s">
        <v>2068</v>
      </c>
      <c r="M279" s="32" t="s">
        <v>2069</v>
      </c>
      <c r="N279">
        <v>505</v>
      </c>
      <c r="O279" t="str">
        <f t="shared" si="35"/>
        <v>EBTAQ25-01.237</v>
      </c>
      <c r="P279" t="str">
        <f t="shared" si="36"/>
        <v>Novia Rahayu Mustovia</v>
      </c>
      <c r="Q279" t="str">
        <f t="shared" si="37"/>
        <v>Perempuan</v>
      </c>
      <c r="R279" t="str">
        <f t="shared" si="38"/>
        <v>Demak</v>
      </c>
      <c r="S279" s="21">
        <f t="shared" si="39"/>
        <v>46017</v>
      </c>
      <c r="T279" t="str">
        <f t="shared" si="40"/>
        <v>Agus Okto pramono</v>
      </c>
      <c r="U279" t="str">
        <f t="shared" si="41"/>
        <v>Musripah</v>
      </c>
      <c r="V279" t="str">
        <f>VLOOKUP(O279,Lembar1!$A$4:$H$457,8,FALSE)</f>
        <v>BIO_Images/EBTAQ25-01.237.jpg</v>
      </c>
      <c r="W279" t="str">
        <f>IFERROR(VLOOKUP(O279,Lembar1!$A$4:$I$457,9,FALSE),C279)</f>
        <v>Karangga - Al Hikmah</v>
      </c>
    </row>
    <row r="280" spans="1:23" ht="15.75" hidden="1" thickBot="1" x14ac:dyDescent="0.3">
      <c r="A280" s="33">
        <v>46001.477083333331</v>
      </c>
      <c r="B280" s="34" t="s">
        <v>10</v>
      </c>
      <c r="C280" s="34" t="s">
        <v>484</v>
      </c>
      <c r="D280" s="34" t="s">
        <v>2036</v>
      </c>
      <c r="E280" s="34" t="s">
        <v>10</v>
      </c>
      <c r="F280" s="35">
        <v>46017</v>
      </c>
      <c r="G280" s="34" t="s">
        <v>1964</v>
      </c>
      <c r="H280" s="34" t="s">
        <v>1965</v>
      </c>
      <c r="I280" s="34" t="s">
        <v>2</v>
      </c>
      <c r="J280" s="36" t="s">
        <v>2070</v>
      </c>
      <c r="K280" s="34" t="s">
        <v>1967</v>
      </c>
      <c r="L280" s="78" t="s">
        <v>2071</v>
      </c>
      <c r="M280" s="37" t="s">
        <v>2072</v>
      </c>
      <c r="N280">
        <v>506</v>
      </c>
      <c r="O280" t="str">
        <f t="shared" si="35"/>
        <v>EBTAQ25-01.238</v>
      </c>
      <c r="P280" t="str">
        <f t="shared" si="36"/>
        <v>Novia Rahayu Mustovia</v>
      </c>
      <c r="Q280" t="str">
        <f t="shared" si="37"/>
        <v>Perempuan</v>
      </c>
      <c r="R280" t="str">
        <f t="shared" si="38"/>
        <v>Demak</v>
      </c>
      <c r="S280" s="21">
        <f t="shared" si="39"/>
        <v>46017</v>
      </c>
      <c r="T280" t="str">
        <f t="shared" si="40"/>
        <v>Agus Okto pramono</v>
      </c>
      <c r="U280" t="str">
        <f t="shared" si="41"/>
        <v>Musripah</v>
      </c>
      <c r="V280" t="str">
        <f>VLOOKUP(O280,Lembar1!$A$4:$H$457,8,FALSE)</f>
        <v>BIO_Images/EBTAQ25-01.238.jpg</v>
      </c>
      <c r="W280" t="str">
        <f>IFERROR(VLOOKUP(O280,Lembar1!$A$4:$I$457,9,FALSE),C280)</f>
        <v>Karangga - Al Hikmah</v>
      </c>
    </row>
    <row r="281" spans="1:23" ht="15.75" hidden="1" thickBot="1" x14ac:dyDescent="0.3">
      <c r="A281" s="49">
        <v>46001.481342592589</v>
      </c>
      <c r="B281" s="52" t="s">
        <v>10</v>
      </c>
      <c r="C281" s="52" t="s">
        <v>484</v>
      </c>
      <c r="D281" s="52" t="s">
        <v>2036</v>
      </c>
      <c r="E281" s="52" t="s">
        <v>10</v>
      </c>
      <c r="F281" s="56">
        <v>46017</v>
      </c>
      <c r="G281" s="52" t="s">
        <v>1964</v>
      </c>
      <c r="H281" s="52" t="s">
        <v>1965</v>
      </c>
      <c r="I281" s="52" t="s">
        <v>2</v>
      </c>
      <c r="J281" s="59" t="s">
        <v>2077</v>
      </c>
      <c r="K281" s="52" t="s">
        <v>1967</v>
      </c>
      <c r="L281" s="77" t="s">
        <v>2078</v>
      </c>
      <c r="M281" s="37" t="s">
        <v>2079</v>
      </c>
      <c r="N281">
        <v>507</v>
      </c>
      <c r="O281" t="str">
        <f t="shared" si="35"/>
        <v>EBTAQ25-01.240</v>
      </c>
      <c r="P281" t="str">
        <f t="shared" si="36"/>
        <v>Novia Rahayu Mustovia</v>
      </c>
      <c r="Q281" t="str">
        <f t="shared" si="37"/>
        <v>Perempuan</v>
      </c>
      <c r="R281" t="str">
        <f t="shared" si="38"/>
        <v>Demak</v>
      </c>
      <c r="S281" s="21">
        <f t="shared" si="39"/>
        <v>46017</v>
      </c>
      <c r="T281" t="str">
        <f t="shared" si="40"/>
        <v>Agus Okto pramono</v>
      </c>
      <c r="U281" t="str">
        <f t="shared" si="41"/>
        <v>Musripah</v>
      </c>
      <c r="V281" t="str">
        <f>VLOOKUP(O281,Lembar1!$A$4:$H$457,8,FALSE)</f>
        <v>BIO_Images/EBTAQ25-01.240.jpg</v>
      </c>
      <c r="W281" t="str">
        <f>IFERROR(VLOOKUP(O281,Lembar1!$A$4:$I$457,9,FALSE),C281)</f>
        <v>Karangga - Al Hikmah</v>
      </c>
    </row>
    <row r="282" spans="1:23" ht="15.75" hidden="1" thickBot="1" x14ac:dyDescent="0.3">
      <c r="A282" s="50">
        <v>46001.495173611111</v>
      </c>
      <c r="B282" s="53" t="s">
        <v>10</v>
      </c>
      <c r="C282" s="53" t="s">
        <v>484</v>
      </c>
      <c r="D282" s="53" t="s">
        <v>2091</v>
      </c>
      <c r="E282" s="53" t="s">
        <v>2092</v>
      </c>
      <c r="F282" s="57">
        <v>41604</v>
      </c>
      <c r="G282" s="53" t="s">
        <v>2093</v>
      </c>
      <c r="H282" s="53" t="s">
        <v>2094</v>
      </c>
      <c r="I282" s="53" t="s">
        <v>2</v>
      </c>
      <c r="J282" s="60" t="s">
        <v>2095</v>
      </c>
      <c r="K282" s="53" t="s">
        <v>1967</v>
      </c>
      <c r="L282" s="78" t="s">
        <v>2096</v>
      </c>
      <c r="M282" s="32" t="s">
        <v>2097</v>
      </c>
      <c r="N282">
        <v>508</v>
      </c>
      <c r="O282" t="str">
        <f t="shared" si="35"/>
        <v>EBTAQ25-01.241</v>
      </c>
      <c r="P282" t="str">
        <f t="shared" si="36"/>
        <v>NOVIA RAHAYU MUSTHOVIA</v>
      </c>
      <c r="Q282" t="str">
        <f t="shared" si="37"/>
        <v>Perempuan</v>
      </c>
      <c r="R282" t="str">
        <f t="shared" si="38"/>
        <v>DEMAK,26NOVEMBER2013</v>
      </c>
      <c r="S282" s="21">
        <f t="shared" si="39"/>
        <v>41604</v>
      </c>
      <c r="T282" t="str">
        <f t="shared" si="40"/>
        <v>AGUS OKTO PRAMONO</v>
      </c>
      <c r="U282" t="str">
        <f t="shared" si="41"/>
        <v>MUSRIPAH</v>
      </c>
      <c r="V282" t="str">
        <f>VLOOKUP(O282,Lembar1!$A$4:$H$457,8,FALSE)</f>
        <v>BIO_Images/EBTAQ25-01.241.jpg</v>
      </c>
      <c r="W282" t="str">
        <f>IFERROR(VLOOKUP(O282,Lembar1!$A$4:$I$457,9,FALSE),C282)</f>
        <v>Karangga - Al Hikmah</v>
      </c>
    </row>
    <row r="283" spans="1:23" ht="15.75" hidden="1" thickBot="1" x14ac:dyDescent="0.3">
      <c r="A283" s="28">
        <v>46001.513159722221</v>
      </c>
      <c r="B283" s="29" t="s">
        <v>10</v>
      </c>
      <c r="C283" s="29" t="s">
        <v>484</v>
      </c>
      <c r="D283" s="29" t="s">
        <v>2126</v>
      </c>
      <c r="E283" s="29" t="s">
        <v>10</v>
      </c>
      <c r="F283" s="30">
        <v>41604</v>
      </c>
      <c r="G283" s="29" t="s">
        <v>2127</v>
      </c>
      <c r="H283" s="29" t="s">
        <v>1965</v>
      </c>
      <c r="I283" s="29" t="s">
        <v>2</v>
      </c>
      <c r="J283" s="31" t="s">
        <v>2128</v>
      </c>
      <c r="K283" s="29" t="s">
        <v>1967</v>
      </c>
      <c r="L283" s="77" t="s">
        <v>2129</v>
      </c>
      <c r="M283" s="32" t="s">
        <v>2130</v>
      </c>
      <c r="N283">
        <v>509</v>
      </c>
      <c r="O283" t="str">
        <f t="shared" si="35"/>
        <v>EBTAQ25-01.246</v>
      </c>
      <c r="P283" t="str">
        <f t="shared" si="36"/>
        <v>Novia Rahayu mustovia</v>
      </c>
      <c r="Q283" t="str">
        <f t="shared" si="37"/>
        <v>Perempuan</v>
      </c>
      <c r="R283" t="str">
        <f t="shared" si="38"/>
        <v>Demak</v>
      </c>
      <c r="S283" s="21">
        <f t="shared" si="39"/>
        <v>41604</v>
      </c>
      <c r="T283" t="str">
        <f t="shared" si="40"/>
        <v>Agus oktopramono</v>
      </c>
      <c r="U283" t="str">
        <f t="shared" si="41"/>
        <v>Musripah</v>
      </c>
      <c r="V283" t="str">
        <f>VLOOKUP(O283,Lembar1!$A$4:$H$457,8,FALSE)</f>
        <v>BIO_Images/EBTAQ25-01.246.jpg</v>
      </c>
      <c r="W283" t="str">
        <f>IFERROR(VLOOKUP(O283,Lembar1!$A$4:$I$457,9,FALSE),C283)</f>
        <v>Karangga - Al Hikmah</v>
      </c>
    </row>
    <row r="284" spans="1:23" ht="15.75" hidden="1" thickBot="1" x14ac:dyDescent="0.3">
      <c r="A284" s="50">
        <v>46000.703761574077</v>
      </c>
      <c r="B284" s="53" t="s">
        <v>10</v>
      </c>
      <c r="C284" s="53" t="s">
        <v>742</v>
      </c>
      <c r="D284" s="53" t="s">
        <v>738</v>
      </c>
      <c r="E284" s="53" t="s">
        <v>10</v>
      </c>
      <c r="F284" s="57">
        <v>43228</v>
      </c>
      <c r="G284" s="53" t="s">
        <v>739</v>
      </c>
      <c r="H284" s="53" t="s">
        <v>740</v>
      </c>
      <c r="I284" s="53" t="s">
        <v>66</v>
      </c>
      <c r="J284" s="60" t="s">
        <v>1706</v>
      </c>
      <c r="K284" s="53" t="s">
        <v>1707</v>
      </c>
      <c r="L284" s="78" t="s">
        <v>737</v>
      </c>
      <c r="M284" s="32" t="s">
        <v>1708</v>
      </c>
      <c r="N284">
        <v>510</v>
      </c>
      <c r="O284" t="str">
        <f t="shared" si="35"/>
        <v>EBTAQ25-01.195</v>
      </c>
      <c r="P284" t="str">
        <f t="shared" si="36"/>
        <v>Ahmad Abdika Assyauqi</v>
      </c>
      <c r="Q284" t="str">
        <f t="shared" si="37"/>
        <v>Laki-laki</v>
      </c>
      <c r="R284" t="str">
        <f t="shared" si="38"/>
        <v>Demak</v>
      </c>
      <c r="S284" s="21">
        <f t="shared" si="39"/>
        <v>43228</v>
      </c>
      <c r="T284" t="str">
        <f t="shared" si="40"/>
        <v>Alaudin</v>
      </c>
      <c r="U284" t="str">
        <f t="shared" si="41"/>
        <v>Lilis setyaningsih</v>
      </c>
      <c r="V284" t="str">
        <f>VLOOKUP(O284,Lembar1!$A$4:$H$457,8,FALSE)</f>
        <v>BIO_Images/EBTAQ25-01.195.jpg</v>
      </c>
      <c r="W284" t="str">
        <f>IFERROR(VLOOKUP(O284,Lembar1!$A$4:$I$457,9,FALSE),C284)</f>
        <v>Karangga - Al Ijtihad Al Mubarok</v>
      </c>
    </row>
    <row r="285" spans="1:23" ht="15.75" hidden="1" thickBot="1" x14ac:dyDescent="0.3">
      <c r="A285" s="28">
        <v>46001.667962962965</v>
      </c>
      <c r="B285" s="29" t="s">
        <v>10</v>
      </c>
      <c r="C285" s="29" t="s">
        <v>2438</v>
      </c>
      <c r="D285" s="29" t="s">
        <v>2439</v>
      </c>
      <c r="E285" s="29" t="s">
        <v>28</v>
      </c>
      <c r="F285" s="30">
        <v>42388</v>
      </c>
      <c r="G285" s="29" t="s">
        <v>2440</v>
      </c>
      <c r="H285" s="29" t="s">
        <v>2441</v>
      </c>
      <c r="I285" s="29" t="s">
        <v>2</v>
      </c>
      <c r="J285" s="31" t="s">
        <v>2442</v>
      </c>
      <c r="K285" s="29" t="s">
        <v>2443</v>
      </c>
      <c r="L285" s="77" t="s">
        <v>2444</v>
      </c>
      <c r="M285" s="32" t="s">
        <v>2445</v>
      </c>
      <c r="N285">
        <v>511</v>
      </c>
      <c r="O285" t="str">
        <f t="shared" si="35"/>
        <v>EBTAQ25-01.270</v>
      </c>
      <c r="P285" t="str">
        <f t="shared" si="36"/>
        <v>LISANA SHIDQIN 'ALIYYA</v>
      </c>
      <c r="Q285" t="str">
        <f t="shared" si="37"/>
        <v>Perempuan</v>
      </c>
      <c r="R285" t="str">
        <f t="shared" si="38"/>
        <v>DEMAK</v>
      </c>
      <c r="S285" s="21">
        <f t="shared" si="39"/>
        <v>42388</v>
      </c>
      <c r="T285" t="str">
        <f t="shared" si="40"/>
        <v>SLAMET WALUYO</v>
      </c>
      <c r="U285" t="str">
        <f t="shared" si="41"/>
        <v>JAMILATUN NAFIAH</v>
      </c>
      <c r="V285" t="str">
        <f>VLOOKUP(O285,Lembar1!$A$4:$H$457,8,FALSE)</f>
        <v>BIO_Images/EBTAQ25-01.270.jpg</v>
      </c>
      <c r="W285" t="str">
        <f>IFERROR(VLOOKUP(O285,Lembar1!$A$4:$I$457,9,FALSE),C285)</f>
        <v>Karangga - Darul Arqom V</v>
      </c>
    </row>
    <row r="286" spans="1:23" ht="15.75" hidden="1" thickBot="1" x14ac:dyDescent="0.3">
      <c r="A286" s="50">
        <v>46000.530138888891</v>
      </c>
      <c r="B286" s="53" t="s">
        <v>10</v>
      </c>
      <c r="C286" s="53" t="s">
        <v>593</v>
      </c>
      <c r="D286" s="53" t="s">
        <v>588</v>
      </c>
      <c r="E286" s="53" t="s">
        <v>589</v>
      </c>
      <c r="F286" s="57">
        <v>41607</v>
      </c>
      <c r="G286" s="53" t="s">
        <v>590</v>
      </c>
      <c r="H286" s="53" t="s">
        <v>591</v>
      </c>
      <c r="I286" s="53" t="s">
        <v>66</v>
      </c>
      <c r="J286" s="60" t="s">
        <v>1531</v>
      </c>
      <c r="K286" s="53" t="s">
        <v>1532</v>
      </c>
      <c r="L286" s="78" t="s">
        <v>587</v>
      </c>
      <c r="M286" s="32" t="s">
        <v>1533</v>
      </c>
      <c r="N286">
        <v>512</v>
      </c>
      <c r="O286" t="str">
        <f t="shared" si="35"/>
        <v>EBTAQ25-01.190</v>
      </c>
      <c r="P286" t="str">
        <f t="shared" si="36"/>
        <v>GIBRAN MUHAMMAD IRSYAD AL ALKA-FI</v>
      </c>
      <c r="Q286" t="str">
        <f t="shared" si="37"/>
        <v>Laki-laki</v>
      </c>
      <c r="R286" t="str">
        <f t="shared" si="38"/>
        <v>Surodadi gajah demak</v>
      </c>
      <c r="S286" s="21">
        <f t="shared" si="39"/>
        <v>41607</v>
      </c>
      <c r="T286" t="str">
        <f t="shared" si="40"/>
        <v>Ali Mustahar</v>
      </c>
      <c r="U286" t="str">
        <f t="shared" si="41"/>
        <v>Laelatun Nafiah</v>
      </c>
      <c r="V286" t="str">
        <f>VLOOKUP(O286,Lembar1!$A$4:$H$457,8,FALSE)</f>
        <v>BIO_Images/EBTAQ25-01.190.jpg</v>
      </c>
      <c r="W286" t="str">
        <f>IFERROR(VLOOKUP(O286,Lembar1!$A$4:$I$457,9,FALSE),C286)</f>
        <v>Karangga - Darul Hikam</v>
      </c>
    </row>
    <row r="287" spans="1:23" ht="15.75" hidden="1" thickBot="1" x14ac:dyDescent="0.3">
      <c r="A287" s="49">
        <v>46000.324421296296</v>
      </c>
      <c r="B287" s="52" t="s">
        <v>10</v>
      </c>
      <c r="C287" s="52" t="s">
        <v>511</v>
      </c>
      <c r="D287" s="52" t="s">
        <v>507</v>
      </c>
      <c r="E287" s="52" t="s">
        <v>116</v>
      </c>
      <c r="F287" s="56">
        <v>42541</v>
      </c>
      <c r="G287" s="52" t="s">
        <v>508</v>
      </c>
      <c r="H287" s="52" t="s">
        <v>509</v>
      </c>
      <c r="I287" s="52" t="s">
        <v>2</v>
      </c>
      <c r="J287" s="59" t="s">
        <v>1464</v>
      </c>
      <c r="K287" s="52" t="s">
        <v>1465</v>
      </c>
      <c r="L287" s="77" t="s">
        <v>506</v>
      </c>
      <c r="M287" s="37" t="s">
        <v>1466</v>
      </c>
      <c r="N287">
        <v>513</v>
      </c>
      <c r="O287" t="str">
        <f t="shared" si="35"/>
        <v>EBTAQ25-01.176</v>
      </c>
      <c r="P287" t="str">
        <f t="shared" si="36"/>
        <v>Rihma maharani</v>
      </c>
      <c r="Q287" t="str">
        <f t="shared" si="37"/>
        <v>Perempuan</v>
      </c>
      <c r="R287" t="str">
        <f t="shared" si="38"/>
        <v>Kudus</v>
      </c>
      <c r="S287" s="21">
        <f t="shared" si="39"/>
        <v>42541</v>
      </c>
      <c r="T287" t="str">
        <f t="shared" si="40"/>
        <v>Ahmad kholis</v>
      </c>
      <c r="U287" t="str">
        <f t="shared" si="41"/>
        <v>Prahyuningrum</v>
      </c>
      <c r="V287" t="str">
        <f>VLOOKUP(O287,Lembar1!$A$4:$H$457,8,FALSE)</f>
        <v>BIO_Images/EBTAQ25-01.176.jpg</v>
      </c>
      <c r="W287" t="str">
        <f>IFERROR(VLOOKUP(O287,Lembar1!$A$4:$I$457,9,FALSE),C287)</f>
        <v>Karangga - Miftahul Ulum</v>
      </c>
    </row>
    <row r="288" spans="1:23" ht="15.75" hidden="1" thickBot="1" x14ac:dyDescent="0.3">
      <c r="A288" s="50">
        <v>45999.843460648146</v>
      </c>
      <c r="B288" s="53" t="s">
        <v>10</v>
      </c>
      <c r="C288" s="53" t="s">
        <v>473</v>
      </c>
      <c r="D288" s="53" t="s">
        <v>469</v>
      </c>
      <c r="E288" s="53" t="s">
        <v>28</v>
      </c>
      <c r="F288" s="57">
        <v>41513</v>
      </c>
      <c r="G288" s="53" t="s">
        <v>470</v>
      </c>
      <c r="H288" s="53" t="s">
        <v>471</v>
      </c>
      <c r="I288" s="53" t="s">
        <v>2</v>
      </c>
      <c r="J288" s="60" t="s">
        <v>1415</v>
      </c>
      <c r="K288" s="53" t="s">
        <v>1416</v>
      </c>
      <c r="L288" s="78" t="s">
        <v>468</v>
      </c>
      <c r="M288" s="32" t="s">
        <v>1417</v>
      </c>
      <c r="N288">
        <v>514</v>
      </c>
      <c r="O288" t="str">
        <f t="shared" si="35"/>
        <v>EBTAQ25-01.170</v>
      </c>
      <c r="P288" t="str">
        <f t="shared" si="36"/>
        <v>FAJRA NADA NADIFA</v>
      </c>
      <c r="Q288" t="str">
        <f t="shared" si="37"/>
        <v>Perempuan</v>
      </c>
      <c r="R288" t="str">
        <f t="shared" si="38"/>
        <v>DEMAK</v>
      </c>
      <c r="S288" s="21">
        <f t="shared" si="39"/>
        <v>41513</v>
      </c>
      <c r="T288" t="str">
        <f t="shared" si="40"/>
        <v>ALI MAHFUD</v>
      </c>
      <c r="U288" t="str">
        <f t="shared" si="41"/>
        <v>ZULFAH</v>
      </c>
      <c r="V288" t="str">
        <f>VLOOKUP(O288,Lembar1!$A$4:$H$457,8,FALSE)</f>
        <v>BIO_Images/EBTAQ25-01.170.jpg</v>
      </c>
      <c r="W288" t="str">
        <f>IFERROR(VLOOKUP(O288,Lembar1!$A$4:$I$457,9,FALSE),C288)</f>
        <v>Karangga - Mubarokah</v>
      </c>
    </row>
    <row r="289" spans="1:23" ht="15.75" hidden="1" thickBot="1" x14ac:dyDescent="0.3">
      <c r="A289" s="28">
        <v>45999.423275462963</v>
      </c>
      <c r="B289" s="29" t="s">
        <v>10</v>
      </c>
      <c r="C289" s="29" t="s">
        <v>319</v>
      </c>
      <c r="D289" s="29" t="s">
        <v>314</v>
      </c>
      <c r="E289" s="29" t="s">
        <v>315</v>
      </c>
      <c r="F289" s="30">
        <v>40393</v>
      </c>
      <c r="G289" s="29" t="s">
        <v>316</v>
      </c>
      <c r="H289" s="29" t="s">
        <v>317</v>
      </c>
      <c r="I289" s="29" t="s">
        <v>66</v>
      </c>
      <c r="J289" s="31" t="s">
        <v>1244</v>
      </c>
      <c r="K289" s="29" t="s">
        <v>1245</v>
      </c>
      <c r="L289" s="77" t="s">
        <v>313</v>
      </c>
      <c r="M289" s="32" t="s">
        <v>1246</v>
      </c>
      <c r="N289">
        <v>515</v>
      </c>
      <c r="O289" t="str">
        <f t="shared" si="35"/>
        <v>EBTAQ25-01.143</v>
      </c>
      <c r="P289" t="str">
        <f t="shared" si="36"/>
        <v>MUHAMMAD TAUFIQ ALANSYAH</v>
      </c>
      <c r="Q289" t="str">
        <f t="shared" si="37"/>
        <v>Laki-laki</v>
      </c>
      <c r="R289" t="str">
        <f t="shared" si="38"/>
        <v>JAKARTA</v>
      </c>
      <c r="S289" s="21">
        <f t="shared" si="39"/>
        <v>40393</v>
      </c>
      <c r="T289" t="str">
        <f t="shared" si="40"/>
        <v>NURHADI</v>
      </c>
      <c r="U289" t="str">
        <f t="shared" si="41"/>
        <v>CICI MEININGSIH</v>
      </c>
      <c r="V289" t="str">
        <f>VLOOKUP(O289,Lembar1!$A$4:$H$457,8,FALSE)</f>
        <v>BIO_Images/EBTAQ25-01.143.png</v>
      </c>
      <c r="W289" t="str">
        <f>IFERROR(VLOOKUP(O289,Lembar1!$A$4:$I$457,9,FALSE),C289)</f>
        <v>Karbon - Hidayatul Mubtadi'in</v>
      </c>
    </row>
    <row r="290" spans="1:23" ht="15.75" hidden="1" thickBot="1" x14ac:dyDescent="0.3">
      <c r="A290" s="50">
        <v>46000.567465277774</v>
      </c>
      <c r="B290" s="53" t="s">
        <v>10</v>
      </c>
      <c r="C290" s="53" t="s">
        <v>319</v>
      </c>
      <c r="D290" s="53" t="s">
        <v>595</v>
      </c>
      <c r="E290" s="53" t="s">
        <v>10</v>
      </c>
      <c r="F290" s="57">
        <v>40625</v>
      </c>
      <c r="G290" s="53" t="s">
        <v>596</v>
      </c>
      <c r="H290" s="53" t="s">
        <v>597</v>
      </c>
      <c r="I290" s="53" t="s">
        <v>66</v>
      </c>
      <c r="J290" s="60" t="s">
        <v>1550</v>
      </c>
      <c r="K290" s="53" t="s">
        <v>1551</v>
      </c>
      <c r="L290" s="78" t="s">
        <v>594</v>
      </c>
      <c r="M290" s="32" t="s">
        <v>1552</v>
      </c>
      <c r="N290">
        <v>516</v>
      </c>
      <c r="O290" t="str">
        <f t="shared" si="35"/>
        <v>EBTAQ25-01.191</v>
      </c>
      <c r="P290" t="str">
        <f t="shared" si="36"/>
        <v>Fakhri Hafiz Taufiqul Hakim</v>
      </c>
      <c r="Q290" t="str">
        <f t="shared" si="37"/>
        <v>Laki-laki</v>
      </c>
      <c r="R290" t="str">
        <f t="shared" si="38"/>
        <v>Demak</v>
      </c>
      <c r="S290" s="21">
        <f t="shared" si="39"/>
        <v>40625</v>
      </c>
      <c r="T290" t="str">
        <f t="shared" si="40"/>
        <v>Widodo</v>
      </c>
      <c r="U290" t="str">
        <f t="shared" si="41"/>
        <v>Enik Lestari</v>
      </c>
      <c r="V290" t="str">
        <f>VLOOKUP(O290,Lembar1!$A$4:$H$457,8,FALSE)</f>
        <v>BIO_Images/EBTAQ25-01.191.jpg</v>
      </c>
      <c r="W290" t="str">
        <f>IFERROR(VLOOKUP(O290,Lembar1!$A$4:$I$457,9,FALSE),C290)</f>
        <v>Karbon - Hidayatul Mubtadi'in</v>
      </c>
    </row>
    <row r="291" spans="1:23" ht="15.75" hidden="1" thickBot="1" x14ac:dyDescent="0.3">
      <c r="A291" s="28">
        <v>45998.481851851851</v>
      </c>
      <c r="B291" s="29" t="s">
        <v>10</v>
      </c>
      <c r="C291" s="29" t="s">
        <v>214</v>
      </c>
      <c r="D291" s="29" t="s">
        <v>210</v>
      </c>
      <c r="E291" s="29" t="s">
        <v>10</v>
      </c>
      <c r="F291" s="30">
        <v>42114</v>
      </c>
      <c r="G291" s="29" t="s">
        <v>211</v>
      </c>
      <c r="H291" s="29" t="s">
        <v>212</v>
      </c>
      <c r="I291" s="29" t="s">
        <v>2</v>
      </c>
      <c r="J291" s="31" t="s">
        <v>1078</v>
      </c>
      <c r="K291" s="29" t="s">
        <v>1079</v>
      </c>
      <c r="L291" s="77" t="s">
        <v>209</v>
      </c>
      <c r="M291" s="32" t="s">
        <v>1080</v>
      </c>
      <c r="N291">
        <v>517</v>
      </c>
      <c r="O291" t="str">
        <f t="shared" ref="O291:O354" si="42">L291</f>
        <v>EBTAQ25-01.131</v>
      </c>
      <c r="P291" t="str">
        <f t="shared" ref="P291:P354" si="43">D291</f>
        <v>Sabrina aqila rahma</v>
      </c>
      <c r="Q291" t="str">
        <f t="shared" ref="Q291:Q354" si="44">I291</f>
        <v>Perempuan</v>
      </c>
      <c r="R291" t="str">
        <f t="shared" ref="R291:R354" si="45">E291</f>
        <v>Demak</v>
      </c>
      <c r="S291" s="21">
        <f t="shared" ref="S291:S354" si="46">F291</f>
        <v>42114</v>
      </c>
      <c r="T291" t="str">
        <f t="shared" ref="T291:T354" si="47">G291</f>
        <v>Khoirul latif</v>
      </c>
      <c r="U291" t="str">
        <f t="shared" ref="U291:U354" si="48">H291</f>
        <v>Lukluatul khadziroh</v>
      </c>
      <c r="V291" t="str">
        <f>VLOOKUP(O291,Lembar1!$A$4:$H$457,8,FALSE)</f>
        <v>BIO_Images/EBTAQ25-01.131.jpg</v>
      </c>
      <c r="W291" t="str">
        <f>IFERROR(VLOOKUP(O291,Lembar1!$A$4:$I$457,9,FALSE),C291)</f>
        <v>Karbon - TPQ Qurrotul 'Ain</v>
      </c>
    </row>
    <row r="292" spans="1:23" ht="15.75" hidden="1" thickBot="1" x14ac:dyDescent="0.3">
      <c r="A292" s="50">
        <v>45998.556921296295</v>
      </c>
      <c r="B292" s="53" t="s">
        <v>10</v>
      </c>
      <c r="C292" s="53" t="s">
        <v>214</v>
      </c>
      <c r="D292" s="53" t="s">
        <v>216</v>
      </c>
      <c r="E292" s="53" t="s">
        <v>204</v>
      </c>
      <c r="F292" s="57">
        <v>42354</v>
      </c>
      <c r="G292" s="53" t="s">
        <v>217</v>
      </c>
      <c r="H292" s="53" t="s">
        <v>218</v>
      </c>
      <c r="I292" s="53" t="s">
        <v>2</v>
      </c>
      <c r="J292" s="60" t="s">
        <v>1097</v>
      </c>
      <c r="K292" s="53" t="s">
        <v>1098</v>
      </c>
      <c r="L292" s="78" t="s">
        <v>215</v>
      </c>
      <c r="M292" s="32" t="s">
        <v>1099</v>
      </c>
      <c r="N292">
        <v>518</v>
      </c>
      <c r="O292" t="str">
        <f t="shared" si="42"/>
        <v>EBTAQ25-01.132</v>
      </c>
      <c r="P292" t="str">
        <f t="shared" si="43"/>
        <v>ANA NAFISATUZZAHRO</v>
      </c>
      <c r="Q292" t="str">
        <f t="shared" si="44"/>
        <v>Perempuan</v>
      </c>
      <c r="R292" t="str">
        <f t="shared" si="45"/>
        <v>SEMARANG</v>
      </c>
      <c r="S292" s="21">
        <f t="shared" si="46"/>
        <v>42354</v>
      </c>
      <c r="T292" t="str">
        <f t="shared" si="47"/>
        <v>KARTONO</v>
      </c>
      <c r="U292" t="str">
        <f t="shared" si="48"/>
        <v>NURUL HIKMAH</v>
      </c>
      <c r="V292" t="str">
        <f>VLOOKUP(O292,Lembar1!$A$4:$H$457,8,FALSE)</f>
        <v>BIO_Images/EBTAQ25-01.132.jpg</v>
      </c>
      <c r="W292" t="str">
        <f>IFERROR(VLOOKUP(O292,Lembar1!$A$4:$I$457,9,FALSE),C292)</f>
        <v>Karbon - TPQ Qurrotul 'Ain</v>
      </c>
    </row>
    <row r="293" spans="1:23" ht="15.75" hidden="1" thickBot="1" x14ac:dyDescent="0.3">
      <c r="A293" s="49">
        <v>45998.580891203703</v>
      </c>
      <c r="B293" s="52" t="s">
        <v>10</v>
      </c>
      <c r="C293" s="52" t="s">
        <v>214</v>
      </c>
      <c r="D293" s="52" t="s">
        <v>221</v>
      </c>
      <c r="E293" s="52" t="s">
        <v>10</v>
      </c>
      <c r="F293" s="56">
        <v>42259</v>
      </c>
      <c r="G293" s="52" t="s">
        <v>222</v>
      </c>
      <c r="H293" s="52" t="s">
        <v>223</v>
      </c>
      <c r="I293" s="52" t="s">
        <v>66</v>
      </c>
      <c r="J293" s="59" t="s">
        <v>1100</v>
      </c>
      <c r="K293" s="52" t="s">
        <v>1101</v>
      </c>
      <c r="L293" s="77" t="s">
        <v>220</v>
      </c>
      <c r="M293" s="37" t="s">
        <v>1102</v>
      </c>
      <c r="N293">
        <v>519</v>
      </c>
      <c r="O293" t="str">
        <f t="shared" si="42"/>
        <v>EBTAQ25-01.133</v>
      </c>
      <c r="P293" t="str">
        <f t="shared" si="43"/>
        <v>Ahmad Muiz Halim</v>
      </c>
      <c r="Q293" t="str">
        <f t="shared" si="44"/>
        <v>Laki-laki</v>
      </c>
      <c r="R293" t="str">
        <f t="shared" si="45"/>
        <v>Demak</v>
      </c>
      <c r="S293" s="21">
        <f t="shared" si="46"/>
        <v>42259</v>
      </c>
      <c r="T293" t="str">
        <f t="shared" si="47"/>
        <v>Sutiyono</v>
      </c>
      <c r="U293" t="str">
        <f t="shared" si="48"/>
        <v>Novita Murtiyani</v>
      </c>
      <c r="V293" t="str">
        <f>VLOOKUP(O293,Lembar1!$A$4:$H$457,8,FALSE)</f>
        <v>BIO_Images/EBTAQ25-01.133.jpg</v>
      </c>
      <c r="W293" t="str">
        <f>IFERROR(VLOOKUP(O293,Lembar1!$A$4:$I$457,9,FALSE),C293)</f>
        <v>Karbon - TPQ Qurrotul 'Ain</v>
      </c>
    </row>
    <row r="294" spans="1:23" ht="15.75" hidden="1" thickBot="1" x14ac:dyDescent="0.3">
      <c r="A294" s="50">
        <v>45998.639537037037</v>
      </c>
      <c r="B294" s="53" t="s">
        <v>10</v>
      </c>
      <c r="C294" s="53" t="s">
        <v>214</v>
      </c>
      <c r="D294" s="53" t="s">
        <v>234</v>
      </c>
      <c r="E294" s="53" t="s">
        <v>10</v>
      </c>
      <c r="F294" s="57">
        <v>42259</v>
      </c>
      <c r="G294" s="53" t="s">
        <v>222</v>
      </c>
      <c r="H294" s="53" t="s">
        <v>235</v>
      </c>
      <c r="I294" s="53" t="s">
        <v>66</v>
      </c>
      <c r="J294" s="60" t="s">
        <v>1103</v>
      </c>
      <c r="K294" s="53" t="s">
        <v>1104</v>
      </c>
      <c r="L294" s="78" t="s">
        <v>233</v>
      </c>
      <c r="M294" s="32" t="s">
        <v>1105</v>
      </c>
      <c r="N294">
        <v>520</v>
      </c>
      <c r="O294" t="str">
        <f t="shared" si="42"/>
        <v>EBTAQ25-01.134</v>
      </c>
      <c r="P294" t="str">
        <f t="shared" si="43"/>
        <v>Ahmad Muiz halim</v>
      </c>
      <c r="Q294" t="str">
        <f t="shared" si="44"/>
        <v>Laki-laki</v>
      </c>
      <c r="R294" t="str">
        <f t="shared" si="45"/>
        <v>Demak</v>
      </c>
      <c r="S294" s="21">
        <f t="shared" si="46"/>
        <v>42259</v>
      </c>
      <c r="T294" t="str">
        <f t="shared" si="47"/>
        <v>Sutiyono</v>
      </c>
      <c r="U294" t="str">
        <f t="shared" si="48"/>
        <v>Novitamurtiyani</v>
      </c>
      <c r="V294" t="str">
        <f>VLOOKUP(O294,Lembar1!$A$4:$H$457,8,FALSE)</f>
        <v>BIO_Images/EBTAQ25-01.134.jpg</v>
      </c>
      <c r="W294" t="str">
        <f>IFERROR(VLOOKUP(O294,Lembar1!$A$4:$I$457,9,FALSE),C294)</f>
        <v>Karbon - TPQ Qurrotul 'Ain</v>
      </c>
    </row>
    <row r="295" spans="1:23" ht="15.75" hidden="1" thickBot="1" x14ac:dyDescent="0.3">
      <c r="A295" s="49">
        <v>45998.649305555555</v>
      </c>
      <c r="B295" s="52" t="s">
        <v>10</v>
      </c>
      <c r="C295" s="52" t="s">
        <v>214</v>
      </c>
      <c r="D295" s="52" t="s">
        <v>238</v>
      </c>
      <c r="E295" s="52" t="s">
        <v>28</v>
      </c>
      <c r="F295" s="56">
        <v>42347</v>
      </c>
      <c r="G295" s="52" t="s">
        <v>239</v>
      </c>
      <c r="H295" s="52" t="s">
        <v>240</v>
      </c>
      <c r="I295" s="52" t="s">
        <v>66</v>
      </c>
      <c r="J295" s="59" t="s">
        <v>1106</v>
      </c>
      <c r="K295" s="52" t="s">
        <v>1107</v>
      </c>
      <c r="L295" s="77" t="s">
        <v>237</v>
      </c>
      <c r="M295" s="37" t="s">
        <v>1108</v>
      </c>
      <c r="N295">
        <v>521</v>
      </c>
      <c r="O295" t="str">
        <f t="shared" si="42"/>
        <v>EBTAQ25-01.135</v>
      </c>
      <c r="P295" t="str">
        <f t="shared" si="43"/>
        <v>ahmad muiz halim</v>
      </c>
      <c r="Q295" t="str">
        <f t="shared" si="44"/>
        <v>Laki-laki</v>
      </c>
      <c r="R295" t="str">
        <f t="shared" si="45"/>
        <v>DEMAK</v>
      </c>
      <c r="S295" s="21">
        <f t="shared" si="46"/>
        <v>42347</v>
      </c>
      <c r="T295" t="str">
        <f t="shared" si="47"/>
        <v>sutiyono</v>
      </c>
      <c r="U295" t="str">
        <f t="shared" si="48"/>
        <v>novita murtiyani</v>
      </c>
      <c r="V295" t="str">
        <f>VLOOKUP(O295,Lembar1!$A$4:$H$457,8,FALSE)</f>
        <v>BIO_Images/EBTAQ25-01.135.jpg</v>
      </c>
      <c r="W295" t="str">
        <f>IFERROR(VLOOKUP(O295,Lembar1!$A$4:$I$457,9,FALSE),C295)</f>
        <v>Karbon - TPQ Qurrotul 'Ain</v>
      </c>
    </row>
    <row r="296" spans="1:23" ht="15.75" hidden="1" thickBot="1" x14ac:dyDescent="0.3">
      <c r="A296" s="50">
        <v>45998.668078703704</v>
      </c>
      <c r="B296" s="53" t="s">
        <v>10</v>
      </c>
      <c r="C296" s="53" t="s">
        <v>214</v>
      </c>
      <c r="D296" s="53" t="s">
        <v>243</v>
      </c>
      <c r="E296" s="53" t="s">
        <v>10</v>
      </c>
      <c r="F296" s="57">
        <v>42347</v>
      </c>
      <c r="G296" s="53" t="s">
        <v>222</v>
      </c>
      <c r="H296" s="53" t="s">
        <v>244</v>
      </c>
      <c r="I296" s="53" t="s">
        <v>66</v>
      </c>
      <c r="J296" s="60" t="s">
        <v>1109</v>
      </c>
      <c r="K296" s="53" t="s">
        <v>1110</v>
      </c>
      <c r="L296" s="78" t="s">
        <v>242</v>
      </c>
      <c r="M296" s="32" t="s">
        <v>1111</v>
      </c>
      <c r="N296">
        <v>522</v>
      </c>
      <c r="O296" t="str">
        <f t="shared" si="42"/>
        <v>EBTAQ25-01.136</v>
      </c>
      <c r="P296" t="str">
        <f t="shared" si="43"/>
        <v>Ahmad muiz halim</v>
      </c>
      <c r="Q296" t="str">
        <f t="shared" si="44"/>
        <v>Laki-laki</v>
      </c>
      <c r="R296" t="str">
        <f t="shared" si="45"/>
        <v>Demak</v>
      </c>
      <c r="S296" s="21">
        <f t="shared" si="46"/>
        <v>42347</v>
      </c>
      <c r="T296" t="str">
        <f t="shared" si="47"/>
        <v>Sutiyono</v>
      </c>
      <c r="U296" t="str">
        <f t="shared" si="48"/>
        <v>Murtiyani</v>
      </c>
      <c r="V296" t="str">
        <f>VLOOKUP(O296,Lembar1!$A$4:$H$457,8,FALSE)</f>
        <v>BIO_Images/EBTAQ25-01.136.jpg</v>
      </c>
      <c r="W296" t="str">
        <f>IFERROR(VLOOKUP(O296,Lembar1!$A$4:$I$457,9,FALSE),C296)</f>
        <v>Karbon - TPQ Qurrotul 'Ain</v>
      </c>
    </row>
    <row r="297" spans="1:23" ht="15.75" hidden="1" thickBot="1" x14ac:dyDescent="0.3">
      <c r="A297" s="49">
        <v>45998.670555555553</v>
      </c>
      <c r="B297" s="52" t="s">
        <v>10</v>
      </c>
      <c r="C297" s="52" t="s">
        <v>214</v>
      </c>
      <c r="D297" s="52" t="s">
        <v>247</v>
      </c>
      <c r="E297" s="52" t="s">
        <v>10</v>
      </c>
      <c r="F297" s="56">
        <v>42217</v>
      </c>
      <c r="G297" s="52" t="s">
        <v>248</v>
      </c>
      <c r="H297" s="52" t="s">
        <v>249</v>
      </c>
      <c r="I297" s="52" t="s">
        <v>66</v>
      </c>
      <c r="J297" s="59" t="s">
        <v>1112</v>
      </c>
      <c r="K297" s="52" t="s">
        <v>1113</v>
      </c>
      <c r="L297" s="77" t="s">
        <v>246</v>
      </c>
      <c r="M297" s="37" t="s">
        <v>1114</v>
      </c>
      <c r="N297">
        <v>523</v>
      </c>
      <c r="O297" t="str">
        <f t="shared" si="42"/>
        <v>EBTAQ25-01.137</v>
      </c>
      <c r="P297" t="str">
        <f t="shared" si="43"/>
        <v>Muhammad Revan Putra pambudi</v>
      </c>
      <c r="Q297" t="str">
        <f t="shared" si="44"/>
        <v>Laki-laki</v>
      </c>
      <c r="R297" t="str">
        <f t="shared" si="45"/>
        <v>Demak</v>
      </c>
      <c r="S297" s="21">
        <f t="shared" si="46"/>
        <v>42217</v>
      </c>
      <c r="T297" t="str">
        <f t="shared" si="47"/>
        <v>Galuh eka pambudi</v>
      </c>
      <c r="U297" t="str">
        <f t="shared" si="48"/>
        <v>Sumi kastutik</v>
      </c>
      <c r="V297" t="str">
        <f>VLOOKUP(O297,Lembar1!$A$4:$H$457,8,FALSE)</f>
        <v>BIO_Images/EBTAQ25-01.137.jpg</v>
      </c>
      <c r="W297" t="str">
        <f>IFERROR(VLOOKUP(O297,Lembar1!$A$4:$I$457,9,FALSE),C297)</f>
        <v>Karbon - TPQ Qurrotul 'Ain</v>
      </c>
    </row>
    <row r="298" spans="1:23" ht="15.75" hidden="1" thickBot="1" x14ac:dyDescent="0.3">
      <c r="A298" s="50">
        <v>46000.304131944446</v>
      </c>
      <c r="B298" s="53" t="s">
        <v>10</v>
      </c>
      <c r="C298" s="5" t="s">
        <v>902</v>
      </c>
      <c r="D298" s="53" t="s">
        <v>497</v>
      </c>
      <c r="E298" s="53" t="s">
        <v>365</v>
      </c>
      <c r="F298" s="57">
        <v>41407</v>
      </c>
      <c r="G298" s="53" t="s">
        <v>498</v>
      </c>
      <c r="H298" s="53" t="s">
        <v>499</v>
      </c>
      <c r="I298" s="53" t="s">
        <v>66</v>
      </c>
      <c r="J298" s="60" t="s">
        <v>1453</v>
      </c>
      <c r="K298" s="53" t="s">
        <v>1454</v>
      </c>
      <c r="L298" s="78" t="s">
        <v>496</v>
      </c>
      <c r="M298" s="32" t="s">
        <v>1455</v>
      </c>
      <c r="N298">
        <v>524</v>
      </c>
      <c r="O298" t="str">
        <f t="shared" si="42"/>
        <v>EBTAQ25-01.174</v>
      </c>
      <c r="P298" t="str">
        <f t="shared" si="43"/>
        <v>MUHAMMAD IRHAM DAIMUL HUSNA</v>
      </c>
      <c r="Q298" t="str">
        <f t="shared" si="44"/>
        <v>Laki-laki</v>
      </c>
      <c r="R298" t="str">
        <f t="shared" si="45"/>
        <v>KUDUS</v>
      </c>
      <c r="S298" s="21">
        <f t="shared" si="46"/>
        <v>41407</v>
      </c>
      <c r="T298" t="str">
        <f t="shared" si="47"/>
        <v>TRI JARWANTO</v>
      </c>
      <c r="U298" t="str">
        <f t="shared" si="48"/>
        <v>ERMA DAMAYANTI</v>
      </c>
      <c r="V298" t="str">
        <f>VLOOKUP(O298,Lembar1!$A$4:$H$457,8,FALSE)</f>
        <v>BIO_Images/EBTAQ25-01.174.jpg</v>
      </c>
      <c r="W298" t="str">
        <f>IFERROR(VLOOKUP(O298,Lembar1!$A$4:$I$457,9,FALSE),C298)</f>
        <v>DEMAK - SDIT AZZAHRA</v>
      </c>
    </row>
    <row r="299" spans="1:23" ht="15.75" hidden="1" thickBot="1" x14ac:dyDescent="0.3">
      <c r="A299" s="49">
        <v>46000.42224537037</v>
      </c>
      <c r="B299" s="52" t="s">
        <v>10</v>
      </c>
      <c r="C299" s="5" t="s">
        <v>902</v>
      </c>
      <c r="D299" s="52" t="s">
        <v>558</v>
      </c>
      <c r="E299" s="52" t="s">
        <v>10</v>
      </c>
      <c r="F299" s="56">
        <v>42141</v>
      </c>
      <c r="G299" s="52" t="s">
        <v>559</v>
      </c>
      <c r="H299" s="52" t="s">
        <v>560</v>
      </c>
      <c r="I299" s="52" t="s">
        <v>2</v>
      </c>
      <c r="J299" s="59" t="s">
        <v>1498</v>
      </c>
      <c r="K299" s="52" t="s">
        <v>1499</v>
      </c>
      <c r="L299" s="77" t="s">
        <v>557</v>
      </c>
      <c r="M299" s="37" t="s">
        <v>1500</v>
      </c>
      <c r="N299">
        <v>525</v>
      </c>
      <c r="O299" t="str">
        <f t="shared" si="42"/>
        <v>EBTAQ25-01.184</v>
      </c>
      <c r="P299" t="str">
        <f t="shared" si="43"/>
        <v>SEKAR AYU NAYLA</v>
      </c>
      <c r="Q299" t="str">
        <f t="shared" si="44"/>
        <v>Perempuan</v>
      </c>
      <c r="R299" t="str">
        <f t="shared" si="45"/>
        <v>Demak</v>
      </c>
      <c r="S299" s="21">
        <f t="shared" si="46"/>
        <v>42141</v>
      </c>
      <c r="T299" t="str">
        <f t="shared" si="47"/>
        <v>JOKO SUBIYANTO</v>
      </c>
      <c r="U299" t="str">
        <f t="shared" si="48"/>
        <v>NI'MATUS SA'ADAH</v>
      </c>
      <c r="V299" t="str">
        <f>VLOOKUP(O299,Lembar1!$A$4:$H$457,8,FALSE)</f>
        <v>BIO_Images/EBTAQ25-01.184.jpg</v>
      </c>
      <c r="W299" t="str">
        <f>IFERROR(VLOOKUP(O299,Lembar1!$A$4:$I$457,9,FALSE),C299)</f>
        <v>DEMAK - SDIT AZZAHRA</v>
      </c>
    </row>
    <row r="300" spans="1:23" ht="15.75" hidden="1" thickBot="1" x14ac:dyDescent="0.3">
      <c r="A300" s="50">
        <v>46000.41777777778</v>
      </c>
      <c r="B300" s="53" t="s">
        <v>10</v>
      </c>
      <c r="C300" s="5" t="s">
        <v>902</v>
      </c>
      <c r="D300" s="53" t="s">
        <v>552</v>
      </c>
      <c r="E300" s="53" t="s">
        <v>553</v>
      </c>
      <c r="F300" s="57">
        <v>41574</v>
      </c>
      <c r="G300" s="53" t="s">
        <v>554</v>
      </c>
      <c r="H300" s="53" t="s">
        <v>555</v>
      </c>
      <c r="I300" s="53" t="s">
        <v>66</v>
      </c>
      <c r="J300" s="60" t="s">
        <v>1494</v>
      </c>
      <c r="K300" s="53" t="s">
        <v>1495</v>
      </c>
      <c r="L300" s="78" t="s">
        <v>551</v>
      </c>
      <c r="M300" s="32" t="s">
        <v>1496</v>
      </c>
      <c r="N300">
        <v>526</v>
      </c>
      <c r="O300" t="str">
        <f t="shared" si="42"/>
        <v>EBTAQ25-01.183</v>
      </c>
      <c r="P300" t="str">
        <f t="shared" si="43"/>
        <v>ABIYAN ALKHALIFI ZUHDI</v>
      </c>
      <c r="Q300" t="str">
        <f t="shared" si="44"/>
        <v>Laki-laki</v>
      </c>
      <c r="R300" t="str">
        <f t="shared" si="45"/>
        <v>Bogor</v>
      </c>
      <c r="S300" s="21">
        <f t="shared" si="46"/>
        <v>41574</v>
      </c>
      <c r="T300" t="str">
        <f t="shared" si="47"/>
        <v>ANTON KUSWARA</v>
      </c>
      <c r="U300" t="str">
        <f t="shared" si="48"/>
        <v>TITI ISMU</v>
      </c>
      <c r="V300" t="str">
        <f>VLOOKUP(O300,Lembar1!$A$4:$H$457,8,FALSE)</f>
        <v>BIO_Images/EBTAQ25-01.183.jpg</v>
      </c>
      <c r="W300" t="str">
        <f>IFERROR(VLOOKUP(O300,Lembar1!$A$4:$I$457,9,FALSE),C300)</f>
        <v>DEMAK - SDIT AZZAHRA</v>
      </c>
    </row>
    <row r="301" spans="1:23" ht="15.75" hidden="1" thickBot="1" x14ac:dyDescent="0.3">
      <c r="A301" s="49">
        <v>46000.628287037034</v>
      </c>
      <c r="B301" s="52" t="s">
        <v>10</v>
      </c>
      <c r="C301" s="5" t="s">
        <v>902</v>
      </c>
      <c r="D301" s="52" t="s">
        <v>616</v>
      </c>
      <c r="E301" s="52" t="s">
        <v>28</v>
      </c>
      <c r="F301" s="56">
        <v>41586</v>
      </c>
      <c r="G301" s="52" t="s">
        <v>376</v>
      </c>
      <c r="H301" s="52" t="s">
        <v>377</v>
      </c>
      <c r="I301" s="52" t="s">
        <v>66</v>
      </c>
      <c r="J301" s="59" t="s">
        <v>1567</v>
      </c>
      <c r="K301" s="52" t="s">
        <v>1568</v>
      </c>
      <c r="L301" s="77" t="s">
        <v>615</v>
      </c>
      <c r="M301" s="37" t="s">
        <v>1569</v>
      </c>
      <c r="N301">
        <v>527</v>
      </c>
      <c r="O301" t="str">
        <f t="shared" si="42"/>
        <v>EBTAQ25-01.192</v>
      </c>
      <c r="P301" t="str">
        <f t="shared" si="43"/>
        <v>SYAMILA ADELINE NIESHA</v>
      </c>
      <c r="Q301" t="str">
        <f t="shared" si="44"/>
        <v>Laki-laki</v>
      </c>
      <c r="R301" t="str">
        <f t="shared" si="45"/>
        <v>DEMAK</v>
      </c>
      <c r="S301" s="21">
        <f t="shared" si="46"/>
        <v>41586</v>
      </c>
      <c r="T301" t="str">
        <f t="shared" si="47"/>
        <v>CIPTO LEGOWO</v>
      </c>
      <c r="U301" t="str">
        <f t="shared" si="48"/>
        <v>ERNA TRI PUJIASTUTI</v>
      </c>
      <c r="V301" t="str">
        <f>VLOOKUP(O301,Lembar1!$A$4:$H$457,8,FALSE)</f>
        <v>BIO_Images/EBTAQ25-01.192.jpg</v>
      </c>
      <c r="W301" t="str">
        <f>IFERROR(VLOOKUP(O301,Lembar1!$A$4:$I$457,9,FALSE),C301)</f>
        <v>DEMAK - SDIT AZZAHRA</v>
      </c>
    </row>
    <row r="302" spans="1:23" ht="15.75" hidden="1" thickBot="1" x14ac:dyDescent="0.3">
      <c r="A302" s="50">
        <v>45996.636250000003</v>
      </c>
      <c r="B302" s="53" t="s">
        <v>10</v>
      </c>
      <c r="C302" s="53" t="s">
        <v>208</v>
      </c>
      <c r="D302" s="53" t="s">
        <v>203</v>
      </c>
      <c r="E302" s="53" t="s">
        <v>204</v>
      </c>
      <c r="F302" s="57">
        <v>41794</v>
      </c>
      <c r="G302" s="53" t="s">
        <v>205</v>
      </c>
      <c r="H302" s="53" t="s">
        <v>206</v>
      </c>
      <c r="I302" s="53" t="s">
        <v>2</v>
      </c>
      <c r="J302" s="60" t="s">
        <v>1068</v>
      </c>
      <c r="K302" s="53" t="s">
        <v>1069</v>
      </c>
      <c r="L302" s="78" t="s">
        <v>202</v>
      </c>
      <c r="M302" s="32" t="s">
        <v>1070</v>
      </c>
      <c r="N302">
        <v>528</v>
      </c>
      <c r="O302" t="str">
        <f t="shared" si="42"/>
        <v>EBTAQ25-01.130</v>
      </c>
      <c r="P302" t="str">
        <f t="shared" si="43"/>
        <v>FATIMATUZ ZAHRA ADNAN</v>
      </c>
      <c r="Q302" t="str">
        <f t="shared" si="44"/>
        <v>Perempuan</v>
      </c>
      <c r="R302" t="str">
        <f t="shared" si="45"/>
        <v>SEMARANG</v>
      </c>
      <c r="S302" s="21">
        <f t="shared" si="46"/>
        <v>41794</v>
      </c>
      <c r="T302" t="str">
        <f t="shared" si="47"/>
        <v>AHMAD ADNAN</v>
      </c>
      <c r="U302" t="str">
        <f t="shared" si="48"/>
        <v>UCI NOVIATI</v>
      </c>
      <c r="V302" t="str">
        <f>VLOOKUP(O302,Lembar1!$A$4:$H$457,8,FALSE)</f>
        <v>BIO_Images/EBTAQ25-01.130.jpg</v>
      </c>
      <c r="W302" t="str">
        <f>IFERROR(VLOOKUP(O302,Lembar1!$A$4:$I$457,9,FALSE),C302)</f>
        <v>SDIT KOTAWALI</v>
      </c>
    </row>
    <row r="303" spans="1:23" ht="15.75" hidden="1" thickBot="1" x14ac:dyDescent="0.3">
      <c r="A303" s="28">
        <v>46000.397268518522</v>
      </c>
      <c r="B303" s="29" t="s">
        <v>10</v>
      </c>
      <c r="C303" s="5" t="s">
        <v>902</v>
      </c>
      <c r="D303" s="29" t="s">
        <v>513</v>
      </c>
      <c r="E303" s="29" t="s">
        <v>204</v>
      </c>
      <c r="F303" s="30">
        <v>41841</v>
      </c>
      <c r="G303" s="29" t="s">
        <v>514</v>
      </c>
      <c r="H303" s="29" t="s">
        <v>515</v>
      </c>
      <c r="I303" s="29" t="s">
        <v>66</v>
      </c>
      <c r="J303" s="31" t="s">
        <v>1468</v>
      </c>
      <c r="K303" s="29" t="s">
        <v>1469</v>
      </c>
      <c r="L303" s="77" t="s">
        <v>512</v>
      </c>
      <c r="M303" s="32" t="s">
        <v>1470</v>
      </c>
      <c r="N303">
        <v>529</v>
      </c>
      <c r="O303" t="str">
        <f t="shared" si="42"/>
        <v>EBTAQ25-01.177</v>
      </c>
      <c r="P303" t="str">
        <f t="shared" si="43"/>
        <v>MIRZA SYARIF ASSAJID</v>
      </c>
      <c r="Q303" t="str">
        <f t="shared" si="44"/>
        <v>Laki-laki</v>
      </c>
      <c r="R303" t="str">
        <f t="shared" si="45"/>
        <v>SEMARANG</v>
      </c>
      <c r="S303" s="21">
        <f t="shared" si="46"/>
        <v>41841</v>
      </c>
      <c r="T303" t="str">
        <f t="shared" si="47"/>
        <v>PARMONO</v>
      </c>
      <c r="U303" t="str">
        <f t="shared" si="48"/>
        <v>RIF'AH</v>
      </c>
      <c r="V303" t="str">
        <f>VLOOKUP(O303,Lembar1!$A$4:$H$457,8,FALSE)</f>
        <v>BIO_Images/EBTAQ25-01.177.jpg</v>
      </c>
      <c r="W303" t="str">
        <f>IFERROR(VLOOKUP(O303,Lembar1!$A$4:$I$457,9,FALSE),C303)</f>
        <v>DEMAK - SDIT AZZAHRA</v>
      </c>
    </row>
    <row r="304" spans="1:23" ht="15.75" hidden="1" thickBot="1" x14ac:dyDescent="0.3">
      <c r="A304" s="33">
        <v>46000.397430555553</v>
      </c>
      <c r="B304" s="34" t="s">
        <v>10</v>
      </c>
      <c r="C304" s="5" t="s">
        <v>902</v>
      </c>
      <c r="D304" s="34" t="s">
        <v>518</v>
      </c>
      <c r="E304" s="34" t="s">
        <v>10</v>
      </c>
      <c r="F304" s="35">
        <v>41762</v>
      </c>
      <c r="G304" s="34" t="s">
        <v>519</v>
      </c>
      <c r="H304" s="34" t="s">
        <v>520</v>
      </c>
      <c r="I304" s="34" t="s">
        <v>66</v>
      </c>
      <c r="J304" s="36" t="s">
        <v>1471</v>
      </c>
      <c r="K304" s="34" t="s">
        <v>1472</v>
      </c>
      <c r="L304" s="78" t="s">
        <v>517</v>
      </c>
      <c r="M304" s="37" t="s">
        <v>1473</v>
      </c>
      <c r="N304">
        <v>530</v>
      </c>
      <c r="O304" t="str">
        <f t="shared" si="42"/>
        <v>EBTAQ25-01.178</v>
      </c>
      <c r="P304" t="str">
        <f t="shared" si="43"/>
        <v>MUHAMMAD FARZANA ECNA ALFATTAH</v>
      </c>
      <c r="Q304" t="str">
        <f t="shared" si="44"/>
        <v>Laki-laki</v>
      </c>
      <c r="R304" t="str">
        <f t="shared" si="45"/>
        <v>Demak</v>
      </c>
      <c r="S304" s="21">
        <f t="shared" si="46"/>
        <v>41762</v>
      </c>
      <c r="T304" t="str">
        <f t="shared" si="47"/>
        <v>Eko budi cahyono</v>
      </c>
      <c r="U304" t="str">
        <f t="shared" si="48"/>
        <v>Lucyana dwi puspitaningrum</v>
      </c>
      <c r="V304" t="str">
        <f>VLOOKUP(O304,Lembar1!$A$4:$H$457,8,FALSE)</f>
        <v>BIO_Images/EBTAQ25-01.178.jpg</v>
      </c>
      <c r="W304" t="str">
        <f>IFERROR(VLOOKUP(O304,Lembar1!$A$4:$I$457,9,FALSE),C304)</f>
        <v>DEMAK - SDIT AZZAHRA</v>
      </c>
    </row>
    <row r="305" spans="1:23" ht="15.75" hidden="1" thickBot="1" x14ac:dyDescent="0.3">
      <c r="A305" s="49">
        <v>46000.399884259263</v>
      </c>
      <c r="B305" s="52" t="s">
        <v>10</v>
      </c>
      <c r="C305" s="5" t="s">
        <v>902</v>
      </c>
      <c r="D305" s="52" t="s">
        <v>528</v>
      </c>
      <c r="E305" s="52" t="s">
        <v>28</v>
      </c>
      <c r="F305" s="56">
        <v>42087</v>
      </c>
      <c r="G305" s="52" t="s">
        <v>529</v>
      </c>
      <c r="H305" s="52" t="s">
        <v>530</v>
      </c>
      <c r="I305" s="52" t="s">
        <v>66</v>
      </c>
      <c r="J305" s="59" t="s">
        <v>1477</v>
      </c>
      <c r="K305" s="52" t="s">
        <v>1478</v>
      </c>
      <c r="L305" s="77" t="s">
        <v>527</v>
      </c>
      <c r="M305" s="37" t="s">
        <v>1479</v>
      </c>
      <c r="N305">
        <v>531</v>
      </c>
      <c r="O305" t="str">
        <f t="shared" si="42"/>
        <v>EBTAQ25-01.179</v>
      </c>
      <c r="P305" t="str">
        <f t="shared" si="43"/>
        <v>HAMZI PRADIPTA</v>
      </c>
      <c r="Q305" t="str">
        <f t="shared" si="44"/>
        <v>Laki-laki</v>
      </c>
      <c r="R305" t="str">
        <f t="shared" si="45"/>
        <v>DEMAK</v>
      </c>
      <c r="S305" s="21">
        <f t="shared" si="46"/>
        <v>42087</v>
      </c>
      <c r="T305" t="str">
        <f t="shared" si="47"/>
        <v>BAYU NUR PAMBUDI</v>
      </c>
      <c r="U305" t="str">
        <f t="shared" si="48"/>
        <v>TRI WULAN PRASTIWI</v>
      </c>
      <c r="V305" t="str">
        <f>VLOOKUP(O305,Lembar1!$A$4:$H$457,8,FALSE)</f>
        <v>BIO_Images/EBTAQ25-01.179.jpg</v>
      </c>
      <c r="W305" t="str">
        <f>IFERROR(VLOOKUP(O305,Lembar1!$A$4:$I$457,9,FALSE),C305)</f>
        <v>DEMAK - SDIT AZZAHRA</v>
      </c>
    </row>
    <row r="306" spans="1:23" ht="15.75" hidden="1" thickBot="1" x14ac:dyDescent="0.3">
      <c r="A306" s="50">
        <v>45999.523113425923</v>
      </c>
      <c r="B306" s="53" t="s">
        <v>10</v>
      </c>
      <c r="C306" s="5" t="s">
        <v>902</v>
      </c>
      <c r="D306" s="53" t="s">
        <v>350</v>
      </c>
      <c r="E306" s="53" t="s">
        <v>10</v>
      </c>
      <c r="F306" s="57">
        <v>41951</v>
      </c>
      <c r="G306" s="53" t="s">
        <v>351</v>
      </c>
      <c r="H306" s="53" t="s">
        <v>184</v>
      </c>
      <c r="I306" s="53" t="s">
        <v>2</v>
      </c>
      <c r="J306" s="60" t="s">
        <v>1297</v>
      </c>
      <c r="K306" s="53" t="s">
        <v>1298</v>
      </c>
      <c r="L306" s="78" t="s">
        <v>349</v>
      </c>
      <c r="M306" s="32" t="s">
        <v>1299</v>
      </c>
      <c r="N306">
        <v>532</v>
      </c>
      <c r="O306" t="str">
        <f t="shared" si="42"/>
        <v>EBTAQ25-01.148</v>
      </c>
      <c r="P306" t="str">
        <f t="shared" si="43"/>
        <v>MASAYU REGINA RAHMAH</v>
      </c>
      <c r="Q306" t="str">
        <f t="shared" si="44"/>
        <v>Perempuan</v>
      </c>
      <c r="R306" t="str">
        <f t="shared" si="45"/>
        <v>Demak</v>
      </c>
      <c r="S306" s="21">
        <f t="shared" si="46"/>
        <v>41951</v>
      </c>
      <c r="T306" t="str">
        <f t="shared" si="47"/>
        <v>Achmat Munif</v>
      </c>
      <c r="U306" t="str">
        <f t="shared" si="48"/>
        <v>Istiqomah</v>
      </c>
      <c r="V306" t="str">
        <f>VLOOKUP(O306,Lembar1!$A$4:$H$457,8,FALSE)</f>
        <v>BIO_Images/EBTAQ25-01.148.jpg</v>
      </c>
      <c r="W306" t="str">
        <f>IFERROR(VLOOKUP(O306,Lembar1!$A$4:$I$457,9,FALSE),C306)</f>
        <v>DEMAK - SDIT AZZAHRA</v>
      </c>
    </row>
    <row r="307" spans="1:23" ht="15.75" hidden="1" thickBot="1" x14ac:dyDescent="0.3">
      <c r="A307" s="49">
        <v>45999.561053240737</v>
      </c>
      <c r="B307" s="52" t="s">
        <v>10</v>
      </c>
      <c r="C307" s="5" t="s">
        <v>902</v>
      </c>
      <c r="D307" s="52" t="s">
        <v>359</v>
      </c>
      <c r="E307" s="52" t="s">
        <v>28</v>
      </c>
      <c r="F307" s="56">
        <v>42489</v>
      </c>
      <c r="G307" s="52" t="s">
        <v>360</v>
      </c>
      <c r="H307" s="52" t="s">
        <v>361</v>
      </c>
      <c r="I307" s="52" t="s">
        <v>2</v>
      </c>
      <c r="J307" s="59" t="s">
        <v>1308</v>
      </c>
      <c r="K307" s="52" t="s">
        <v>1309</v>
      </c>
      <c r="L307" s="77" t="s">
        <v>358</v>
      </c>
      <c r="M307" s="37" t="s">
        <v>1310</v>
      </c>
      <c r="N307">
        <v>533</v>
      </c>
      <c r="O307" t="str">
        <f t="shared" si="42"/>
        <v>EBTAQ25-01.150</v>
      </c>
      <c r="P307" t="str">
        <f t="shared" si="43"/>
        <v>ALESYA FATIM GHINARA</v>
      </c>
      <c r="Q307" t="str">
        <f t="shared" si="44"/>
        <v>Perempuan</v>
      </c>
      <c r="R307" t="str">
        <f t="shared" si="45"/>
        <v>DEMAK</v>
      </c>
      <c r="S307" s="21">
        <f t="shared" si="46"/>
        <v>42489</v>
      </c>
      <c r="T307" t="str">
        <f t="shared" si="47"/>
        <v>SURYO HADI WIBOWO</v>
      </c>
      <c r="U307" t="str">
        <f t="shared" si="48"/>
        <v>DHUROHMAH</v>
      </c>
      <c r="V307" t="str">
        <f>VLOOKUP(O307,Lembar1!$A$4:$H$457,8,FALSE)</f>
        <v>BIO_Images/EBTAQ25-01.150.jpg</v>
      </c>
      <c r="W307" t="str">
        <f>IFERROR(VLOOKUP(O307,Lembar1!$A$4:$I$457,9,FALSE),C307)</f>
        <v>DEMAK - SDIT AZZAHRA</v>
      </c>
    </row>
    <row r="308" spans="1:23" ht="15.75" hidden="1" thickBot="1" x14ac:dyDescent="0.3">
      <c r="A308" s="50">
        <v>45999.564456018517</v>
      </c>
      <c r="B308" s="53" t="s">
        <v>10</v>
      </c>
      <c r="C308" s="5" t="s">
        <v>902</v>
      </c>
      <c r="D308" s="53" t="s">
        <v>364</v>
      </c>
      <c r="E308" s="53" t="s">
        <v>365</v>
      </c>
      <c r="F308" s="57">
        <v>42382</v>
      </c>
      <c r="G308" s="53" t="s">
        <v>366</v>
      </c>
      <c r="H308" s="53" t="s">
        <v>367</v>
      </c>
      <c r="I308" s="53" t="s">
        <v>2</v>
      </c>
      <c r="J308" s="60" t="s">
        <v>1311</v>
      </c>
      <c r="K308" s="53" t="s">
        <v>1312</v>
      </c>
      <c r="L308" s="78" t="s">
        <v>363</v>
      </c>
      <c r="M308" s="32" t="s">
        <v>1313</v>
      </c>
      <c r="N308">
        <v>534</v>
      </c>
      <c r="O308" t="str">
        <f t="shared" si="42"/>
        <v>EBTAQ25-01.151</v>
      </c>
      <c r="P308" t="str">
        <f t="shared" si="43"/>
        <v>ELVIRA ZAHWA ALESHA</v>
      </c>
      <c r="Q308" t="str">
        <f t="shared" si="44"/>
        <v>Perempuan</v>
      </c>
      <c r="R308" t="str">
        <f t="shared" si="45"/>
        <v>KUDUS</v>
      </c>
      <c r="S308" s="21">
        <f t="shared" si="46"/>
        <v>42382</v>
      </c>
      <c r="T308" t="str">
        <f t="shared" si="47"/>
        <v>ROIS ALI SYAHBANA</v>
      </c>
      <c r="U308" t="str">
        <f t="shared" si="48"/>
        <v>LILIK MUSTAKFIROH</v>
      </c>
      <c r="V308" t="str">
        <f>VLOOKUP(O308,Lembar1!$A$4:$H$457,8,FALSE)</f>
        <v>BIO_Images/EBTAQ25-01.151.jpg</v>
      </c>
      <c r="W308" t="str">
        <f>IFERROR(VLOOKUP(O308,Lembar1!$A$4:$I$457,9,FALSE),C308)</f>
        <v>DEMAK - SDIT AZZAHRA</v>
      </c>
    </row>
    <row r="309" spans="1:23" ht="15.75" hidden="1" thickBot="1" x14ac:dyDescent="0.3">
      <c r="A309" s="49">
        <v>45999.568472222221</v>
      </c>
      <c r="B309" s="52" t="s">
        <v>10</v>
      </c>
      <c r="C309" s="5" t="s">
        <v>902</v>
      </c>
      <c r="D309" s="52" t="s">
        <v>370</v>
      </c>
      <c r="E309" s="52" t="s">
        <v>28</v>
      </c>
      <c r="F309" s="56">
        <v>41019</v>
      </c>
      <c r="G309" s="52" t="s">
        <v>371</v>
      </c>
      <c r="H309" s="52" t="s">
        <v>372</v>
      </c>
      <c r="I309" s="52" t="s">
        <v>2</v>
      </c>
      <c r="J309" s="59" t="s">
        <v>1314</v>
      </c>
      <c r="K309" s="52" t="s">
        <v>1315</v>
      </c>
      <c r="L309" s="77" t="s">
        <v>369</v>
      </c>
      <c r="M309" s="37" t="s">
        <v>1316</v>
      </c>
      <c r="N309">
        <v>535</v>
      </c>
      <c r="O309" t="str">
        <f t="shared" si="42"/>
        <v>EBTAQ25-01.152</v>
      </c>
      <c r="P309" t="str">
        <f t="shared" si="43"/>
        <v>ALYA APRIANA</v>
      </c>
      <c r="Q309" t="str">
        <f t="shared" si="44"/>
        <v>Perempuan</v>
      </c>
      <c r="R309" t="str">
        <f t="shared" si="45"/>
        <v>DEMAK</v>
      </c>
      <c r="S309" s="21">
        <f t="shared" si="46"/>
        <v>41019</v>
      </c>
      <c r="T309" t="str">
        <f t="shared" si="47"/>
        <v>DIDIK HARYANTO</v>
      </c>
      <c r="U309" t="str">
        <f t="shared" si="48"/>
        <v>HARDbANTI SETIYO UTAMI</v>
      </c>
      <c r="V309" t="str">
        <f>VLOOKUP(O309,Lembar1!$A$4:$H$457,8,FALSE)</f>
        <v>BIO_Images/EBTAQ25-01.152.jpg</v>
      </c>
      <c r="W309" t="str">
        <f>IFERROR(VLOOKUP(O309,Lembar1!$A$4:$I$457,9,FALSE),C309)</f>
        <v>DEMAK - SDIT AZZAHRA</v>
      </c>
    </row>
    <row r="310" spans="1:23" ht="15.75" hidden="1" thickBot="1" x14ac:dyDescent="0.3">
      <c r="A310" s="33">
        <v>45999.582627314812</v>
      </c>
      <c r="B310" s="34" t="s">
        <v>10</v>
      </c>
      <c r="C310" s="5" t="s">
        <v>902</v>
      </c>
      <c r="D310" s="34" t="s">
        <v>375</v>
      </c>
      <c r="E310" s="34" t="s">
        <v>28</v>
      </c>
      <c r="F310" s="35">
        <v>42161</v>
      </c>
      <c r="G310" s="34" t="s">
        <v>376</v>
      </c>
      <c r="H310" s="34" t="s">
        <v>377</v>
      </c>
      <c r="I310" s="34" t="s">
        <v>2</v>
      </c>
      <c r="J310" s="36" t="s">
        <v>1323</v>
      </c>
      <c r="K310" s="34" t="s">
        <v>1324</v>
      </c>
      <c r="L310" s="78" t="s">
        <v>374</v>
      </c>
      <c r="M310" s="37" t="s">
        <v>1325</v>
      </c>
      <c r="N310">
        <v>536</v>
      </c>
      <c r="O310" t="str">
        <f t="shared" si="42"/>
        <v>EBTAQ25-01.153</v>
      </c>
      <c r="P310" t="str">
        <f t="shared" si="43"/>
        <v>DANESH RAFASYA</v>
      </c>
      <c r="Q310" t="str">
        <f t="shared" si="44"/>
        <v>Perempuan</v>
      </c>
      <c r="R310" t="str">
        <f t="shared" si="45"/>
        <v>DEMAK</v>
      </c>
      <c r="S310" s="21">
        <f t="shared" si="46"/>
        <v>42161</v>
      </c>
      <c r="T310" t="str">
        <f t="shared" si="47"/>
        <v>CIPTO LEGOWO</v>
      </c>
      <c r="U310" t="str">
        <f t="shared" si="48"/>
        <v>ERNA TRI PUJIASTUTI</v>
      </c>
      <c r="V310" t="str">
        <f>VLOOKUP(O310,Lembar1!$A$4:$H$457,8,FALSE)</f>
        <v>BIO_Images/EBTAQ25-01.153.jpg</v>
      </c>
      <c r="W310" t="str">
        <f>IFERROR(VLOOKUP(O310,Lembar1!$A$4:$I$457,9,FALSE),C310)</f>
        <v>DEMAK - SDIT AZZAHRA</v>
      </c>
    </row>
    <row r="311" spans="1:23" ht="15.75" hidden="1" thickBot="1" x14ac:dyDescent="0.3">
      <c r="A311" s="28">
        <v>45999.586354166669</v>
      </c>
      <c r="B311" s="29" t="s">
        <v>10</v>
      </c>
      <c r="C311" s="5" t="s">
        <v>902</v>
      </c>
      <c r="D311" s="29" t="s">
        <v>380</v>
      </c>
      <c r="E311" s="29" t="s">
        <v>28</v>
      </c>
      <c r="F311" s="30">
        <v>41601</v>
      </c>
      <c r="G311" s="29" t="s">
        <v>381</v>
      </c>
      <c r="H311" s="29" t="s">
        <v>382</v>
      </c>
      <c r="I311" s="29" t="s">
        <v>2</v>
      </c>
      <c r="J311" s="31" t="s">
        <v>1326</v>
      </c>
      <c r="K311" s="29" t="s">
        <v>1327</v>
      </c>
      <c r="L311" s="77" t="s">
        <v>379</v>
      </c>
      <c r="M311" s="32" t="s">
        <v>1328</v>
      </c>
      <c r="N311">
        <v>537</v>
      </c>
      <c r="O311" t="str">
        <f t="shared" si="42"/>
        <v>EBTAQ25-01.154</v>
      </c>
      <c r="P311" t="str">
        <f t="shared" si="43"/>
        <v>NABILA INDAH PERMATA</v>
      </c>
      <c r="Q311" t="str">
        <f t="shared" si="44"/>
        <v>Perempuan</v>
      </c>
      <c r="R311" t="str">
        <f t="shared" si="45"/>
        <v>DEMAK</v>
      </c>
      <c r="S311" s="21">
        <f t="shared" si="46"/>
        <v>41601</v>
      </c>
      <c r="T311" t="str">
        <f t="shared" si="47"/>
        <v>SUBARI</v>
      </c>
      <c r="U311" t="str">
        <f t="shared" si="48"/>
        <v>NUR KHASANAH</v>
      </c>
      <c r="V311" t="str">
        <f>VLOOKUP(O311,Lembar1!$A$4:$H$457,8,FALSE)</f>
        <v>BIO_Images/EBTAQ25-01.154.jpg</v>
      </c>
      <c r="W311" t="str">
        <f>IFERROR(VLOOKUP(O311,Lembar1!$A$4:$I$457,9,FALSE),C311)</f>
        <v>DEMAK - SDIT AZZAHRA</v>
      </c>
    </row>
    <row r="312" spans="1:23" ht="15.75" hidden="1" thickBot="1" x14ac:dyDescent="0.3">
      <c r="A312" s="50">
        <v>45999.595324074071</v>
      </c>
      <c r="B312" s="53" t="s">
        <v>10</v>
      </c>
      <c r="C312" s="5" t="s">
        <v>902</v>
      </c>
      <c r="D312" s="53" t="s">
        <v>385</v>
      </c>
      <c r="E312" s="53" t="s">
        <v>28</v>
      </c>
      <c r="F312" s="57">
        <v>41616</v>
      </c>
      <c r="G312" s="53" t="s">
        <v>386</v>
      </c>
      <c r="H312" s="53" t="s">
        <v>387</v>
      </c>
      <c r="I312" s="53" t="s">
        <v>2</v>
      </c>
      <c r="J312" s="60" t="s">
        <v>1335</v>
      </c>
      <c r="K312" s="53" t="s">
        <v>1336</v>
      </c>
      <c r="L312" s="78" t="s">
        <v>384</v>
      </c>
      <c r="M312" s="32" t="s">
        <v>1337</v>
      </c>
      <c r="N312">
        <v>538</v>
      </c>
      <c r="O312" t="str">
        <f t="shared" si="42"/>
        <v>EBTAQ25-01.155</v>
      </c>
      <c r="P312" t="str">
        <f t="shared" si="43"/>
        <v>HAMDA SAKHIA ABDILLAH</v>
      </c>
      <c r="Q312" t="str">
        <f t="shared" si="44"/>
        <v>Perempuan</v>
      </c>
      <c r="R312" t="str">
        <f t="shared" si="45"/>
        <v>DEMAK</v>
      </c>
      <c r="S312" s="21">
        <f t="shared" si="46"/>
        <v>41616</v>
      </c>
      <c r="T312" t="str">
        <f t="shared" si="47"/>
        <v>RIF'AAN ABDILLAH</v>
      </c>
      <c r="U312" t="str">
        <f t="shared" si="48"/>
        <v>NUR HASANAH</v>
      </c>
      <c r="V312" t="str">
        <f>VLOOKUP(O312,Lembar1!$A$4:$H$457,8,FALSE)</f>
        <v>BIO_Images/EBTAQ25-01.155.jpg</v>
      </c>
      <c r="W312" t="str">
        <f>IFERROR(VLOOKUP(O312,Lembar1!$A$4:$I$457,9,FALSE),C312)</f>
        <v>DEMAK - SDIT AZZAHRA</v>
      </c>
    </row>
    <row r="313" spans="1:23" ht="15.75" hidden="1" thickBot="1" x14ac:dyDescent="0.3">
      <c r="A313" s="49">
        <v>45999.659560185188</v>
      </c>
      <c r="B313" s="52" t="s">
        <v>10</v>
      </c>
      <c r="C313" s="5" t="s">
        <v>902</v>
      </c>
      <c r="D313" s="52" t="s">
        <v>426</v>
      </c>
      <c r="E313" s="52" t="s">
        <v>28</v>
      </c>
      <c r="F313" s="56">
        <v>41634</v>
      </c>
      <c r="G313" s="52" t="s">
        <v>427</v>
      </c>
      <c r="H313" s="52" t="s">
        <v>428</v>
      </c>
      <c r="I313" s="52" t="s">
        <v>66</v>
      </c>
      <c r="J313" s="59" t="s">
        <v>1376</v>
      </c>
      <c r="K313" s="52" t="s">
        <v>1377</v>
      </c>
      <c r="L313" s="77" t="s">
        <v>425</v>
      </c>
      <c r="M313" s="37" t="s">
        <v>1378</v>
      </c>
      <c r="N313">
        <v>539</v>
      </c>
      <c r="O313" t="str">
        <f t="shared" si="42"/>
        <v>EBTAQ25-01.163</v>
      </c>
      <c r="P313" t="str">
        <f t="shared" si="43"/>
        <v>RAFA DANI PEDROSA</v>
      </c>
      <c r="Q313" t="str">
        <f t="shared" si="44"/>
        <v>Laki-laki</v>
      </c>
      <c r="R313" t="str">
        <f t="shared" si="45"/>
        <v>DEMAK</v>
      </c>
      <c r="S313" s="21">
        <f t="shared" si="46"/>
        <v>41634</v>
      </c>
      <c r="T313" t="str">
        <f t="shared" si="47"/>
        <v>MUSTAKIM</v>
      </c>
      <c r="U313" t="str">
        <f t="shared" si="48"/>
        <v>UMI MAGHFIROH</v>
      </c>
      <c r="V313" t="str">
        <f>VLOOKUP(O313,Lembar1!$A$4:$H$457,8,FALSE)</f>
        <v>BIO_Images/EBTAQ25-01.163.jpg</v>
      </c>
      <c r="W313" t="str">
        <f>IFERROR(VLOOKUP(O313,Lembar1!$A$4:$I$457,9,FALSE),C313)</f>
        <v>DEMAK - SDIT AZZAHRA</v>
      </c>
    </row>
    <row r="314" spans="1:23" ht="15.75" hidden="1" thickBot="1" x14ac:dyDescent="0.3">
      <c r="A314" s="50">
        <v>46000.407106481478</v>
      </c>
      <c r="B314" s="53" t="s">
        <v>10</v>
      </c>
      <c r="C314" s="5" t="s">
        <v>902</v>
      </c>
      <c r="D314" s="53" t="s">
        <v>533</v>
      </c>
      <c r="E314" s="53" t="s">
        <v>204</v>
      </c>
      <c r="F314" s="57">
        <v>41871</v>
      </c>
      <c r="G314" s="53" t="s">
        <v>534</v>
      </c>
      <c r="H314" s="53" t="s">
        <v>535</v>
      </c>
      <c r="I314" s="53" t="s">
        <v>2</v>
      </c>
      <c r="J314" s="60" t="s">
        <v>1480</v>
      </c>
      <c r="K314" s="53" t="s">
        <v>1481</v>
      </c>
      <c r="L314" s="78" t="s">
        <v>532</v>
      </c>
      <c r="M314" s="32" t="s">
        <v>1482</v>
      </c>
      <c r="N314">
        <v>540</v>
      </c>
      <c r="O314" t="str">
        <f t="shared" si="42"/>
        <v>EBTAQ25-01.180</v>
      </c>
      <c r="P314" t="str">
        <f t="shared" si="43"/>
        <v>ANINDITA FARADILLA ZALFA</v>
      </c>
      <c r="Q314" t="str">
        <f t="shared" si="44"/>
        <v>Perempuan</v>
      </c>
      <c r="R314" t="str">
        <f t="shared" si="45"/>
        <v>SEMARANG</v>
      </c>
      <c r="S314" s="21">
        <f t="shared" si="46"/>
        <v>41871</v>
      </c>
      <c r="T314" t="str">
        <f t="shared" si="47"/>
        <v>RIZA ZAENUDDIN</v>
      </c>
      <c r="U314" t="str">
        <f t="shared" si="48"/>
        <v>TITIK MUSTAQFIROH</v>
      </c>
      <c r="V314" t="str">
        <f>VLOOKUP(O314,Lembar1!$A$4:$H$457,8,FALSE)</f>
        <v>BIO_Images/EBTAQ25-01.180.jpg</v>
      </c>
      <c r="W314" t="str">
        <f>IFERROR(VLOOKUP(O314,Lembar1!$A$4:$I$457,9,FALSE),C314)</f>
        <v>DEMAK - SDIT AZZAHRA</v>
      </c>
    </row>
    <row r="315" spans="1:23" ht="15.75" hidden="1" thickBot="1" x14ac:dyDescent="0.3">
      <c r="A315" s="49">
        <v>46000.410995370374</v>
      </c>
      <c r="B315" s="52" t="s">
        <v>10</v>
      </c>
      <c r="C315" s="5" t="s">
        <v>902</v>
      </c>
      <c r="D315" s="52" t="s">
        <v>538</v>
      </c>
      <c r="E315" s="52" t="s">
        <v>28</v>
      </c>
      <c r="F315" s="56">
        <v>41895</v>
      </c>
      <c r="G315" s="52" t="s">
        <v>539</v>
      </c>
      <c r="H315" s="52" t="s">
        <v>540</v>
      </c>
      <c r="I315" s="52" t="s">
        <v>66</v>
      </c>
      <c r="J315" s="59" t="s">
        <v>1484</v>
      </c>
      <c r="K315" s="52" t="s">
        <v>1485</v>
      </c>
      <c r="L315" s="77" t="s">
        <v>537</v>
      </c>
      <c r="M315" s="37" t="s">
        <v>1486</v>
      </c>
      <c r="N315">
        <v>541</v>
      </c>
      <c r="O315" t="str">
        <f t="shared" si="42"/>
        <v>EBTAQ25-01.181</v>
      </c>
      <c r="P315" t="str">
        <f t="shared" si="43"/>
        <v>ARJUNA KHAIRY WICAKSONO</v>
      </c>
      <c r="Q315" t="str">
        <f t="shared" si="44"/>
        <v>Laki-laki</v>
      </c>
      <c r="R315" t="str">
        <f t="shared" si="45"/>
        <v>DEMAK</v>
      </c>
      <c r="S315" s="21">
        <f t="shared" si="46"/>
        <v>41895</v>
      </c>
      <c r="T315" t="str">
        <f t="shared" si="47"/>
        <v>GANJAR AGUNG WICAKSONO</v>
      </c>
      <c r="U315" t="str">
        <f t="shared" si="48"/>
        <v>VERA TRI YUIANTI</v>
      </c>
      <c r="V315" t="str">
        <f>VLOOKUP(O315,Lembar1!$A$4:$H$457,8,FALSE)</f>
        <v>BIO_Images/EBTAQ25-01.181.jpg</v>
      </c>
      <c r="W315" t="str">
        <f>IFERROR(VLOOKUP(O315,Lembar1!$A$4:$I$457,9,FALSE),C315)</f>
        <v>DEMAK - SDIT AZZAHRA</v>
      </c>
    </row>
    <row r="316" spans="1:23" ht="15.75" hidden="1" thickBot="1" x14ac:dyDescent="0.3">
      <c r="A316" s="33">
        <v>45999.509189814817</v>
      </c>
      <c r="B316" s="34" t="s">
        <v>10</v>
      </c>
      <c r="C316" s="34" t="s">
        <v>348</v>
      </c>
      <c r="D316" s="34" t="s">
        <v>344</v>
      </c>
      <c r="E316" s="34" t="s">
        <v>10</v>
      </c>
      <c r="F316" s="35">
        <v>43448</v>
      </c>
      <c r="G316" s="34" t="s">
        <v>345</v>
      </c>
      <c r="H316" s="34" t="s">
        <v>346</v>
      </c>
      <c r="I316" s="34" t="s">
        <v>66</v>
      </c>
      <c r="J316" s="36" t="s">
        <v>1293</v>
      </c>
      <c r="K316" s="34" t="s">
        <v>1294</v>
      </c>
      <c r="L316" s="78" t="s">
        <v>343</v>
      </c>
      <c r="M316" s="37" t="s">
        <v>1295</v>
      </c>
      <c r="N316">
        <v>542</v>
      </c>
      <c r="O316" t="str">
        <f t="shared" si="42"/>
        <v>EBTAQ25-01.147</v>
      </c>
      <c r="P316" t="str">
        <f t="shared" si="43"/>
        <v>Muhammad khoirul azam</v>
      </c>
      <c r="Q316" t="str">
        <f t="shared" si="44"/>
        <v>Laki-laki</v>
      </c>
      <c r="R316" t="str">
        <f t="shared" si="45"/>
        <v>Demak</v>
      </c>
      <c r="S316" s="21">
        <f t="shared" si="46"/>
        <v>43448</v>
      </c>
      <c r="T316" t="str">
        <f t="shared" si="47"/>
        <v>Subakir</v>
      </c>
      <c r="U316" t="str">
        <f t="shared" si="48"/>
        <v>Kusrini</v>
      </c>
      <c r="V316" t="str">
        <f>VLOOKUP(O316,Lembar1!$A$4:$H$457,8,FALSE)</f>
        <v>BIO_Images/EBTAQ25-01.147.jpg</v>
      </c>
      <c r="W316" t="str">
        <f>IFERROR(VLOOKUP(O316,Lembar1!$A$4:$I$457,9,FALSE),C316)</f>
        <v>Tpq Raudlatul muta'allimin</v>
      </c>
    </row>
    <row r="317" spans="1:23" ht="15.75" thickBot="1" x14ac:dyDescent="0.3">
      <c r="A317" s="72">
        <v>46000.745462962965</v>
      </c>
      <c r="B317" s="73" t="s">
        <v>1317</v>
      </c>
      <c r="C317" s="73" t="s">
        <v>511</v>
      </c>
      <c r="D317" s="73" t="s">
        <v>1779</v>
      </c>
      <c r="E317" s="73" t="s">
        <v>10</v>
      </c>
      <c r="F317" s="74">
        <v>41947</v>
      </c>
      <c r="G317" s="73" t="s">
        <v>1780</v>
      </c>
      <c r="H317" s="73" t="s">
        <v>1781</v>
      </c>
      <c r="I317" s="73" t="s">
        <v>66</v>
      </c>
      <c r="J317" s="75" t="s">
        <v>1782</v>
      </c>
      <c r="K317" s="73" t="s">
        <v>1783</v>
      </c>
      <c r="L317" s="80" t="s">
        <v>3077</v>
      </c>
      <c r="M317" s="71"/>
      <c r="N317">
        <v>612</v>
      </c>
      <c r="O317" t="str">
        <f t="shared" si="42"/>
        <v>EBTAQ25-04.028</v>
      </c>
      <c r="P317" t="str">
        <f t="shared" si="43"/>
        <v>Afham Ats Tsani Akmalun Nugroho</v>
      </c>
      <c r="Q317" t="str">
        <f t="shared" si="44"/>
        <v>Laki-laki</v>
      </c>
      <c r="R317" t="str">
        <f t="shared" si="45"/>
        <v>Demak</v>
      </c>
      <c r="S317" s="21">
        <f t="shared" si="46"/>
        <v>41947</v>
      </c>
      <c r="T317" t="str">
        <f t="shared" si="47"/>
        <v>Eriek Iryuanto Eko Nugroho</v>
      </c>
      <c r="U317" t="str">
        <f t="shared" si="48"/>
        <v>Nur Hidayah</v>
      </c>
      <c r="V317" t="e">
        <f>VLOOKUP(O317,Lembar1!$A$4:$H$457,8,FALSE)</f>
        <v>#N/A</v>
      </c>
      <c r="W317" t="str">
        <f>IFERROR(VLOOKUP(O317,Lembar1!$A$4:$I$457,9,FALSE),C317)</f>
        <v>Karangga - Miftahul Ulum</v>
      </c>
    </row>
    <row r="318" spans="1:23" ht="15.75" thickBot="1" x14ac:dyDescent="0.3">
      <c r="A318" s="67">
        <v>45999.893194444441</v>
      </c>
      <c r="B318" s="68" t="s">
        <v>1317</v>
      </c>
      <c r="C318" s="68" t="s">
        <v>484</v>
      </c>
      <c r="D318" s="68" t="s">
        <v>1423</v>
      </c>
      <c r="E318" s="68" t="s">
        <v>28</v>
      </c>
      <c r="F318" s="69">
        <v>41621</v>
      </c>
      <c r="G318" s="68" t="s">
        <v>1424</v>
      </c>
      <c r="H318" s="68" t="s">
        <v>1425</v>
      </c>
      <c r="I318" s="68" t="s">
        <v>66</v>
      </c>
      <c r="J318" s="70" t="s">
        <v>1426</v>
      </c>
      <c r="K318" s="68" t="s">
        <v>1427</v>
      </c>
      <c r="L318" s="79" t="s">
        <v>3052</v>
      </c>
      <c r="M318" s="71"/>
      <c r="N318">
        <v>579</v>
      </c>
      <c r="O318" t="str">
        <f t="shared" si="42"/>
        <v>EBTAQ25-04.003</v>
      </c>
      <c r="P318" t="str">
        <f t="shared" si="43"/>
        <v>AHMAD ALIN ATTAMAMI</v>
      </c>
      <c r="Q318" t="str">
        <f t="shared" si="44"/>
        <v>Laki-laki</v>
      </c>
      <c r="R318" t="str">
        <f t="shared" si="45"/>
        <v>DEMAK</v>
      </c>
      <c r="S318" s="21">
        <f t="shared" si="46"/>
        <v>41621</v>
      </c>
      <c r="T318" t="str">
        <f t="shared" si="47"/>
        <v>MAHMUD</v>
      </c>
      <c r="U318" t="str">
        <f t="shared" si="48"/>
        <v>EKO PRIYANTI</v>
      </c>
      <c r="V318" t="e">
        <f>VLOOKUP(O318,Lembar1!$A$4:$H$457,8,FALSE)</f>
        <v>#N/A</v>
      </c>
      <c r="W318" t="str">
        <f>IFERROR(VLOOKUP(O318,Lembar1!$A$4:$I$457,9,FALSE),C318)</f>
        <v>Karangga - Al Hikmah</v>
      </c>
    </row>
    <row r="319" spans="1:23" ht="15.75" thickBot="1" x14ac:dyDescent="0.3">
      <c r="A319" s="72">
        <v>45999.568807870368</v>
      </c>
      <c r="B319" s="73" t="s">
        <v>1317</v>
      </c>
      <c r="C319" s="73" t="s">
        <v>593</v>
      </c>
      <c r="D319" s="73" t="s">
        <v>1318</v>
      </c>
      <c r="E319" s="73" t="s">
        <v>10</v>
      </c>
      <c r="F319" s="74">
        <v>42281</v>
      </c>
      <c r="G319" s="73" t="s">
        <v>1319</v>
      </c>
      <c r="H319" s="73" t="s">
        <v>1320</v>
      </c>
      <c r="I319" s="73" t="s">
        <v>66</v>
      </c>
      <c r="J319" s="75" t="s">
        <v>1321</v>
      </c>
      <c r="K319" s="73" t="s">
        <v>1322</v>
      </c>
      <c r="L319" s="79" t="s">
        <v>3050</v>
      </c>
      <c r="M319" s="71"/>
      <c r="N319">
        <v>606</v>
      </c>
      <c r="O319" t="str">
        <f t="shared" si="42"/>
        <v>EBTAQ25-04.001</v>
      </c>
      <c r="P319" t="str">
        <f t="shared" si="43"/>
        <v>Ahmad anshori lubiz</v>
      </c>
      <c r="Q319" t="str">
        <f t="shared" si="44"/>
        <v>Laki-laki</v>
      </c>
      <c r="R319" t="str">
        <f t="shared" si="45"/>
        <v>Demak</v>
      </c>
      <c r="S319" s="21">
        <f t="shared" si="46"/>
        <v>42281</v>
      </c>
      <c r="T319" t="str">
        <f t="shared" si="47"/>
        <v>Abdul Latif</v>
      </c>
      <c r="U319" t="str">
        <f t="shared" si="48"/>
        <v>Farisatul muna</v>
      </c>
      <c r="V319" t="e">
        <f>VLOOKUP(O319,Lembar1!$A$4:$H$457,8,FALSE)</f>
        <v>#N/A</v>
      </c>
      <c r="W319" t="str">
        <f>IFERROR(VLOOKUP(O319,Lembar1!$A$4:$I$457,9,FALSE),C319)</f>
        <v>Karangga - Darul Hikam</v>
      </c>
    </row>
    <row r="320" spans="1:23" ht="15.75" thickBot="1" x14ac:dyDescent="0.3">
      <c r="A320" s="67">
        <v>45999.389027777775</v>
      </c>
      <c r="B320" s="68" t="s">
        <v>1153</v>
      </c>
      <c r="C320" s="68" t="s">
        <v>1238</v>
      </c>
      <c r="D320" s="68" t="s">
        <v>1239</v>
      </c>
      <c r="E320" s="68" t="s">
        <v>10</v>
      </c>
      <c r="F320" s="69">
        <v>42043</v>
      </c>
      <c r="G320" s="68" t="s">
        <v>1240</v>
      </c>
      <c r="H320" s="68" t="s">
        <v>1241</v>
      </c>
      <c r="I320" s="68" t="s">
        <v>66</v>
      </c>
      <c r="J320" s="70" t="s">
        <v>1242</v>
      </c>
      <c r="K320" s="68" t="s">
        <v>1243</v>
      </c>
      <c r="L320" s="79" t="s">
        <v>3023</v>
      </c>
      <c r="M320" s="71"/>
      <c r="N320">
        <v>562</v>
      </c>
      <c r="O320" t="str">
        <f t="shared" si="42"/>
        <v>EBTAQ25-03.112</v>
      </c>
      <c r="P320" t="str">
        <f t="shared" si="43"/>
        <v>Ahmad Ilham Nurul Fajar</v>
      </c>
      <c r="Q320" t="str">
        <f t="shared" si="44"/>
        <v>Laki-laki</v>
      </c>
      <c r="R320" t="str">
        <f t="shared" si="45"/>
        <v>Demak</v>
      </c>
      <c r="S320" s="21">
        <f t="shared" si="46"/>
        <v>42043</v>
      </c>
      <c r="T320" t="str">
        <f t="shared" si="47"/>
        <v>Nurul Dholam</v>
      </c>
      <c r="U320" t="str">
        <f t="shared" si="48"/>
        <v>Anisatuz Zahro</v>
      </c>
      <c r="V320" t="e">
        <f>VLOOKUP(O320,Lembar1!$A$4:$H$457,8,FALSE)</f>
        <v>#N/A</v>
      </c>
      <c r="W320" t="str">
        <f>IFERROR(VLOOKUP(O320,Lembar1!$A$4:$I$457,9,FALSE),C320)</f>
        <v>Dewoka - Nurus Shibyan</v>
      </c>
    </row>
    <row r="321" spans="1:23" ht="15.75" thickBot="1" x14ac:dyDescent="0.3">
      <c r="A321" s="72">
        <v>46000.464108796295</v>
      </c>
      <c r="B321" s="73" t="s">
        <v>1317</v>
      </c>
      <c r="C321" s="73" t="s">
        <v>484</v>
      </c>
      <c r="D321" s="73" t="s">
        <v>1501</v>
      </c>
      <c r="E321" s="73" t="s">
        <v>1502</v>
      </c>
      <c r="F321" s="74">
        <v>45722</v>
      </c>
      <c r="G321" s="73" t="s">
        <v>1503</v>
      </c>
      <c r="H321" s="73" t="s">
        <v>1504</v>
      </c>
      <c r="I321" s="73" t="s">
        <v>66</v>
      </c>
      <c r="J321" s="75" t="s">
        <v>1505</v>
      </c>
      <c r="K321" s="73" t="s">
        <v>1506</v>
      </c>
      <c r="L321" s="79" t="s">
        <v>3055</v>
      </c>
      <c r="M321" s="71"/>
      <c r="N321">
        <v>580</v>
      </c>
      <c r="O321" t="str">
        <f t="shared" si="42"/>
        <v>EBTAQ25-04.006</v>
      </c>
      <c r="P321" t="str">
        <f t="shared" si="43"/>
        <v>AHMAD SHIDIQ AL KARIM</v>
      </c>
      <c r="Q321" t="str">
        <f t="shared" si="44"/>
        <v>Laki-laki</v>
      </c>
      <c r="R321" t="str">
        <f t="shared" si="45"/>
        <v>SURODADI GAJAH DEMAK</v>
      </c>
      <c r="S321" s="21">
        <f t="shared" si="46"/>
        <v>45722</v>
      </c>
      <c r="T321" t="str">
        <f t="shared" si="47"/>
        <v>ABDUL KARIM</v>
      </c>
      <c r="U321" t="str">
        <f t="shared" si="48"/>
        <v>SITI SYARIAH</v>
      </c>
      <c r="V321" t="e">
        <f>VLOOKUP(O321,Lembar1!$A$4:$H$457,8,FALSE)</f>
        <v>#N/A</v>
      </c>
      <c r="W321" t="str">
        <f>IFERROR(VLOOKUP(O321,Lembar1!$A$4:$I$457,9,FALSE),C321)</f>
        <v>Karangga - Al Hikmah</v>
      </c>
    </row>
    <row r="322" spans="1:23" ht="15.75" thickBot="1" x14ac:dyDescent="0.3">
      <c r="A322" s="67">
        <v>46001.448773148149</v>
      </c>
      <c r="B322" s="68" t="s">
        <v>1317</v>
      </c>
      <c r="C322" s="68" t="s">
        <v>484</v>
      </c>
      <c r="D322" s="68" t="s">
        <v>1501</v>
      </c>
      <c r="E322" s="68" t="s">
        <v>28</v>
      </c>
      <c r="F322" s="69">
        <v>41704</v>
      </c>
      <c r="G322" s="68" t="s">
        <v>1503</v>
      </c>
      <c r="H322" s="68" t="s">
        <v>1504</v>
      </c>
      <c r="I322" s="68" t="s">
        <v>66</v>
      </c>
      <c r="J322" s="70" t="s">
        <v>2029</v>
      </c>
      <c r="K322" s="68" t="s">
        <v>1506</v>
      </c>
      <c r="L322" s="79" t="s">
        <v>3097</v>
      </c>
      <c r="M322" s="71"/>
      <c r="N322">
        <v>585</v>
      </c>
      <c r="O322" t="str">
        <f t="shared" si="42"/>
        <v>EBTAQ25-04.048</v>
      </c>
      <c r="P322" t="str">
        <f t="shared" si="43"/>
        <v>AHMAD SHIDIQ AL KARIM</v>
      </c>
      <c r="Q322" t="str">
        <f t="shared" si="44"/>
        <v>Laki-laki</v>
      </c>
      <c r="R322" t="str">
        <f t="shared" si="45"/>
        <v>DEMAK</v>
      </c>
      <c r="S322" s="21">
        <f t="shared" si="46"/>
        <v>41704</v>
      </c>
      <c r="T322" t="str">
        <f t="shared" si="47"/>
        <v>ABDUL KARIM</v>
      </c>
      <c r="U322" t="str">
        <f t="shared" si="48"/>
        <v>SITI SYARIAH</v>
      </c>
      <c r="V322" t="e">
        <f>VLOOKUP(O322,Lembar1!$A$4:$H$457,8,FALSE)</f>
        <v>#N/A</v>
      </c>
      <c r="W322" t="str">
        <f>IFERROR(VLOOKUP(O322,Lembar1!$A$4:$I$457,9,FALSE),C322)</f>
        <v>Karangga - Al Hikmah</v>
      </c>
    </row>
    <row r="323" spans="1:23" ht="15.75" thickBot="1" x14ac:dyDescent="0.3">
      <c r="A323" s="72">
        <v>46001.457858796297</v>
      </c>
      <c r="B323" s="73" t="s">
        <v>1317</v>
      </c>
      <c r="C323" s="73" t="s">
        <v>484</v>
      </c>
      <c r="D323" s="73" t="s">
        <v>1501</v>
      </c>
      <c r="E323" s="73" t="s">
        <v>28</v>
      </c>
      <c r="F323" s="74">
        <v>41704</v>
      </c>
      <c r="G323" s="73" t="s">
        <v>1503</v>
      </c>
      <c r="H323" s="73" t="s">
        <v>1504</v>
      </c>
      <c r="I323" s="73" t="s">
        <v>66</v>
      </c>
      <c r="J323" s="75" t="s">
        <v>2046</v>
      </c>
      <c r="K323" s="73" t="s">
        <v>1506</v>
      </c>
      <c r="L323" s="79" t="s">
        <v>3099</v>
      </c>
      <c r="M323" s="71"/>
      <c r="N323">
        <v>586</v>
      </c>
      <c r="O323" t="str">
        <f t="shared" si="42"/>
        <v>EBTAQ25-04.050</v>
      </c>
      <c r="P323" t="str">
        <f t="shared" si="43"/>
        <v>AHMAD SHIDIQ AL KARIM</v>
      </c>
      <c r="Q323" t="str">
        <f t="shared" si="44"/>
        <v>Laki-laki</v>
      </c>
      <c r="R323" t="str">
        <f t="shared" si="45"/>
        <v>DEMAK</v>
      </c>
      <c r="S323" s="21">
        <f t="shared" si="46"/>
        <v>41704</v>
      </c>
      <c r="T323" t="str">
        <f t="shared" si="47"/>
        <v>ABDUL KARIM</v>
      </c>
      <c r="U323" t="str">
        <f t="shared" si="48"/>
        <v>SITI SYARIAH</v>
      </c>
      <c r="V323" t="e">
        <f>VLOOKUP(O323,Lembar1!$A$4:$H$457,8,FALSE)</f>
        <v>#N/A</v>
      </c>
      <c r="W323" t="str">
        <f>IFERROR(VLOOKUP(O323,Lembar1!$A$4:$I$457,9,FALSE),C323)</f>
        <v>Karangga - Al Hikmah</v>
      </c>
    </row>
    <row r="324" spans="1:23" ht="15.75" thickBot="1" x14ac:dyDescent="0.3">
      <c r="A324" s="67">
        <v>46001.532685185186</v>
      </c>
      <c r="B324" s="68" t="s">
        <v>1317</v>
      </c>
      <c r="C324" s="68" t="s">
        <v>484</v>
      </c>
      <c r="D324" s="68" t="s">
        <v>1501</v>
      </c>
      <c r="E324" s="68" t="s">
        <v>28</v>
      </c>
      <c r="F324" s="69">
        <v>41704</v>
      </c>
      <c r="G324" s="68" t="s">
        <v>1503</v>
      </c>
      <c r="H324" s="68" t="s">
        <v>1504</v>
      </c>
      <c r="I324" s="68" t="s">
        <v>66</v>
      </c>
      <c r="J324" s="70" t="s">
        <v>2156</v>
      </c>
      <c r="K324" s="68" t="s">
        <v>1506</v>
      </c>
      <c r="L324" s="79" t="s">
        <v>3106</v>
      </c>
      <c r="M324" s="71"/>
      <c r="N324">
        <v>591</v>
      </c>
      <c r="O324" t="str">
        <f t="shared" si="42"/>
        <v>EBTAQ25-04.057</v>
      </c>
      <c r="P324" t="str">
        <f t="shared" si="43"/>
        <v>AHMAD SHIDIQ AL KARIM</v>
      </c>
      <c r="Q324" t="str">
        <f t="shared" si="44"/>
        <v>Laki-laki</v>
      </c>
      <c r="R324" t="str">
        <f t="shared" si="45"/>
        <v>DEMAK</v>
      </c>
      <c r="S324" s="21">
        <f t="shared" si="46"/>
        <v>41704</v>
      </c>
      <c r="T324" t="str">
        <f t="shared" si="47"/>
        <v>ABDUL KARIM</v>
      </c>
      <c r="U324" t="str">
        <f t="shared" si="48"/>
        <v>SITI SYARIAH</v>
      </c>
      <c r="V324" t="e">
        <f>VLOOKUP(O324,Lembar1!$A$4:$H$457,8,FALSE)</f>
        <v>#N/A</v>
      </c>
      <c r="W324" t="str">
        <f>IFERROR(VLOOKUP(O324,Lembar1!$A$4:$I$457,9,FALSE),C324)</f>
        <v>Karangga - Al Hikmah</v>
      </c>
    </row>
    <row r="325" spans="1:23" ht="15.75" thickBot="1" x14ac:dyDescent="0.3">
      <c r="A325" s="72">
        <v>46001.243449074071</v>
      </c>
      <c r="B325" s="73" t="s">
        <v>1317</v>
      </c>
      <c r="C325" s="73" t="s">
        <v>484</v>
      </c>
      <c r="D325" s="73" t="s">
        <v>1974</v>
      </c>
      <c r="E325" s="73" t="s">
        <v>28</v>
      </c>
      <c r="F325" s="74">
        <v>41704</v>
      </c>
      <c r="G325" s="73" t="s">
        <v>1503</v>
      </c>
      <c r="H325" s="73" t="s">
        <v>1504</v>
      </c>
      <c r="I325" s="73" t="s">
        <v>66</v>
      </c>
      <c r="J325" s="75" t="s">
        <v>1975</v>
      </c>
      <c r="K325" s="73" t="s">
        <v>1976</v>
      </c>
      <c r="L325" s="79" t="s">
        <v>3096</v>
      </c>
      <c r="M325" s="71"/>
      <c r="N325">
        <v>584</v>
      </c>
      <c r="O325" t="str">
        <f t="shared" si="42"/>
        <v>EBTAQ25-04.047</v>
      </c>
      <c r="P325" t="str">
        <f t="shared" si="43"/>
        <v>AHMAD SHIDIQ ALKARIM</v>
      </c>
      <c r="Q325" t="str">
        <f t="shared" si="44"/>
        <v>Laki-laki</v>
      </c>
      <c r="R325" t="str">
        <f t="shared" si="45"/>
        <v>DEMAK</v>
      </c>
      <c r="S325" s="21">
        <f t="shared" si="46"/>
        <v>41704</v>
      </c>
      <c r="T325" t="str">
        <f t="shared" si="47"/>
        <v>ABDUL KARIM</v>
      </c>
      <c r="U325" t="str">
        <f t="shared" si="48"/>
        <v>SITI SYARIAH</v>
      </c>
      <c r="V325" t="e">
        <f>VLOOKUP(O325,Lembar1!$A$4:$H$457,8,FALSE)</f>
        <v>#N/A</v>
      </c>
      <c r="W325" t="str">
        <f>IFERROR(VLOOKUP(O325,Lembar1!$A$4:$I$457,9,FALSE),C325)</f>
        <v>Karangga - Al Hikmah</v>
      </c>
    </row>
    <row r="326" spans="1:23" ht="15.75" thickBot="1" x14ac:dyDescent="0.3">
      <c r="A326" s="67">
        <v>45999.589317129627</v>
      </c>
      <c r="B326" s="68" t="s">
        <v>1317</v>
      </c>
      <c r="C326" s="68" t="s">
        <v>593</v>
      </c>
      <c r="D326" s="68" t="s">
        <v>1329</v>
      </c>
      <c r="E326" s="68" t="s">
        <v>1330</v>
      </c>
      <c r="F326" s="69">
        <v>42837</v>
      </c>
      <c r="G326" s="68" t="s">
        <v>1331</v>
      </c>
      <c r="H326" s="68" t="s">
        <v>1332</v>
      </c>
      <c r="I326" s="68" t="s">
        <v>66</v>
      </c>
      <c r="J326" s="70" t="s">
        <v>1333</v>
      </c>
      <c r="K326" s="68" t="s">
        <v>1334</v>
      </c>
      <c r="L326" s="79" t="s">
        <v>3051</v>
      </c>
      <c r="M326" s="71"/>
      <c r="N326">
        <v>607</v>
      </c>
      <c r="O326" t="str">
        <f t="shared" si="42"/>
        <v>EBTAQ25-04.002</v>
      </c>
      <c r="P326" t="str">
        <f t="shared" si="43"/>
        <v>Ahmad Syariful Hikam</v>
      </c>
      <c r="Q326" t="str">
        <f t="shared" si="44"/>
        <v>Laki-laki</v>
      </c>
      <c r="R326" t="str">
        <f t="shared" si="45"/>
        <v>Wonorejo karang anyar Demak</v>
      </c>
      <c r="S326" s="21">
        <f t="shared" si="46"/>
        <v>42837</v>
      </c>
      <c r="T326" t="str">
        <f t="shared" si="47"/>
        <v>Kusmi'an</v>
      </c>
      <c r="U326" t="str">
        <f t="shared" si="48"/>
        <v>Isa murniasih</v>
      </c>
      <c r="V326" t="e">
        <f>VLOOKUP(O326,Lembar1!$A$4:$H$457,8,FALSE)</f>
        <v>#N/A</v>
      </c>
      <c r="W326" t="str">
        <f>IFERROR(VLOOKUP(O326,Lembar1!$A$4:$I$457,9,FALSE),C326)</f>
        <v>Karangga - Darul Hikam</v>
      </c>
    </row>
    <row r="327" spans="1:23" ht="15.75" thickBot="1" x14ac:dyDescent="0.3">
      <c r="A327" s="72">
        <v>45999.360659722224</v>
      </c>
      <c r="B327" s="73" t="s">
        <v>1153</v>
      </c>
      <c r="C327" s="73" t="s">
        <v>1190</v>
      </c>
      <c r="D327" s="73" t="s">
        <v>1212</v>
      </c>
      <c r="E327" s="73" t="s">
        <v>28</v>
      </c>
      <c r="F327" s="74">
        <v>41674</v>
      </c>
      <c r="G327" s="73" t="s">
        <v>1213</v>
      </c>
      <c r="H327" s="73" t="s">
        <v>1214</v>
      </c>
      <c r="I327" s="73" t="s">
        <v>2</v>
      </c>
      <c r="J327" s="75" t="s">
        <v>1215</v>
      </c>
      <c r="K327" s="73" t="s">
        <v>1216</v>
      </c>
      <c r="L327" s="79" t="s">
        <v>3020</v>
      </c>
      <c r="M327" s="71"/>
      <c r="N327">
        <v>559</v>
      </c>
      <c r="O327" t="str">
        <f t="shared" si="42"/>
        <v>EBTAQ25-03.109</v>
      </c>
      <c r="P327" t="str">
        <f t="shared" si="43"/>
        <v>AISYA IZZATUL ALISA</v>
      </c>
      <c r="Q327" t="str">
        <f t="shared" si="44"/>
        <v>Perempuan</v>
      </c>
      <c r="R327" t="str">
        <f t="shared" si="45"/>
        <v>DEMAK</v>
      </c>
      <c r="S327" s="21">
        <f t="shared" si="46"/>
        <v>41674</v>
      </c>
      <c r="T327" t="str">
        <f t="shared" si="47"/>
        <v>MOHAMAD ZAINAL ABIDIN</v>
      </c>
      <c r="U327" t="str">
        <f t="shared" si="48"/>
        <v>SITI RUMIYATI</v>
      </c>
      <c r="V327" t="e">
        <f>VLOOKUP(O327,Lembar1!$A$4:$H$457,8,FALSE)</f>
        <v>#N/A</v>
      </c>
      <c r="W327" t="str">
        <f>IFERROR(VLOOKUP(O327,Lembar1!$A$4:$I$457,9,FALSE),C327)</f>
        <v>Dewoka - Nurul Qur'an</v>
      </c>
    </row>
    <row r="328" spans="1:23" ht="15.75" thickBot="1" x14ac:dyDescent="0.3">
      <c r="A328" s="67">
        <v>46001.484456018516</v>
      </c>
      <c r="B328" s="68" t="s">
        <v>1317</v>
      </c>
      <c r="C328" s="68" t="s">
        <v>1907</v>
      </c>
      <c r="D328" s="68" t="s">
        <v>2080</v>
      </c>
      <c r="E328" s="68" t="s">
        <v>28</v>
      </c>
      <c r="F328" s="69">
        <v>41646</v>
      </c>
      <c r="G328" s="68" t="s">
        <v>2081</v>
      </c>
      <c r="H328" s="68" t="s">
        <v>2082</v>
      </c>
      <c r="I328" s="68" t="s">
        <v>2</v>
      </c>
      <c r="J328" s="70" t="s">
        <v>2083</v>
      </c>
      <c r="K328" s="68" t="s">
        <v>2084</v>
      </c>
      <c r="L328" s="79" t="s">
        <v>3101</v>
      </c>
      <c r="M328" s="71"/>
      <c r="N328">
        <v>642</v>
      </c>
      <c r="O328" t="str">
        <f t="shared" si="42"/>
        <v>EBTAQ25-04.052</v>
      </c>
      <c r="P328" t="str">
        <f t="shared" si="43"/>
        <v>AISYA SYAFA'ATUL MUKARROMAH</v>
      </c>
      <c r="Q328" t="str">
        <f t="shared" si="44"/>
        <v>Perempuan</v>
      </c>
      <c r="R328" t="str">
        <f t="shared" si="45"/>
        <v>DEMAK</v>
      </c>
      <c r="S328" s="21">
        <f t="shared" si="46"/>
        <v>41646</v>
      </c>
      <c r="T328" t="str">
        <f t="shared" si="47"/>
        <v>AHMAD ZAENI DAHLAN</v>
      </c>
      <c r="U328" t="str">
        <f t="shared" si="48"/>
        <v>CHARIROTUS SOLICHAH</v>
      </c>
      <c r="V328" t="e">
        <f>VLOOKUP(O328,Lembar1!$A$4:$H$457,8,FALSE)</f>
        <v>#N/A</v>
      </c>
      <c r="W328" t="str">
        <f>IFERROR(VLOOKUP(O328,Lembar1!$A$4:$I$457,9,FALSE),C328)</f>
        <v>Karangga - Nurul Huda Undaan Kidul</v>
      </c>
    </row>
    <row r="329" spans="1:23" ht="15.75" thickBot="1" x14ac:dyDescent="0.3">
      <c r="A329" s="72">
        <v>46001.472743055558</v>
      </c>
      <c r="B329" s="73" t="s">
        <v>1317</v>
      </c>
      <c r="C329" s="73" t="s">
        <v>484</v>
      </c>
      <c r="D329" s="73" t="s">
        <v>2062</v>
      </c>
      <c r="E329" s="73" t="s">
        <v>10</v>
      </c>
      <c r="F329" s="74">
        <v>41792</v>
      </c>
      <c r="G329" s="73" t="s">
        <v>2063</v>
      </c>
      <c r="H329" s="73" t="s">
        <v>2064</v>
      </c>
      <c r="I329" s="73" t="s">
        <v>2</v>
      </c>
      <c r="J329" s="75" t="s">
        <v>2065</v>
      </c>
      <c r="K329" s="73" t="s">
        <v>2066</v>
      </c>
      <c r="L329" s="79" t="s">
        <v>3100</v>
      </c>
      <c r="M329" s="71"/>
      <c r="N329">
        <v>587</v>
      </c>
      <c r="O329" t="str">
        <f t="shared" si="42"/>
        <v>EBTAQ25-04.051</v>
      </c>
      <c r="P329" t="str">
        <f t="shared" si="43"/>
        <v>Alfida Zahwa Awalia</v>
      </c>
      <c r="Q329" t="str">
        <f t="shared" si="44"/>
        <v>Perempuan</v>
      </c>
      <c r="R329" t="str">
        <f t="shared" si="45"/>
        <v>Demak</v>
      </c>
      <c r="S329" s="21">
        <f t="shared" si="46"/>
        <v>41792</v>
      </c>
      <c r="T329" t="str">
        <f t="shared" si="47"/>
        <v>Mualimin</v>
      </c>
      <c r="U329" t="str">
        <f t="shared" si="48"/>
        <v>Siti mas udah</v>
      </c>
      <c r="V329" t="e">
        <f>VLOOKUP(O329,Lembar1!$A$4:$H$457,8,FALSE)</f>
        <v>#N/A</v>
      </c>
      <c r="W329" t="str">
        <f>IFERROR(VLOOKUP(O329,Lembar1!$A$4:$I$457,9,FALSE),C329)</f>
        <v>Karangga - Al Hikmah</v>
      </c>
    </row>
    <row r="330" spans="1:23" ht="15.75" thickBot="1" x14ac:dyDescent="0.3">
      <c r="A330" s="67">
        <v>45999.699733796297</v>
      </c>
      <c r="B330" s="68" t="s">
        <v>1153</v>
      </c>
      <c r="C330" s="68" t="s">
        <v>256</v>
      </c>
      <c r="D330" s="68" t="s">
        <v>1390</v>
      </c>
      <c r="E330" s="68" t="s">
        <v>10</v>
      </c>
      <c r="F330" s="69">
        <v>41884</v>
      </c>
      <c r="G330" s="68" t="s">
        <v>1391</v>
      </c>
      <c r="H330" s="68" t="s">
        <v>1392</v>
      </c>
      <c r="I330" s="68" t="s">
        <v>66</v>
      </c>
      <c r="J330" s="70" t="s">
        <v>1393</v>
      </c>
      <c r="K330" s="68" t="s">
        <v>1394</v>
      </c>
      <c r="L330" s="79" t="s">
        <v>3032</v>
      </c>
      <c r="M330" s="71"/>
      <c r="N330">
        <v>567</v>
      </c>
      <c r="O330" t="str">
        <f t="shared" si="42"/>
        <v>EBTAQ25-03.121</v>
      </c>
      <c r="P330" t="str">
        <f t="shared" si="43"/>
        <v>Ali Ar Ridho</v>
      </c>
      <c r="Q330" t="str">
        <f t="shared" si="44"/>
        <v>Laki-laki</v>
      </c>
      <c r="R330" t="str">
        <f t="shared" si="45"/>
        <v>Demak</v>
      </c>
      <c r="S330" s="21">
        <f t="shared" si="46"/>
        <v>41884</v>
      </c>
      <c r="T330" t="str">
        <f t="shared" si="47"/>
        <v>Slamet Bidin</v>
      </c>
      <c r="U330" t="str">
        <f t="shared" si="48"/>
        <v>Hamidah</v>
      </c>
      <c r="V330" t="e">
        <f>VLOOKUP(O330,Lembar1!$A$4:$H$457,8,FALSE)</f>
        <v>#N/A</v>
      </c>
      <c r="W330" t="str">
        <f>IFERROR(VLOOKUP(O330,Lembar1!$A$4:$I$457,9,FALSE),C330)</f>
        <v>Dewoka - Nuzulur Rohmah</v>
      </c>
    </row>
    <row r="331" spans="1:23" ht="15.75" thickBot="1" x14ac:dyDescent="0.3">
      <c r="A331" s="72">
        <v>45995.388495370367</v>
      </c>
      <c r="B331" s="73" t="s">
        <v>998</v>
      </c>
      <c r="C331" s="73" t="s">
        <v>214</v>
      </c>
      <c r="D331" s="73" t="s">
        <v>1027</v>
      </c>
      <c r="E331" s="73" t="s">
        <v>10</v>
      </c>
      <c r="F331" s="74">
        <v>42109</v>
      </c>
      <c r="G331" s="73" t="s">
        <v>1028</v>
      </c>
      <c r="H331" s="73" t="s">
        <v>1029</v>
      </c>
      <c r="I331" s="73" t="s">
        <v>2</v>
      </c>
      <c r="J331" s="75" t="s">
        <v>1030</v>
      </c>
      <c r="K331" s="73" t="s">
        <v>1031</v>
      </c>
      <c r="L331" s="79" t="s">
        <v>3116</v>
      </c>
      <c r="M331" s="71"/>
      <c r="N331">
        <v>674</v>
      </c>
      <c r="O331" t="str">
        <f t="shared" si="42"/>
        <v>EBTAQ25-05.008</v>
      </c>
      <c r="P331" t="str">
        <f t="shared" si="43"/>
        <v>Alif Nur Zakiyyah Akhfi</v>
      </c>
      <c r="Q331" t="str">
        <f t="shared" si="44"/>
        <v>Perempuan</v>
      </c>
      <c r="R331" t="str">
        <f t="shared" si="45"/>
        <v>Demak</v>
      </c>
      <c r="S331" s="21">
        <f t="shared" si="46"/>
        <v>42109</v>
      </c>
      <c r="T331" t="str">
        <f t="shared" si="47"/>
        <v>Nur Sahid</v>
      </c>
      <c r="U331" t="str">
        <f t="shared" si="48"/>
        <v>Arni Ardiyawati</v>
      </c>
      <c r="V331" t="e">
        <f>VLOOKUP(O331,Lembar1!$A$4:$H$457,8,FALSE)</f>
        <v>#N/A</v>
      </c>
      <c r="W331" t="str">
        <f>IFERROR(VLOOKUP(O331,Lembar1!$A$4:$I$457,9,FALSE),C331)</f>
        <v>Karbon - TPQ Qurrotul 'Ain</v>
      </c>
    </row>
    <row r="332" spans="1:23" ht="15.75" thickBot="1" x14ac:dyDescent="0.3">
      <c r="A332" s="67">
        <v>45998.742962962962</v>
      </c>
      <c r="B332" s="68" t="s">
        <v>998</v>
      </c>
      <c r="C332" s="68" t="s">
        <v>214</v>
      </c>
      <c r="D332" s="68" t="s">
        <v>1123</v>
      </c>
      <c r="E332" s="68" t="s">
        <v>10</v>
      </c>
      <c r="F332" s="69">
        <v>42108</v>
      </c>
      <c r="G332" s="68" t="s">
        <v>1124</v>
      </c>
      <c r="H332" s="68" t="s">
        <v>1125</v>
      </c>
      <c r="I332" s="68" t="s">
        <v>2</v>
      </c>
      <c r="J332" s="70" t="s">
        <v>1126</v>
      </c>
      <c r="K332" s="68" t="s">
        <v>1127</v>
      </c>
      <c r="L332" s="79" t="s">
        <v>3128</v>
      </c>
      <c r="M332" s="71"/>
      <c r="N332">
        <v>679</v>
      </c>
      <c r="O332" t="str">
        <f t="shared" si="42"/>
        <v>EBTAQ25-05.020</v>
      </c>
      <c r="P332" t="str">
        <f t="shared" si="43"/>
        <v>Alif nur zakiyyah akhfi</v>
      </c>
      <c r="Q332" t="str">
        <f t="shared" si="44"/>
        <v>Perempuan</v>
      </c>
      <c r="R332" t="str">
        <f t="shared" si="45"/>
        <v>Demak</v>
      </c>
      <c r="S332" s="21">
        <f t="shared" si="46"/>
        <v>42108</v>
      </c>
      <c r="T332" t="str">
        <f t="shared" si="47"/>
        <v>Nur sahid</v>
      </c>
      <c r="U332" t="str">
        <f t="shared" si="48"/>
        <v>Arni ardiyawati</v>
      </c>
      <c r="V332" t="e">
        <f>VLOOKUP(O332,Lembar1!$A$4:$H$457,8,FALSE)</f>
        <v>#N/A</v>
      </c>
      <c r="W332" t="str">
        <f>IFERROR(VLOOKUP(O332,Lembar1!$A$4:$I$457,9,FALSE),C332)</f>
        <v>Karbon - TPQ Qurrotul 'Ain</v>
      </c>
    </row>
    <row r="333" spans="1:23" ht="15.75" thickBot="1" x14ac:dyDescent="0.3">
      <c r="A333" s="72">
        <v>46000.773125</v>
      </c>
      <c r="B333" s="73" t="s">
        <v>1153</v>
      </c>
      <c r="C333" s="73" t="s">
        <v>1534</v>
      </c>
      <c r="D333" s="73" t="s">
        <v>1822</v>
      </c>
      <c r="E333" s="73" t="s">
        <v>10</v>
      </c>
      <c r="F333" s="74">
        <v>42055</v>
      </c>
      <c r="G333" s="73" t="s">
        <v>1823</v>
      </c>
      <c r="H333" s="73" t="s">
        <v>1824</v>
      </c>
      <c r="I333" s="73" t="s">
        <v>2</v>
      </c>
      <c r="J333" s="75" t="s">
        <v>1825</v>
      </c>
      <c r="K333" s="73" t="s">
        <v>1826</v>
      </c>
      <c r="L333" s="79" t="s">
        <v>3046</v>
      </c>
      <c r="M333" s="71"/>
      <c r="N333">
        <v>553</v>
      </c>
      <c r="O333" t="str">
        <f t="shared" si="42"/>
        <v>EBTAQ25-03.135</v>
      </c>
      <c r="P333" t="str">
        <f t="shared" si="43"/>
        <v>Alifiya Nuril Ilma</v>
      </c>
      <c r="Q333" t="str">
        <f t="shared" si="44"/>
        <v>Perempuan</v>
      </c>
      <c r="R333" t="str">
        <f t="shared" si="45"/>
        <v>Demak</v>
      </c>
      <c r="S333" s="21">
        <f t="shared" si="46"/>
        <v>42055</v>
      </c>
      <c r="T333" t="str">
        <f t="shared" si="47"/>
        <v>Muhamad shokip</v>
      </c>
      <c r="U333" t="str">
        <f t="shared" si="48"/>
        <v>Sukris irnawati</v>
      </c>
      <c r="V333" t="e">
        <f>VLOOKUP(O333,Lembar1!$A$4:$H$457,8,FALSE)</f>
        <v>#N/A</v>
      </c>
      <c r="W333" t="str">
        <f>IFERROR(VLOOKUP(O333,Lembar1!$A$4:$I$457,9,FALSE),C333)</f>
        <v>Dewoka - Nurul Iman</v>
      </c>
    </row>
    <row r="334" spans="1:23" ht="15.75" thickBot="1" x14ac:dyDescent="0.3">
      <c r="A334" s="67">
        <v>45999.49324074074</v>
      </c>
      <c r="B334" s="68" t="s">
        <v>1153</v>
      </c>
      <c r="C334" s="68" t="s">
        <v>1260</v>
      </c>
      <c r="D334" s="68" t="s">
        <v>1279</v>
      </c>
      <c r="E334" s="68" t="s">
        <v>10</v>
      </c>
      <c r="F334" s="69">
        <v>43543</v>
      </c>
      <c r="G334" s="68" t="s">
        <v>1280</v>
      </c>
      <c r="H334" s="68" t="s">
        <v>1281</v>
      </c>
      <c r="I334" s="68" t="s">
        <v>2</v>
      </c>
      <c r="J334" s="70" t="s">
        <v>1282</v>
      </c>
      <c r="K334" s="68" t="s">
        <v>1283</v>
      </c>
      <c r="L334" s="79" t="s">
        <v>3026</v>
      </c>
      <c r="M334" s="71"/>
      <c r="N334">
        <v>574</v>
      </c>
      <c r="O334" t="str">
        <f t="shared" si="42"/>
        <v>EBTAQ25-03.115</v>
      </c>
      <c r="P334" t="str">
        <f t="shared" si="43"/>
        <v>Alma Putri Hanifa</v>
      </c>
      <c r="Q334" t="str">
        <f t="shared" si="44"/>
        <v>Perempuan</v>
      </c>
      <c r="R334" t="str">
        <f t="shared" si="45"/>
        <v>Demak</v>
      </c>
      <c r="S334" s="21">
        <f t="shared" si="46"/>
        <v>43543</v>
      </c>
      <c r="T334" t="str">
        <f t="shared" si="47"/>
        <v>Achmad Sodiq</v>
      </c>
      <c r="U334" t="str">
        <f t="shared" si="48"/>
        <v>Nurul Umah</v>
      </c>
      <c r="V334" t="e">
        <f>VLOOKUP(O334,Lembar1!$A$4:$H$457,8,FALSE)</f>
        <v>#N/A</v>
      </c>
      <c r="W334" t="str">
        <f>IFERROR(VLOOKUP(O334,Lembar1!$A$4:$I$457,9,FALSE),C334)</f>
        <v>Dewoka - Roudlotul Muta'allimin</v>
      </c>
    </row>
    <row r="335" spans="1:23" ht="15.75" thickBot="1" x14ac:dyDescent="0.3">
      <c r="A335" s="72">
        <v>46000.748229166667</v>
      </c>
      <c r="B335" s="73" t="s">
        <v>1317</v>
      </c>
      <c r="C335" s="73" t="s">
        <v>742</v>
      </c>
      <c r="D335" s="73" t="s">
        <v>667</v>
      </c>
      <c r="E335" s="73" t="s">
        <v>28</v>
      </c>
      <c r="F335" s="74">
        <v>42464</v>
      </c>
      <c r="G335" s="73" t="s">
        <v>668</v>
      </c>
      <c r="H335" s="73" t="s">
        <v>669</v>
      </c>
      <c r="I335" s="73" t="s">
        <v>2</v>
      </c>
      <c r="J335" s="75" t="s">
        <v>1787</v>
      </c>
      <c r="K335" s="73" t="s">
        <v>1788</v>
      </c>
      <c r="L335" s="79" t="s">
        <v>3078</v>
      </c>
      <c r="M335" s="71"/>
      <c r="N335">
        <v>603</v>
      </c>
      <c r="O335" t="str">
        <f t="shared" si="42"/>
        <v>EBTAQ25-04.029</v>
      </c>
      <c r="P335" t="str">
        <f t="shared" si="43"/>
        <v>AMIRA AINUN MAHYA</v>
      </c>
      <c r="Q335" t="str">
        <f t="shared" si="44"/>
        <v>Perempuan</v>
      </c>
      <c r="R335" t="str">
        <f t="shared" si="45"/>
        <v>DEMAK</v>
      </c>
      <c r="S335" s="21">
        <f t="shared" si="46"/>
        <v>42464</v>
      </c>
      <c r="T335" t="str">
        <f t="shared" si="47"/>
        <v>ZAENURI</v>
      </c>
      <c r="U335" t="str">
        <f t="shared" si="48"/>
        <v>TUMI HARYATUN</v>
      </c>
      <c r="V335" t="e">
        <f>VLOOKUP(O335,Lembar1!$A$4:$H$457,8,FALSE)</f>
        <v>#N/A</v>
      </c>
      <c r="W335" t="str">
        <f>IFERROR(VLOOKUP(O335,Lembar1!$A$4:$I$457,9,FALSE),C335)</f>
        <v>Karangga - Al Ijtihad Al Mubarok</v>
      </c>
    </row>
    <row r="336" spans="1:23" ht="15.75" thickBot="1" x14ac:dyDescent="0.3">
      <c r="A336" s="67">
        <v>46000.888969907406</v>
      </c>
      <c r="B336" s="68" t="s">
        <v>1317</v>
      </c>
      <c r="C336" s="68" t="s">
        <v>1907</v>
      </c>
      <c r="D336" s="68" t="s">
        <v>1921</v>
      </c>
      <c r="E336" s="68" t="s">
        <v>116</v>
      </c>
      <c r="F336" s="69">
        <v>42852</v>
      </c>
      <c r="G336" s="68" t="s">
        <v>1922</v>
      </c>
      <c r="H336" s="68" t="s">
        <v>1923</v>
      </c>
      <c r="I336" s="68" t="s">
        <v>2</v>
      </c>
      <c r="J336" s="70" t="s">
        <v>1924</v>
      </c>
      <c r="K336" s="68" t="s">
        <v>1925</v>
      </c>
      <c r="L336" s="79" t="s">
        <v>3089</v>
      </c>
      <c r="M336" s="71"/>
      <c r="N336">
        <v>638</v>
      </c>
      <c r="O336" t="str">
        <f t="shared" si="42"/>
        <v>EBTAQ25-04.040</v>
      </c>
      <c r="P336" t="str">
        <f t="shared" si="43"/>
        <v>Aprilia Hana Arsila</v>
      </c>
      <c r="Q336" t="str">
        <f t="shared" si="44"/>
        <v>Perempuan</v>
      </c>
      <c r="R336" t="str">
        <f t="shared" si="45"/>
        <v>Kudus</v>
      </c>
      <c r="S336" s="21">
        <f t="shared" si="46"/>
        <v>42852</v>
      </c>
      <c r="T336" t="str">
        <f t="shared" si="47"/>
        <v>Agus Sutomo</v>
      </c>
      <c r="U336" t="str">
        <f t="shared" si="48"/>
        <v>Aula Rizqina</v>
      </c>
      <c r="V336" t="e">
        <f>VLOOKUP(O336,Lembar1!$A$4:$H$457,8,FALSE)</f>
        <v>#N/A</v>
      </c>
      <c r="W336" t="str">
        <f>IFERROR(VLOOKUP(O336,Lembar1!$A$4:$I$457,9,FALSE),C336)</f>
        <v>Karangga - Nurul Huda Undaan Kidul</v>
      </c>
    </row>
    <row r="337" spans="1:23" ht="15.75" thickBot="1" x14ac:dyDescent="0.3">
      <c r="A337" s="72">
        <v>46001.841666666667</v>
      </c>
      <c r="B337" s="73" t="s">
        <v>1317</v>
      </c>
      <c r="C337" s="73" t="s">
        <v>854</v>
      </c>
      <c r="D337" s="73" t="s">
        <v>2904</v>
      </c>
      <c r="E337" s="73" t="s">
        <v>116</v>
      </c>
      <c r="F337" s="74">
        <v>42171</v>
      </c>
      <c r="G337" s="73" t="s">
        <v>2905</v>
      </c>
      <c r="H337" s="73" t="s">
        <v>2906</v>
      </c>
      <c r="I337" s="73" t="s">
        <v>2</v>
      </c>
      <c r="J337" s="75" t="s">
        <v>2907</v>
      </c>
      <c r="K337" s="73" t="s">
        <v>2908</v>
      </c>
      <c r="L337" s="79" t="s">
        <v>3113</v>
      </c>
      <c r="M337" s="71"/>
      <c r="N337">
        <v>577</v>
      </c>
      <c r="O337" t="str">
        <f t="shared" si="42"/>
        <v>EBTAQ25-04.064</v>
      </c>
      <c r="P337" t="str">
        <f t="shared" si="43"/>
        <v>AQILA SALMA WARDANI</v>
      </c>
      <c r="Q337" t="str">
        <f t="shared" si="44"/>
        <v>Perempuan</v>
      </c>
      <c r="R337" t="str">
        <f t="shared" si="45"/>
        <v>Kudus</v>
      </c>
      <c r="S337" s="21">
        <f t="shared" si="46"/>
        <v>42171</v>
      </c>
      <c r="T337" t="str">
        <f t="shared" si="47"/>
        <v>SUHARTOYO</v>
      </c>
      <c r="U337" t="str">
        <f t="shared" si="48"/>
        <v>NUR AENI</v>
      </c>
      <c r="V337" t="e">
        <f>VLOOKUP(O337,Lembar1!$A$4:$H$457,8,FALSE)</f>
        <v>#N/A</v>
      </c>
      <c r="W337" t="str">
        <f>IFERROR(VLOOKUP(O337,Lembar1!$A$4:$I$457,9,FALSE),C337)</f>
        <v>Karangga - Al Furqon</v>
      </c>
    </row>
    <row r="338" spans="1:23" ht="15.75" thickBot="1" x14ac:dyDescent="0.3">
      <c r="A338" s="67">
        <v>46000.715462962966</v>
      </c>
      <c r="B338" s="68" t="s">
        <v>1317</v>
      </c>
      <c r="C338" s="68" t="s">
        <v>742</v>
      </c>
      <c r="D338" s="68" t="s">
        <v>1729</v>
      </c>
      <c r="E338" s="68" t="s">
        <v>116</v>
      </c>
      <c r="F338" s="69">
        <v>42437</v>
      </c>
      <c r="G338" s="68" t="s">
        <v>1730</v>
      </c>
      <c r="H338" s="68" t="s">
        <v>1731</v>
      </c>
      <c r="I338" s="68" t="s">
        <v>2</v>
      </c>
      <c r="J338" s="70" t="s">
        <v>1732</v>
      </c>
      <c r="K338" s="68" t="s">
        <v>1733</v>
      </c>
      <c r="L338" s="79" t="s">
        <v>3069</v>
      </c>
      <c r="M338" s="71"/>
      <c r="N338">
        <v>598</v>
      </c>
      <c r="O338" t="str">
        <f t="shared" si="42"/>
        <v>EBTAQ25-04.020</v>
      </c>
      <c r="P338" t="str">
        <f t="shared" si="43"/>
        <v>AQILLA ARINARRUSYDAA</v>
      </c>
      <c r="Q338" t="str">
        <f t="shared" si="44"/>
        <v>Perempuan</v>
      </c>
      <c r="R338" t="str">
        <f t="shared" si="45"/>
        <v>Kudus</v>
      </c>
      <c r="S338" s="21">
        <f t="shared" si="46"/>
        <v>42437</v>
      </c>
      <c r="T338" t="str">
        <f t="shared" si="47"/>
        <v>Mahmud Zuhdi</v>
      </c>
      <c r="U338" t="str">
        <f t="shared" si="48"/>
        <v>Sahlatun</v>
      </c>
      <c r="V338" t="e">
        <f>VLOOKUP(O338,Lembar1!$A$4:$H$457,8,FALSE)</f>
        <v>#N/A</v>
      </c>
      <c r="W338" t="str">
        <f>IFERROR(VLOOKUP(O338,Lembar1!$A$4:$I$457,9,FALSE),C338)</f>
        <v>Karangga - Al Ijtihad Al Mubarok</v>
      </c>
    </row>
    <row r="339" spans="1:23" ht="15.75" thickBot="1" x14ac:dyDescent="0.3">
      <c r="A339" s="72">
        <v>45999.45753472222</v>
      </c>
      <c r="B339" s="73" t="s">
        <v>998</v>
      </c>
      <c r="C339" s="73" t="s">
        <v>1253</v>
      </c>
      <c r="D339" s="73" t="s">
        <v>1266</v>
      </c>
      <c r="E339" s="73" t="s">
        <v>1255</v>
      </c>
      <c r="F339" s="74">
        <v>40505</v>
      </c>
      <c r="G339" s="73" t="s">
        <v>1267</v>
      </c>
      <c r="H339" s="73" t="s">
        <v>1268</v>
      </c>
      <c r="I339" s="73" t="s">
        <v>728</v>
      </c>
      <c r="J339" s="75" t="s">
        <v>1269</v>
      </c>
      <c r="K339" s="73" t="s">
        <v>1270</v>
      </c>
      <c r="L339" s="79" t="s">
        <v>3138</v>
      </c>
      <c r="M339" s="71"/>
      <c r="N339">
        <v>651</v>
      </c>
      <c r="O339" t="str">
        <f t="shared" si="42"/>
        <v>EBTAQ25-05.030</v>
      </c>
      <c r="P339" t="str">
        <f t="shared" si="43"/>
        <v>ARINI KARTIKA PUTRI</v>
      </c>
      <c r="Q339" t="str">
        <f t="shared" si="44"/>
        <v>Laki-laki, Perempuan</v>
      </c>
      <c r="R339" t="str">
        <f t="shared" si="45"/>
        <v>GROBOGAN</v>
      </c>
      <c r="S339" s="21">
        <f t="shared" si="46"/>
        <v>40505</v>
      </c>
      <c r="T339" t="str">
        <f t="shared" si="47"/>
        <v>SAWIDI</v>
      </c>
      <c r="U339" t="str">
        <f t="shared" si="48"/>
        <v>SULISTYOWATI</v>
      </c>
      <c r="V339" t="e">
        <f>VLOOKUP(O339,Lembar1!$A$4:$H$457,8,FALSE)</f>
        <v>#N/A</v>
      </c>
      <c r="W339" t="str">
        <f>IFERROR(VLOOKUP(O339,Lembar1!$A$4:$I$457,9,FALSE),C339)</f>
        <v>Karbon - TPQ Asnawiyah</v>
      </c>
    </row>
    <row r="340" spans="1:23" ht="15.75" thickBot="1" x14ac:dyDescent="0.3">
      <c r="A340" s="67">
        <v>46000.718611111108</v>
      </c>
      <c r="B340" s="68" t="s">
        <v>1317</v>
      </c>
      <c r="C340" s="68" t="s">
        <v>742</v>
      </c>
      <c r="D340" s="68" t="s">
        <v>1742</v>
      </c>
      <c r="E340" s="68" t="s">
        <v>10</v>
      </c>
      <c r="F340" s="69">
        <v>42613</v>
      </c>
      <c r="G340" s="68" t="s">
        <v>1743</v>
      </c>
      <c r="H340" s="68" t="s">
        <v>1744</v>
      </c>
      <c r="I340" s="68" t="s">
        <v>2</v>
      </c>
      <c r="J340" s="70" t="s">
        <v>1745</v>
      </c>
      <c r="K340" s="68" t="s">
        <v>1746</v>
      </c>
      <c r="L340" s="79" t="s">
        <v>3071</v>
      </c>
      <c r="M340" s="71"/>
      <c r="N340">
        <v>600</v>
      </c>
      <c r="O340" t="str">
        <f t="shared" si="42"/>
        <v>EBTAQ25-04.022</v>
      </c>
      <c r="P340" t="str">
        <f t="shared" si="43"/>
        <v>Assyfa yusfina sandra</v>
      </c>
      <c r="Q340" t="str">
        <f t="shared" si="44"/>
        <v>Perempuan</v>
      </c>
      <c r="R340" t="str">
        <f t="shared" si="45"/>
        <v>Demak</v>
      </c>
      <c r="S340" s="21">
        <f t="shared" si="46"/>
        <v>42613</v>
      </c>
      <c r="T340" t="str">
        <f t="shared" si="47"/>
        <v>Faizun ulirosad</v>
      </c>
      <c r="U340" t="str">
        <f t="shared" si="48"/>
        <v>ikhwati</v>
      </c>
      <c r="V340" t="e">
        <f>VLOOKUP(O340,Lembar1!$A$4:$H$457,8,FALSE)</f>
        <v>#N/A</v>
      </c>
      <c r="W340" t="str">
        <f>IFERROR(VLOOKUP(O340,Lembar1!$A$4:$I$457,9,FALSE),C340)</f>
        <v>Karangga - Al Ijtihad Al Mubarok</v>
      </c>
    </row>
    <row r="341" spans="1:23" ht="15.75" thickBot="1" x14ac:dyDescent="0.3">
      <c r="A341" s="72">
        <v>45999.601631944446</v>
      </c>
      <c r="B341" s="73" t="s">
        <v>1153</v>
      </c>
      <c r="C341" s="73" t="s">
        <v>1534</v>
      </c>
      <c r="D341" s="73" t="s">
        <v>1347</v>
      </c>
      <c r="E341" s="73" t="s">
        <v>10</v>
      </c>
      <c r="F341" s="74">
        <v>42540</v>
      </c>
      <c r="G341" s="73" t="s">
        <v>1348</v>
      </c>
      <c r="H341" s="73" t="s">
        <v>1349</v>
      </c>
      <c r="I341" s="73" t="s">
        <v>2</v>
      </c>
      <c r="J341" s="75" t="s">
        <v>1350</v>
      </c>
      <c r="K341" s="73" t="s">
        <v>1351</v>
      </c>
      <c r="L341" s="79" t="s">
        <v>3029</v>
      </c>
      <c r="M341" s="71"/>
      <c r="N341">
        <v>543</v>
      </c>
      <c r="O341" t="str">
        <f t="shared" si="42"/>
        <v>EBTAQ25-03.118</v>
      </c>
      <c r="P341" t="str">
        <f t="shared" si="43"/>
        <v>Aufa Khuliyyatun Nisak</v>
      </c>
      <c r="Q341" t="str">
        <f t="shared" si="44"/>
        <v>Perempuan</v>
      </c>
      <c r="R341" t="str">
        <f t="shared" si="45"/>
        <v>Demak</v>
      </c>
      <c r="S341" s="21">
        <f t="shared" si="46"/>
        <v>42540</v>
      </c>
      <c r="T341" t="str">
        <f t="shared" si="47"/>
        <v>Ahmad Mualip</v>
      </c>
      <c r="U341" t="str">
        <f t="shared" si="48"/>
        <v>Ainur Rohmah</v>
      </c>
      <c r="V341" t="e">
        <f>VLOOKUP(O341,Lembar1!$A$4:$H$457,8,FALSE)</f>
        <v>#N/A</v>
      </c>
      <c r="W341" t="str">
        <f>IFERROR(VLOOKUP(O341,Lembar1!$A$4:$I$457,9,FALSE),C341)</f>
        <v>Dewoka - Nurul Iman</v>
      </c>
    </row>
    <row r="342" spans="1:23" ht="15.75" thickBot="1" x14ac:dyDescent="0.3">
      <c r="A342" s="67">
        <v>46000.808298611111</v>
      </c>
      <c r="B342" s="68" t="s">
        <v>1317</v>
      </c>
      <c r="C342" s="68" t="s">
        <v>593</v>
      </c>
      <c r="D342" s="68" t="s">
        <v>1872</v>
      </c>
      <c r="E342" s="68" t="s">
        <v>1873</v>
      </c>
      <c r="F342" s="69">
        <v>42198</v>
      </c>
      <c r="G342" s="68" t="s">
        <v>1874</v>
      </c>
      <c r="H342" s="68" t="s">
        <v>1875</v>
      </c>
      <c r="I342" s="68" t="s">
        <v>66</v>
      </c>
      <c r="J342" s="70" t="s">
        <v>1876</v>
      </c>
      <c r="K342" s="68" t="s">
        <v>1877</v>
      </c>
      <c r="L342" s="79" t="s">
        <v>3085</v>
      </c>
      <c r="M342" s="71"/>
      <c r="N342">
        <v>608</v>
      </c>
      <c r="O342" t="str">
        <f t="shared" si="42"/>
        <v>EBTAQ25-04.036</v>
      </c>
      <c r="P342" t="str">
        <f t="shared" si="43"/>
        <v>AURA SALMAN ALFARIZI</v>
      </c>
      <c r="Q342" t="str">
        <f t="shared" si="44"/>
        <v>Laki-laki</v>
      </c>
      <c r="R342" t="str">
        <f t="shared" si="45"/>
        <v>Blora</v>
      </c>
      <c r="S342" s="21">
        <f t="shared" si="46"/>
        <v>42198</v>
      </c>
      <c r="T342" t="str">
        <f t="shared" si="47"/>
        <v>Joko towo</v>
      </c>
      <c r="U342" t="str">
        <f t="shared" si="48"/>
        <v>Mei suci asmorowati</v>
      </c>
      <c r="V342" t="e">
        <f>VLOOKUP(O342,Lembar1!$A$4:$H$457,8,FALSE)</f>
        <v>#N/A</v>
      </c>
      <c r="W342" t="str">
        <f>IFERROR(VLOOKUP(O342,Lembar1!$A$4:$I$457,9,FALSE),C342)</f>
        <v>Karangga - Darul Hikam</v>
      </c>
    </row>
    <row r="343" spans="1:23" ht="15.75" thickBot="1" x14ac:dyDescent="0.3">
      <c r="A343" s="72">
        <v>46000.706250000003</v>
      </c>
      <c r="B343" s="73" t="s">
        <v>1153</v>
      </c>
      <c r="C343" s="73" t="s">
        <v>1665</v>
      </c>
      <c r="D343" s="73" t="s">
        <v>1714</v>
      </c>
      <c r="E343" s="73" t="s">
        <v>10</v>
      </c>
      <c r="F343" s="74">
        <v>42239</v>
      </c>
      <c r="G343" s="73" t="s">
        <v>1715</v>
      </c>
      <c r="H343" s="73" t="s">
        <v>1716</v>
      </c>
      <c r="I343" s="73" t="s">
        <v>2</v>
      </c>
      <c r="J343" s="75" t="s">
        <v>1717</v>
      </c>
      <c r="K343" s="73" t="s">
        <v>1718</v>
      </c>
      <c r="L343" s="79" t="s">
        <v>3044</v>
      </c>
      <c r="M343" s="71"/>
      <c r="N343">
        <v>547</v>
      </c>
      <c r="O343" t="str">
        <f t="shared" si="42"/>
        <v>EBTAQ25-03.133</v>
      </c>
      <c r="P343" t="str">
        <f t="shared" si="43"/>
        <v>Ayunda Bella Orlin</v>
      </c>
      <c r="Q343" t="str">
        <f t="shared" si="44"/>
        <v>Perempuan</v>
      </c>
      <c r="R343" t="str">
        <f t="shared" si="45"/>
        <v>Demak</v>
      </c>
      <c r="S343" s="21">
        <f t="shared" si="46"/>
        <v>42239</v>
      </c>
      <c r="T343" t="str">
        <f t="shared" si="47"/>
        <v>Mokhamad mustaqim</v>
      </c>
      <c r="U343" t="str">
        <f t="shared" si="48"/>
        <v>Mutriah</v>
      </c>
      <c r="V343" t="e">
        <f>VLOOKUP(O343,Lembar1!$A$4:$H$457,8,FALSE)</f>
        <v>#N/A</v>
      </c>
      <c r="W343" t="str">
        <f>IFERROR(VLOOKUP(O343,Lembar1!$A$4:$I$457,9,FALSE),C343)</f>
        <v>Dewoka - Assalamah</v>
      </c>
    </row>
    <row r="344" spans="1:23" ht="15.75" thickBot="1" x14ac:dyDescent="0.3">
      <c r="A344" s="67">
        <v>46000.69462962963</v>
      </c>
      <c r="B344" s="68" t="s">
        <v>1317</v>
      </c>
      <c r="C344" s="68" t="s">
        <v>742</v>
      </c>
      <c r="D344" s="68" t="s">
        <v>1684</v>
      </c>
      <c r="E344" s="68" t="s">
        <v>10</v>
      </c>
      <c r="F344" s="69">
        <v>41739</v>
      </c>
      <c r="G344" s="68" t="s">
        <v>1685</v>
      </c>
      <c r="H344" s="68" t="s">
        <v>1686</v>
      </c>
      <c r="I344" s="68" t="s">
        <v>2</v>
      </c>
      <c r="J344" s="70" t="s">
        <v>1687</v>
      </c>
      <c r="K344" s="68" t="s">
        <v>1688</v>
      </c>
      <c r="L344" s="79" t="s">
        <v>3065</v>
      </c>
      <c r="M344" s="71"/>
      <c r="N344">
        <v>594</v>
      </c>
      <c r="O344" t="str">
        <f t="shared" si="42"/>
        <v>EBTAQ25-04.016</v>
      </c>
      <c r="P344" t="str">
        <f t="shared" si="43"/>
        <v>AZHARA ARFIANI PUTRI</v>
      </c>
      <c r="Q344" t="str">
        <f t="shared" si="44"/>
        <v>Perempuan</v>
      </c>
      <c r="R344" t="str">
        <f t="shared" si="45"/>
        <v>Demak</v>
      </c>
      <c r="S344" s="21">
        <f t="shared" si="46"/>
        <v>41739</v>
      </c>
      <c r="T344" t="str">
        <f t="shared" si="47"/>
        <v>Rusmin</v>
      </c>
      <c r="U344" t="str">
        <f t="shared" si="48"/>
        <v>Siti Mugiroh</v>
      </c>
      <c r="V344" t="e">
        <f>VLOOKUP(O344,Lembar1!$A$4:$H$457,8,FALSE)</f>
        <v>#N/A</v>
      </c>
      <c r="W344" t="str">
        <f>IFERROR(VLOOKUP(O344,Lembar1!$A$4:$I$457,9,FALSE),C344)</f>
        <v>Karangga - Al Ijtihad Al Mubarok</v>
      </c>
    </row>
    <row r="345" spans="1:23" ht="15.75" thickBot="1" x14ac:dyDescent="0.3">
      <c r="A345" s="72">
        <v>46000.899050925924</v>
      </c>
      <c r="B345" s="73" t="s">
        <v>1317</v>
      </c>
      <c r="C345" s="73" t="s">
        <v>1907</v>
      </c>
      <c r="D345" s="73" t="s">
        <v>1936</v>
      </c>
      <c r="E345" s="73" t="s">
        <v>365</v>
      </c>
      <c r="F345" s="74">
        <v>42922</v>
      </c>
      <c r="G345" s="73" t="s">
        <v>1937</v>
      </c>
      <c r="H345" s="73" t="s">
        <v>1938</v>
      </c>
      <c r="I345" s="73" t="s">
        <v>2</v>
      </c>
      <c r="J345" s="75" t="s">
        <v>1939</v>
      </c>
      <c r="K345" s="73" t="s">
        <v>1940</v>
      </c>
      <c r="L345" s="79" t="s">
        <v>3092</v>
      </c>
      <c r="M345" s="71"/>
      <c r="N345">
        <v>640</v>
      </c>
      <c r="O345" t="str">
        <f t="shared" si="42"/>
        <v>EBTAQ25-04.043</v>
      </c>
      <c r="P345" t="str">
        <f t="shared" si="43"/>
        <v>AZIFA NAJMA HUMAIRO</v>
      </c>
      <c r="Q345" t="str">
        <f t="shared" si="44"/>
        <v>Perempuan</v>
      </c>
      <c r="R345" t="str">
        <f t="shared" si="45"/>
        <v>KUDUS</v>
      </c>
      <c r="S345" s="21">
        <f t="shared" si="46"/>
        <v>42922</v>
      </c>
      <c r="T345" t="str">
        <f t="shared" si="47"/>
        <v>ISKHAQ MULYONO</v>
      </c>
      <c r="U345" t="str">
        <f t="shared" si="48"/>
        <v>MU'AROFAH</v>
      </c>
      <c r="V345" t="e">
        <f>VLOOKUP(O345,Lembar1!$A$4:$H$457,8,FALSE)</f>
        <v>#N/A</v>
      </c>
      <c r="W345" t="str">
        <f>IFERROR(VLOOKUP(O345,Lembar1!$A$4:$I$457,9,FALSE),C345)</f>
        <v>Karangga - Nurul Huda Undaan Kidul</v>
      </c>
    </row>
    <row r="346" spans="1:23" ht="15.75" thickBot="1" x14ac:dyDescent="0.3">
      <c r="A346" s="67">
        <v>46000.906574074077</v>
      </c>
      <c r="B346" s="68" t="s">
        <v>1317</v>
      </c>
      <c r="C346" s="68" t="s">
        <v>1907</v>
      </c>
      <c r="D346" s="68" t="s">
        <v>1946</v>
      </c>
      <c r="E346" s="68" t="s">
        <v>1155</v>
      </c>
      <c r="F346" s="69">
        <v>43152</v>
      </c>
      <c r="G346" s="68" t="s">
        <v>1947</v>
      </c>
      <c r="H346" s="68" t="s">
        <v>1948</v>
      </c>
      <c r="I346" s="68" t="s">
        <v>2</v>
      </c>
      <c r="J346" s="70" t="s">
        <v>1949</v>
      </c>
      <c r="K346" s="68" t="s">
        <v>1950</v>
      </c>
      <c r="L346" s="79" t="s">
        <v>3094</v>
      </c>
      <c r="M346" s="71"/>
      <c r="N346">
        <v>641</v>
      </c>
      <c r="O346" t="str">
        <f t="shared" si="42"/>
        <v>EBTAQ25-04.045</v>
      </c>
      <c r="P346" t="str">
        <f t="shared" si="43"/>
        <v>AZIZAH KHOIRUN NISA</v>
      </c>
      <c r="Q346" t="str">
        <f t="shared" si="44"/>
        <v>Perempuan</v>
      </c>
      <c r="R346" t="str">
        <f t="shared" si="45"/>
        <v>Pati</v>
      </c>
      <c r="S346" s="21">
        <f t="shared" si="46"/>
        <v>43152</v>
      </c>
      <c r="T346" t="str">
        <f t="shared" si="47"/>
        <v>AH MUHTASOR AZIZ</v>
      </c>
      <c r="U346" t="str">
        <f t="shared" si="48"/>
        <v>SAYIDAH</v>
      </c>
      <c r="V346" t="e">
        <f>VLOOKUP(O346,Lembar1!$A$4:$H$457,8,FALSE)</f>
        <v>#N/A</v>
      </c>
      <c r="W346" t="str">
        <f>IFERROR(VLOOKUP(O346,Lembar1!$A$4:$I$457,9,FALSE),C346)</f>
        <v>Karangga - Nurul Huda Undaan Kidul</v>
      </c>
    </row>
    <row r="347" spans="1:23" ht="15.75" thickBot="1" x14ac:dyDescent="0.3">
      <c r="A347" s="72">
        <v>46000.712094907409</v>
      </c>
      <c r="B347" s="73" t="s">
        <v>1317</v>
      </c>
      <c r="C347" s="73" t="s">
        <v>742</v>
      </c>
      <c r="D347" s="73" t="s">
        <v>1724</v>
      </c>
      <c r="E347" s="73" t="s">
        <v>10</v>
      </c>
      <c r="F347" s="74">
        <v>42152</v>
      </c>
      <c r="G347" s="73" t="s">
        <v>1725</v>
      </c>
      <c r="H347" s="73" t="s">
        <v>1726</v>
      </c>
      <c r="I347" s="73" t="s">
        <v>2</v>
      </c>
      <c r="J347" s="75" t="s">
        <v>1727</v>
      </c>
      <c r="K347" s="73" t="s">
        <v>1728</v>
      </c>
      <c r="L347" s="79" t="s">
        <v>3068</v>
      </c>
      <c r="M347" s="71"/>
      <c r="N347">
        <v>597</v>
      </c>
      <c r="O347" t="str">
        <f t="shared" si="42"/>
        <v>EBTAQ25-04.019</v>
      </c>
      <c r="P347" t="str">
        <f t="shared" si="43"/>
        <v>AZZA KAMILIA</v>
      </c>
      <c r="Q347" t="str">
        <f t="shared" si="44"/>
        <v>Perempuan</v>
      </c>
      <c r="R347" t="str">
        <f t="shared" si="45"/>
        <v>Demak</v>
      </c>
      <c r="S347" s="21">
        <f t="shared" si="46"/>
        <v>42152</v>
      </c>
      <c r="T347" t="str">
        <f t="shared" si="47"/>
        <v>Moh.Ansyori</v>
      </c>
      <c r="U347" t="str">
        <f t="shared" si="48"/>
        <v>Khoirunisa</v>
      </c>
      <c r="V347" t="e">
        <f>VLOOKUP(O347,Lembar1!$A$4:$H$457,8,FALSE)</f>
        <v>#N/A</v>
      </c>
      <c r="W347" t="str">
        <f>IFERROR(VLOOKUP(O347,Lembar1!$A$4:$I$457,9,FALSE),C347)</f>
        <v>Karangga - Al Ijtihad Al Mubarok</v>
      </c>
    </row>
    <row r="348" spans="1:23" ht="15.75" thickBot="1" x14ac:dyDescent="0.3">
      <c r="A348" s="67">
        <v>46000.888472222221</v>
      </c>
      <c r="B348" s="68" t="s">
        <v>1317</v>
      </c>
      <c r="C348" s="68" t="s">
        <v>1807</v>
      </c>
      <c r="D348" s="68" t="s">
        <v>1916</v>
      </c>
      <c r="E348" s="68" t="s">
        <v>116</v>
      </c>
      <c r="F348" s="69">
        <v>42208</v>
      </c>
      <c r="G348" s="68" t="s">
        <v>1917</v>
      </c>
      <c r="H348" s="68" t="s">
        <v>1918</v>
      </c>
      <c r="I348" s="68" t="s">
        <v>2</v>
      </c>
      <c r="J348" s="70" t="s">
        <v>1919</v>
      </c>
      <c r="K348" s="68" t="s">
        <v>1920</v>
      </c>
      <c r="L348" s="79" t="s">
        <v>3088</v>
      </c>
      <c r="M348" s="71"/>
      <c r="N348">
        <v>619</v>
      </c>
      <c r="O348" t="str">
        <f t="shared" si="42"/>
        <v>EBTAQ25-04.039</v>
      </c>
      <c r="P348" t="str">
        <f t="shared" si="43"/>
        <v>AZZAHRA ASYILA RAHMA</v>
      </c>
      <c r="Q348" t="str">
        <f t="shared" si="44"/>
        <v>Perempuan</v>
      </c>
      <c r="R348" t="str">
        <f t="shared" si="45"/>
        <v>Kudus</v>
      </c>
      <c r="S348" s="21">
        <f t="shared" si="46"/>
        <v>42208</v>
      </c>
      <c r="T348" t="str">
        <f t="shared" si="47"/>
        <v>ROBI NOR ALFA</v>
      </c>
      <c r="U348" t="str">
        <f t="shared" si="48"/>
        <v>ENDANG WELASIH</v>
      </c>
      <c r="V348" t="e">
        <f>VLOOKUP(O348,Lembar1!$A$4:$H$457,8,FALSE)</f>
        <v>#N/A</v>
      </c>
      <c r="W348" t="str">
        <f>IFERROR(VLOOKUP(O348,Lembar1!$A$4:$I$457,9,FALSE),C348)</f>
        <v>Karangga - Miftahul Ulum,</v>
      </c>
    </row>
    <row r="349" spans="1:23" ht="15.75" thickBot="1" x14ac:dyDescent="0.3">
      <c r="A349" s="72">
        <v>46001.536678240744</v>
      </c>
      <c r="B349" s="73" t="s">
        <v>998</v>
      </c>
      <c r="C349" s="73" t="s">
        <v>319</v>
      </c>
      <c r="D349" s="73" t="s">
        <v>2170</v>
      </c>
      <c r="E349" s="73" t="s">
        <v>28</v>
      </c>
      <c r="F349" s="74">
        <v>40902</v>
      </c>
      <c r="G349" s="73" t="s">
        <v>2171</v>
      </c>
      <c r="H349" s="73" t="s">
        <v>2172</v>
      </c>
      <c r="I349" s="73" t="s">
        <v>66</v>
      </c>
      <c r="J349" s="75" t="s">
        <v>2173</v>
      </c>
      <c r="K349" s="73" t="s">
        <v>2174</v>
      </c>
      <c r="L349" s="79" t="s">
        <v>3148</v>
      </c>
      <c r="M349" s="71"/>
      <c r="N349">
        <v>648</v>
      </c>
      <c r="O349" t="str">
        <f t="shared" si="42"/>
        <v>EBTAQ25-05.040</v>
      </c>
      <c r="P349" t="str">
        <f t="shared" si="43"/>
        <v>AZZURA GIRI SAPUTRA</v>
      </c>
      <c r="Q349" t="str">
        <f t="shared" si="44"/>
        <v>Laki-laki</v>
      </c>
      <c r="R349" t="str">
        <f t="shared" si="45"/>
        <v>DEMAK</v>
      </c>
      <c r="S349" s="21">
        <f t="shared" si="46"/>
        <v>40902</v>
      </c>
      <c r="T349" t="str">
        <f t="shared" si="47"/>
        <v>BAMBANG SUDARMAJI</v>
      </c>
      <c r="U349" t="str">
        <f t="shared" si="48"/>
        <v>DARMIYATI</v>
      </c>
      <c r="V349" t="e">
        <f>VLOOKUP(O349,Lembar1!$A$4:$H$457,8,FALSE)</f>
        <v>#N/A</v>
      </c>
      <c r="W349" t="str">
        <f>IFERROR(VLOOKUP(O349,Lembar1!$A$4:$I$457,9,FALSE),C349)</f>
        <v>Karbon - Hidayatul Mubtadi'in</v>
      </c>
    </row>
    <row r="350" spans="1:23" ht="15.75" thickBot="1" x14ac:dyDescent="0.3">
      <c r="A350" s="67">
        <v>45999.350659722222</v>
      </c>
      <c r="B350" s="68" t="s">
        <v>1153</v>
      </c>
      <c r="C350" s="68" t="s">
        <v>1190</v>
      </c>
      <c r="D350" s="68" t="s">
        <v>1196</v>
      </c>
      <c r="E350" s="68" t="s">
        <v>28</v>
      </c>
      <c r="F350" s="69">
        <v>40962</v>
      </c>
      <c r="G350" s="68" t="s">
        <v>1197</v>
      </c>
      <c r="H350" s="68" t="s">
        <v>1198</v>
      </c>
      <c r="I350" s="68" t="s">
        <v>2</v>
      </c>
      <c r="J350" s="70" t="s">
        <v>1199</v>
      </c>
      <c r="K350" s="68" t="s">
        <v>1200</v>
      </c>
      <c r="L350" s="79" t="s">
        <v>3018</v>
      </c>
      <c r="M350" s="71"/>
      <c r="N350">
        <v>557</v>
      </c>
      <c r="O350" t="str">
        <f t="shared" si="42"/>
        <v>EBTAQ25-03.107</v>
      </c>
      <c r="P350" t="str">
        <f t="shared" si="43"/>
        <v>CINTYA FEBRIYANA SAPUTRI</v>
      </c>
      <c r="Q350" t="str">
        <f t="shared" si="44"/>
        <v>Perempuan</v>
      </c>
      <c r="R350" t="str">
        <f t="shared" si="45"/>
        <v>DEMAK</v>
      </c>
      <c r="S350" s="21">
        <f t="shared" si="46"/>
        <v>40962</v>
      </c>
      <c r="T350" t="str">
        <f t="shared" si="47"/>
        <v>AHMAD YASIN</v>
      </c>
      <c r="U350" t="str">
        <f t="shared" si="48"/>
        <v>SITI SUPRIYATI</v>
      </c>
      <c r="V350" t="e">
        <f>VLOOKUP(O350,Lembar1!$A$4:$H$457,8,FALSE)</f>
        <v>#N/A</v>
      </c>
      <c r="W350" t="str">
        <f>IFERROR(VLOOKUP(O350,Lembar1!$A$4:$I$457,9,FALSE),C350)</f>
        <v>Dewoka - Nurul Qur'an</v>
      </c>
    </row>
    <row r="351" spans="1:23" ht="15.75" thickBot="1" x14ac:dyDescent="0.3">
      <c r="A351" s="72">
        <v>46000.764398148145</v>
      </c>
      <c r="B351" s="73" t="s">
        <v>1317</v>
      </c>
      <c r="C351" s="73" t="s">
        <v>1807</v>
      </c>
      <c r="D351" s="73" t="s">
        <v>1808</v>
      </c>
      <c r="E351" s="73" t="s">
        <v>116</v>
      </c>
      <c r="F351" s="74">
        <v>42439</v>
      </c>
      <c r="G351" s="73" t="s">
        <v>1809</v>
      </c>
      <c r="H351" s="73" t="s">
        <v>1810</v>
      </c>
      <c r="I351" s="73" t="s">
        <v>2</v>
      </c>
      <c r="J351" s="75" t="s">
        <v>1811</v>
      </c>
      <c r="K351" s="73" t="s">
        <v>1812</v>
      </c>
      <c r="L351" s="80" t="s">
        <v>3079</v>
      </c>
      <c r="M351" s="71"/>
      <c r="N351">
        <v>618</v>
      </c>
      <c r="O351" t="str">
        <f t="shared" si="42"/>
        <v>EBTAQ25-04.030</v>
      </c>
      <c r="P351" t="str">
        <f t="shared" si="43"/>
        <v>Cintya risqi azalia</v>
      </c>
      <c r="Q351" t="str">
        <f t="shared" si="44"/>
        <v>Perempuan</v>
      </c>
      <c r="R351" t="str">
        <f t="shared" si="45"/>
        <v>Kudus</v>
      </c>
      <c r="S351" s="21">
        <f t="shared" si="46"/>
        <v>42439</v>
      </c>
      <c r="T351" t="str">
        <f t="shared" si="47"/>
        <v>Nurul anwar</v>
      </c>
      <c r="U351" t="str">
        <f t="shared" si="48"/>
        <v>Tutik wiyanti</v>
      </c>
      <c r="V351" t="e">
        <f>VLOOKUP(O351,Lembar1!$A$4:$H$457,8,FALSE)</f>
        <v>#N/A</v>
      </c>
      <c r="W351" t="str">
        <f>IFERROR(VLOOKUP(O351,Lembar1!$A$4:$I$457,9,FALSE),C351)</f>
        <v>Karangga - Miftahul Ulum,</v>
      </c>
    </row>
    <row r="352" spans="1:23" ht="15.75" thickBot="1" x14ac:dyDescent="0.3">
      <c r="A352" s="67">
        <v>46001.492939814816</v>
      </c>
      <c r="B352" s="68" t="s">
        <v>1317</v>
      </c>
      <c r="C352" s="68" t="s">
        <v>742</v>
      </c>
      <c r="D352" s="68" t="s">
        <v>2085</v>
      </c>
      <c r="E352" s="68" t="s">
        <v>2086</v>
      </c>
      <c r="F352" s="69">
        <v>42148</v>
      </c>
      <c r="G352" s="68" t="s">
        <v>2087</v>
      </c>
      <c r="H352" s="68" t="s">
        <v>2088</v>
      </c>
      <c r="I352" s="68" t="s">
        <v>66</v>
      </c>
      <c r="J352" s="70" t="s">
        <v>2089</v>
      </c>
      <c r="K352" s="68" t="s">
        <v>2090</v>
      </c>
      <c r="L352" s="80" t="s">
        <v>3102</v>
      </c>
      <c r="M352" s="71"/>
      <c r="N352">
        <v>605</v>
      </c>
      <c r="O352" t="str">
        <f t="shared" si="42"/>
        <v>EBTAQ25-04.053</v>
      </c>
      <c r="P352" t="str">
        <f t="shared" si="43"/>
        <v>Daffa Radinka Faustin</v>
      </c>
      <c r="Q352" t="str">
        <f t="shared" si="44"/>
        <v>Laki-laki</v>
      </c>
      <c r="R352" t="str">
        <f t="shared" si="45"/>
        <v>Tanjunganyar gajah demak</v>
      </c>
      <c r="S352" s="21">
        <f t="shared" si="46"/>
        <v>42148</v>
      </c>
      <c r="T352" t="str">
        <f t="shared" si="47"/>
        <v>Fuji santoso</v>
      </c>
      <c r="U352" t="str">
        <f t="shared" si="48"/>
        <v>Asih setyowati</v>
      </c>
      <c r="V352" t="e">
        <f>VLOOKUP(O352,Lembar1!$A$4:$H$457,8,FALSE)</f>
        <v>#N/A</v>
      </c>
      <c r="W352" t="str">
        <f>IFERROR(VLOOKUP(O352,Lembar1!$A$4:$I$457,9,FALSE),C352)</f>
        <v>Karangga - Al Ijtihad Al Mubarok</v>
      </c>
    </row>
    <row r="353" spans="1:23" ht="15.75" thickBot="1" x14ac:dyDescent="0.3">
      <c r="A353" s="72">
        <v>45995.551724537036</v>
      </c>
      <c r="B353" s="73" t="s">
        <v>998</v>
      </c>
      <c r="C353" s="73" t="s">
        <v>1038</v>
      </c>
      <c r="D353" s="73" t="s">
        <v>1053</v>
      </c>
      <c r="E353" s="73" t="s">
        <v>28</v>
      </c>
      <c r="F353" s="74">
        <v>42546</v>
      </c>
      <c r="G353" s="73" t="s">
        <v>1054</v>
      </c>
      <c r="H353" s="73" t="s">
        <v>1055</v>
      </c>
      <c r="I353" s="73" t="s">
        <v>2</v>
      </c>
      <c r="J353" s="75" t="s">
        <v>1056</v>
      </c>
      <c r="K353" s="73" t="s">
        <v>1057</v>
      </c>
      <c r="L353" s="80" t="s">
        <v>3120</v>
      </c>
      <c r="M353" s="71"/>
      <c r="N353">
        <v>665</v>
      </c>
      <c r="O353" t="str">
        <f t="shared" si="42"/>
        <v>EBTAQ25-05.012</v>
      </c>
      <c r="P353" t="str">
        <f t="shared" si="43"/>
        <v>DANISHA NAIRA NAJMI</v>
      </c>
      <c r="Q353" t="str">
        <f t="shared" si="44"/>
        <v>Perempuan</v>
      </c>
      <c r="R353" t="str">
        <f t="shared" si="45"/>
        <v>DEMAK</v>
      </c>
      <c r="S353" s="21">
        <f t="shared" si="46"/>
        <v>42546</v>
      </c>
      <c r="T353" t="str">
        <f t="shared" si="47"/>
        <v>MOH AGUS SALIM</v>
      </c>
      <c r="U353" t="str">
        <f t="shared" si="48"/>
        <v>NURUL KHOIRIYAH</v>
      </c>
      <c r="V353" t="e">
        <f>VLOOKUP(O353,Lembar1!$A$4:$H$457,8,FALSE)</f>
        <v>#N/A</v>
      </c>
      <c r="W353" t="str">
        <f>IFERROR(VLOOKUP(O353,Lembar1!$A$4:$I$457,9,FALSE),C353)</f>
        <v>Karbon - TPQ Nahdlotul Qur'an</v>
      </c>
    </row>
    <row r="354" spans="1:23" ht="15.75" thickBot="1" x14ac:dyDescent="0.3">
      <c r="A354" s="67">
        <v>46001.534328703703</v>
      </c>
      <c r="B354" s="68" t="s">
        <v>998</v>
      </c>
      <c r="C354" s="68" t="s">
        <v>1038</v>
      </c>
      <c r="D354" s="68" t="s">
        <v>2162</v>
      </c>
      <c r="E354" s="68" t="s">
        <v>402</v>
      </c>
      <c r="F354" s="69">
        <v>42546</v>
      </c>
      <c r="G354" s="68" t="s">
        <v>2163</v>
      </c>
      <c r="H354" s="68" t="s">
        <v>2164</v>
      </c>
      <c r="I354" s="68" t="s">
        <v>2</v>
      </c>
      <c r="J354" s="70" t="s">
        <v>2165</v>
      </c>
      <c r="K354" s="68" t="s">
        <v>1043</v>
      </c>
      <c r="L354" s="80" t="s">
        <v>3146</v>
      </c>
      <c r="M354" s="71"/>
      <c r="N354">
        <v>672</v>
      </c>
      <c r="O354" t="str">
        <f t="shared" si="42"/>
        <v>EBTAQ25-05.038</v>
      </c>
      <c r="P354" t="str">
        <f t="shared" si="43"/>
        <v>danisha naira najmi</v>
      </c>
      <c r="Q354" t="str">
        <f t="shared" si="44"/>
        <v>Perempuan</v>
      </c>
      <c r="R354" t="str">
        <f t="shared" si="45"/>
        <v>demak</v>
      </c>
      <c r="S354" s="21">
        <f t="shared" si="46"/>
        <v>42546</v>
      </c>
      <c r="T354" t="str">
        <f t="shared" si="47"/>
        <v>moh agus salim</v>
      </c>
      <c r="U354" t="str">
        <f t="shared" si="48"/>
        <v>nurul khoiriyah</v>
      </c>
      <c r="V354" t="e">
        <f>VLOOKUP(O354,Lembar1!$A$4:$H$457,8,FALSE)</f>
        <v>#N/A</v>
      </c>
      <c r="W354" t="str">
        <f>IFERROR(VLOOKUP(O354,Lembar1!$A$4:$I$457,9,FALSE),C354)</f>
        <v>Karbon - TPQ Nahdlotul Qur'an</v>
      </c>
    </row>
    <row r="355" spans="1:23" ht="15.75" thickBot="1" x14ac:dyDescent="0.3">
      <c r="A355" s="72">
        <v>46000.704768518517</v>
      </c>
      <c r="B355" s="73" t="s">
        <v>1317</v>
      </c>
      <c r="C355" s="73" t="s">
        <v>742</v>
      </c>
      <c r="D355" s="73" t="s">
        <v>1709</v>
      </c>
      <c r="E355" s="73" t="s">
        <v>10</v>
      </c>
      <c r="F355" s="74">
        <v>42708</v>
      </c>
      <c r="G355" s="73" t="s">
        <v>1710</v>
      </c>
      <c r="H355" s="73" t="s">
        <v>1711</v>
      </c>
      <c r="I355" s="73" t="s">
        <v>2</v>
      </c>
      <c r="J355" s="75" t="s">
        <v>1712</v>
      </c>
      <c r="K355" s="73" t="s">
        <v>1713</v>
      </c>
      <c r="L355" s="80" t="s">
        <v>3066</v>
      </c>
      <c r="M355" s="71"/>
      <c r="N355">
        <v>595</v>
      </c>
      <c r="O355" t="str">
        <f t="shared" ref="O355:O418" si="49">L355</f>
        <v>EBTAQ25-04.017</v>
      </c>
      <c r="P355" t="str">
        <f t="shared" ref="P355:P418" si="50">D355</f>
        <v>DESTI INTAN NUR AINI</v>
      </c>
      <c r="Q355" t="str">
        <f t="shared" ref="Q355:Q418" si="51">I355</f>
        <v>Perempuan</v>
      </c>
      <c r="R355" t="str">
        <f t="shared" ref="R355:R418" si="52">E355</f>
        <v>Demak</v>
      </c>
      <c r="S355" s="21">
        <f t="shared" ref="S355:S418" si="53">F355</f>
        <v>42708</v>
      </c>
      <c r="T355" t="str">
        <f t="shared" ref="T355:T418" si="54">G355</f>
        <v>Muhamad Saifudin</v>
      </c>
      <c r="U355" t="str">
        <f t="shared" ref="U355:U418" si="55">H355</f>
        <v>Minkhatun</v>
      </c>
      <c r="V355" t="e">
        <f>VLOOKUP(O355,Lembar1!$A$4:$H$457,8,FALSE)</f>
        <v>#N/A</v>
      </c>
      <c r="W355" t="str">
        <f>IFERROR(VLOOKUP(O355,Lembar1!$A$4:$I$457,9,FALSE),C355)</f>
        <v>Karangga - Al Ijtihad Al Mubarok</v>
      </c>
    </row>
    <row r="356" spans="1:23" ht="15.75" thickBot="1" x14ac:dyDescent="0.3">
      <c r="A356" s="67">
        <v>45998.761423611111</v>
      </c>
      <c r="B356" s="68" t="s">
        <v>998</v>
      </c>
      <c r="C356" s="68" t="s">
        <v>319</v>
      </c>
      <c r="D356" s="68" t="s">
        <v>1128</v>
      </c>
      <c r="E356" s="68" t="s">
        <v>10</v>
      </c>
      <c r="F356" s="69">
        <v>40836</v>
      </c>
      <c r="G356" s="68" t="s">
        <v>1129</v>
      </c>
      <c r="H356" s="68" t="s">
        <v>1130</v>
      </c>
      <c r="I356" s="68" t="s">
        <v>66</v>
      </c>
      <c r="J356" s="70" t="s">
        <v>1131</v>
      </c>
      <c r="K356" s="68" t="s">
        <v>1132</v>
      </c>
      <c r="L356" s="80" t="s">
        <v>3129</v>
      </c>
      <c r="M356" s="71"/>
      <c r="N356">
        <v>645</v>
      </c>
      <c r="O356" t="str">
        <f t="shared" si="49"/>
        <v>EBTAQ25-05.021</v>
      </c>
      <c r="P356" t="str">
        <f t="shared" si="50"/>
        <v>DIAS WAHYU PRATAMA</v>
      </c>
      <c r="Q356" t="str">
        <f t="shared" si="51"/>
        <v>Laki-laki</v>
      </c>
      <c r="R356" t="str">
        <f t="shared" si="52"/>
        <v>Demak</v>
      </c>
      <c r="S356" s="21">
        <f t="shared" si="53"/>
        <v>40836</v>
      </c>
      <c r="T356" t="str">
        <f t="shared" si="54"/>
        <v>Muhamad Nasi'in</v>
      </c>
      <c r="U356" t="str">
        <f t="shared" si="55"/>
        <v>Rondiyah</v>
      </c>
      <c r="V356" t="e">
        <f>VLOOKUP(O356,Lembar1!$A$4:$H$457,8,FALSE)</f>
        <v>#N/A</v>
      </c>
      <c r="W356" t="str">
        <f>IFERROR(VLOOKUP(O356,Lembar1!$A$4:$I$457,9,FALSE),C356)</f>
        <v>Karbon - Hidayatul Mubtadi'in</v>
      </c>
    </row>
    <row r="357" spans="1:23" ht="15.75" thickBot="1" x14ac:dyDescent="0.3">
      <c r="A357" s="72">
        <v>45999.617511574077</v>
      </c>
      <c r="B357" s="73" t="s">
        <v>1153</v>
      </c>
      <c r="C357" s="73" t="s">
        <v>256</v>
      </c>
      <c r="D357" s="73" t="s">
        <v>1352</v>
      </c>
      <c r="E357" s="73" t="s">
        <v>1353</v>
      </c>
      <c r="F357" s="74">
        <v>41984</v>
      </c>
      <c r="G357" s="73" t="s">
        <v>1354</v>
      </c>
      <c r="H357" s="73" t="s">
        <v>1355</v>
      </c>
      <c r="I357" s="73" t="s">
        <v>2</v>
      </c>
      <c r="J357" s="75" t="s">
        <v>1356</v>
      </c>
      <c r="K357" s="73" t="s">
        <v>1357</v>
      </c>
      <c r="L357" s="80" t="s">
        <v>3030</v>
      </c>
      <c r="M357" s="71"/>
      <c r="N357">
        <v>565</v>
      </c>
      <c r="O357" t="str">
        <f t="shared" si="49"/>
        <v>EBTAQ25-03.119</v>
      </c>
      <c r="P357" t="str">
        <f t="shared" si="50"/>
        <v>Dina putri auliya</v>
      </c>
      <c r="Q357" t="str">
        <f t="shared" si="51"/>
        <v>Perempuan</v>
      </c>
      <c r="R357" t="str">
        <f t="shared" si="52"/>
        <v>Demak, Sidomulyo</v>
      </c>
      <c r="S357" s="21">
        <f t="shared" si="53"/>
        <v>41984</v>
      </c>
      <c r="T357" t="str">
        <f t="shared" si="54"/>
        <v>Sujari</v>
      </c>
      <c r="U357" t="str">
        <f t="shared" si="55"/>
        <v>Ngatminah</v>
      </c>
      <c r="V357" t="e">
        <f>VLOOKUP(O357,Lembar1!$A$4:$H$457,8,FALSE)</f>
        <v>#N/A</v>
      </c>
      <c r="W357" t="str">
        <f>IFERROR(VLOOKUP(O357,Lembar1!$A$4:$I$457,9,FALSE),C357)</f>
        <v>Dewoka - Nuzulur Rohmah</v>
      </c>
    </row>
    <row r="358" spans="1:23" ht="15.75" thickBot="1" x14ac:dyDescent="0.3">
      <c r="A358" s="67">
        <v>46000.567384259259</v>
      </c>
      <c r="B358" s="68" t="s">
        <v>1153</v>
      </c>
      <c r="C358" s="68" t="s">
        <v>1534</v>
      </c>
      <c r="D358" s="68" t="s">
        <v>1545</v>
      </c>
      <c r="E358" s="68" t="s">
        <v>10</v>
      </c>
      <c r="F358" s="69">
        <v>42137</v>
      </c>
      <c r="G358" s="68" t="s">
        <v>1546</v>
      </c>
      <c r="H358" s="68" t="s">
        <v>1547</v>
      </c>
      <c r="I358" s="68" t="s">
        <v>2</v>
      </c>
      <c r="J358" s="70" t="s">
        <v>1548</v>
      </c>
      <c r="K358" s="68" t="s">
        <v>1549</v>
      </c>
      <c r="L358" s="80" t="s">
        <v>3039</v>
      </c>
      <c r="M358" s="71"/>
      <c r="N358">
        <v>550</v>
      </c>
      <c r="O358" t="str">
        <f t="shared" si="49"/>
        <v>EBTAQ25-03.128</v>
      </c>
      <c r="P358" t="str">
        <f t="shared" si="50"/>
        <v>DZAKIRA TALITA RAFANI</v>
      </c>
      <c r="Q358" t="str">
        <f t="shared" si="51"/>
        <v>Perempuan</v>
      </c>
      <c r="R358" t="str">
        <f t="shared" si="52"/>
        <v>Demak</v>
      </c>
      <c r="S358" s="21">
        <f t="shared" si="53"/>
        <v>42137</v>
      </c>
      <c r="T358" t="str">
        <f t="shared" si="54"/>
        <v>Purnomo</v>
      </c>
      <c r="U358" t="str">
        <f t="shared" si="55"/>
        <v>Ina Yatus Solekah</v>
      </c>
      <c r="V358" t="e">
        <f>VLOOKUP(O358,Lembar1!$A$4:$H$457,8,FALSE)</f>
        <v>#N/A</v>
      </c>
      <c r="W358" t="str">
        <f>IFERROR(VLOOKUP(O358,Lembar1!$A$4:$I$457,9,FALSE),C358)</f>
        <v>Dewoka - Nurul Iman</v>
      </c>
    </row>
    <row r="359" spans="1:23" ht="15.75" thickBot="1" x14ac:dyDescent="0.3">
      <c r="A359" s="72">
        <v>46000.535185185188</v>
      </c>
      <c r="B359" s="73" t="s">
        <v>1153</v>
      </c>
      <c r="C359" s="73" t="s">
        <v>1534</v>
      </c>
      <c r="D359" s="73" t="s">
        <v>1535</v>
      </c>
      <c r="E359" s="73" t="s">
        <v>10</v>
      </c>
      <c r="F359" s="74">
        <v>42118</v>
      </c>
      <c r="G359" s="73" t="s">
        <v>1536</v>
      </c>
      <c r="H359" s="73" t="s">
        <v>1537</v>
      </c>
      <c r="I359" s="73" t="s">
        <v>2</v>
      </c>
      <c r="J359" s="75" t="s">
        <v>1538</v>
      </c>
      <c r="K359" s="73" t="s">
        <v>1539</v>
      </c>
      <c r="L359" s="80" t="s">
        <v>3037</v>
      </c>
      <c r="M359" s="71"/>
      <c r="N359">
        <v>548</v>
      </c>
      <c r="O359" t="str">
        <f t="shared" si="49"/>
        <v>EBTAQ25-03.126</v>
      </c>
      <c r="P359" t="str">
        <f t="shared" si="50"/>
        <v>Earlyta Arsyfa Salsabila</v>
      </c>
      <c r="Q359" t="str">
        <f t="shared" si="51"/>
        <v>Perempuan</v>
      </c>
      <c r="R359" t="str">
        <f t="shared" si="52"/>
        <v>Demak</v>
      </c>
      <c r="S359" s="21">
        <f t="shared" si="53"/>
        <v>42118</v>
      </c>
      <c r="T359" t="str">
        <f t="shared" si="54"/>
        <v>Ngasiran</v>
      </c>
      <c r="U359" t="str">
        <f t="shared" si="55"/>
        <v>Siti Munafiah</v>
      </c>
      <c r="V359" t="e">
        <f>VLOOKUP(O359,Lembar1!$A$4:$H$457,8,FALSE)</f>
        <v>#N/A</v>
      </c>
      <c r="W359" t="str">
        <f>IFERROR(VLOOKUP(O359,Lembar1!$A$4:$I$457,9,FALSE),C359)</f>
        <v>Dewoka - Nurul Iman</v>
      </c>
    </row>
    <row r="360" spans="1:23" ht="15.75" thickBot="1" x14ac:dyDescent="0.3">
      <c r="A360" s="67">
        <v>45999.364212962966</v>
      </c>
      <c r="B360" s="68" t="s">
        <v>1153</v>
      </c>
      <c r="C360" s="68" t="s">
        <v>1190</v>
      </c>
      <c r="D360" s="68" t="s">
        <v>1222</v>
      </c>
      <c r="E360" s="68" t="s">
        <v>28</v>
      </c>
      <c r="F360" s="69">
        <v>41783</v>
      </c>
      <c r="G360" s="68" t="s">
        <v>1223</v>
      </c>
      <c r="H360" s="68" t="s">
        <v>1224</v>
      </c>
      <c r="I360" s="68" t="s">
        <v>2</v>
      </c>
      <c r="J360" s="70" t="s">
        <v>1225</v>
      </c>
      <c r="K360" s="68" t="s">
        <v>1226</v>
      </c>
      <c r="L360" s="80" t="s">
        <v>3022</v>
      </c>
      <c r="M360" s="71"/>
      <c r="N360">
        <v>561</v>
      </c>
      <c r="O360" t="str">
        <f t="shared" si="49"/>
        <v>EBTAQ25-03.111</v>
      </c>
      <c r="P360" t="str">
        <f t="shared" si="50"/>
        <v>ELISSA WILDA FATMA</v>
      </c>
      <c r="Q360" t="str">
        <f t="shared" si="51"/>
        <v>Perempuan</v>
      </c>
      <c r="R360" t="str">
        <f t="shared" si="52"/>
        <v>DEMAK</v>
      </c>
      <c r="S360" s="21">
        <f t="shared" si="53"/>
        <v>41783</v>
      </c>
      <c r="T360" t="str">
        <f t="shared" si="54"/>
        <v>MAULUDI</v>
      </c>
      <c r="U360" t="str">
        <f t="shared" si="55"/>
        <v>ANIS</v>
      </c>
      <c r="V360" t="e">
        <f>VLOOKUP(O360,Lembar1!$A$4:$H$457,8,FALSE)</f>
        <v>#N/A</v>
      </c>
      <c r="W360" t="str">
        <f>IFERROR(VLOOKUP(O360,Lembar1!$A$4:$I$457,9,FALSE),C360)</f>
        <v>Dewoka - Nurul Qur'an</v>
      </c>
    </row>
    <row r="361" spans="1:23" ht="15.75" thickBot="1" x14ac:dyDescent="0.3">
      <c r="A361" s="72">
        <v>46000.658587962964</v>
      </c>
      <c r="B361" s="73" t="s">
        <v>953</v>
      </c>
      <c r="C361" s="73" t="s">
        <v>609</v>
      </c>
      <c r="D361" s="73" t="s">
        <v>653</v>
      </c>
      <c r="E361" s="73" t="s">
        <v>10</v>
      </c>
      <c r="F361" s="74">
        <v>42056</v>
      </c>
      <c r="G361" s="73" t="s">
        <v>654</v>
      </c>
      <c r="H361" s="73" t="s">
        <v>655</v>
      </c>
      <c r="I361" s="73" t="s">
        <v>2</v>
      </c>
      <c r="J361" s="75" t="s">
        <v>1593</v>
      </c>
      <c r="K361" s="73" t="s">
        <v>1594</v>
      </c>
      <c r="L361" s="80" t="s">
        <v>3015</v>
      </c>
      <c r="M361" s="71"/>
      <c r="N361">
        <v>270</v>
      </c>
      <c r="O361" t="str">
        <f t="shared" si="49"/>
        <v>EBTAQ25-03.96</v>
      </c>
      <c r="P361" t="str">
        <f t="shared" si="50"/>
        <v>Elsa Aninandia</v>
      </c>
      <c r="Q361" t="str">
        <f t="shared" si="51"/>
        <v>Perempuan</v>
      </c>
      <c r="R361" t="str">
        <f t="shared" si="52"/>
        <v>Demak</v>
      </c>
      <c r="S361" s="21">
        <f t="shared" si="53"/>
        <v>42056</v>
      </c>
      <c r="T361" t="str">
        <f t="shared" si="54"/>
        <v>Suroso</v>
      </c>
      <c r="U361" t="str">
        <f t="shared" si="55"/>
        <v>Nikmatul Khikmah</v>
      </c>
      <c r="V361" s="90" t="e">
        <f>VLOOKUP(O361,Lembar1!$A$4:$H$457,8,FALSE)</f>
        <v>#N/A</v>
      </c>
      <c r="W361" t="str">
        <f>IFERROR(VLOOKUP(O361,Lembar1!$A$4:$I$457,9,FALSE),C361)</f>
        <v>BMW - Roudhotut Tholibin</v>
      </c>
    </row>
    <row r="362" spans="1:23" ht="15.75" thickBot="1" x14ac:dyDescent="0.3">
      <c r="A362" s="67">
        <v>45999.528321759259</v>
      </c>
      <c r="B362" s="68" t="s">
        <v>998</v>
      </c>
      <c r="C362" s="68" t="s">
        <v>319</v>
      </c>
      <c r="D362" s="68" t="s">
        <v>1300</v>
      </c>
      <c r="E362" s="68" t="s">
        <v>28</v>
      </c>
      <c r="F362" s="69">
        <v>40593</v>
      </c>
      <c r="G362" s="68" t="s">
        <v>1301</v>
      </c>
      <c r="H362" s="68" t="s">
        <v>1302</v>
      </c>
      <c r="I362" s="68" t="s">
        <v>66</v>
      </c>
      <c r="J362" s="70" t="s">
        <v>1303</v>
      </c>
      <c r="K362" s="68" t="s">
        <v>1304</v>
      </c>
      <c r="L362" s="80" t="s">
        <v>3139</v>
      </c>
      <c r="M362" s="71"/>
      <c r="N362">
        <v>646</v>
      </c>
      <c r="O362" t="str">
        <f t="shared" si="49"/>
        <v>EBTAQ25-05.031</v>
      </c>
      <c r="P362" t="str">
        <f t="shared" si="50"/>
        <v>FABIAN SATYA AJI NUGRAHA</v>
      </c>
      <c r="Q362" t="str">
        <f t="shared" si="51"/>
        <v>Laki-laki</v>
      </c>
      <c r="R362" t="str">
        <f t="shared" si="52"/>
        <v>DEMAK</v>
      </c>
      <c r="S362" s="21">
        <f t="shared" si="53"/>
        <v>40593</v>
      </c>
      <c r="T362" t="str">
        <f t="shared" si="54"/>
        <v>BUDI UTOMO</v>
      </c>
      <c r="U362" t="str">
        <f t="shared" si="55"/>
        <v>ETI YUNIA APITASARI</v>
      </c>
      <c r="V362" t="e">
        <f>VLOOKUP(O362,Lembar1!$A$4:$H$457,8,FALSE)</f>
        <v>#N/A</v>
      </c>
      <c r="W362" t="str">
        <f>IFERROR(VLOOKUP(O362,Lembar1!$A$4:$I$457,9,FALSE),C362)</f>
        <v>Karbon - Hidayatul Mubtadi'in</v>
      </c>
    </row>
    <row r="363" spans="1:23" ht="15.75" thickBot="1" x14ac:dyDescent="0.3">
      <c r="A363" s="72">
        <v>46000.781458333331</v>
      </c>
      <c r="B363" s="73" t="s">
        <v>1153</v>
      </c>
      <c r="C363" s="73" t="s">
        <v>1534</v>
      </c>
      <c r="D363" s="73" t="s">
        <v>1840</v>
      </c>
      <c r="E363" s="73" t="s">
        <v>10</v>
      </c>
      <c r="F363" s="74">
        <v>42420</v>
      </c>
      <c r="G363" s="73" t="s">
        <v>1541</v>
      </c>
      <c r="H363" s="73" t="s">
        <v>1542</v>
      </c>
      <c r="I363" s="73" t="s">
        <v>66</v>
      </c>
      <c r="J363" s="75" t="s">
        <v>1841</v>
      </c>
      <c r="K363" s="73" t="s">
        <v>1842</v>
      </c>
      <c r="L363" s="80" t="s">
        <v>3047</v>
      </c>
      <c r="M363" s="71"/>
      <c r="N363">
        <v>554</v>
      </c>
      <c r="O363" t="str">
        <f t="shared" si="49"/>
        <v>EBTAQ25-03.136</v>
      </c>
      <c r="P363" t="str">
        <f t="shared" si="50"/>
        <v>fahriza irsad malik</v>
      </c>
      <c r="Q363" t="str">
        <f t="shared" si="51"/>
        <v>Laki-laki</v>
      </c>
      <c r="R363" t="str">
        <f t="shared" si="52"/>
        <v>Demak</v>
      </c>
      <c r="S363" s="21">
        <f t="shared" si="53"/>
        <v>42420</v>
      </c>
      <c r="T363" t="str">
        <f t="shared" si="54"/>
        <v>Mustofa</v>
      </c>
      <c r="U363" t="str">
        <f t="shared" si="55"/>
        <v>Siti khotijah</v>
      </c>
      <c r="V363" t="e">
        <f>VLOOKUP(O363,Lembar1!$A$4:$H$457,8,FALSE)</f>
        <v>#N/A</v>
      </c>
      <c r="W363" t="str">
        <f>IFERROR(VLOOKUP(O363,Lembar1!$A$4:$I$457,9,FALSE),C363)</f>
        <v>Dewoka - Nurul Iman</v>
      </c>
    </row>
    <row r="364" spans="1:23" ht="15.75" thickBot="1" x14ac:dyDescent="0.3">
      <c r="A364" s="67">
        <v>46001.534328703703</v>
      </c>
      <c r="B364" s="68" t="s">
        <v>998</v>
      </c>
      <c r="C364" s="68" t="s">
        <v>319</v>
      </c>
      <c r="D364" s="68" t="s">
        <v>2157</v>
      </c>
      <c r="E364" s="68" t="s">
        <v>1255</v>
      </c>
      <c r="F364" s="69">
        <v>40708</v>
      </c>
      <c r="G364" s="68" t="s">
        <v>2158</v>
      </c>
      <c r="H364" s="68" t="s">
        <v>2159</v>
      </c>
      <c r="I364" s="68" t="s">
        <v>2</v>
      </c>
      <c r="J364" s="70" t="s">
        <v>2160</v>
      </c>
      <c r="K364" s="68" t="s">
        <v>2161</v>
      </c>
      <c r="L364" s="80" t="s">
        <v>3145</v>
      </c>
      <c r="M364" s="71"/>
      <c r="N364">
        <v>647</v>
      </c>
      <c r="O364" t="str">
        <f t="shared" si="49"/>
        <v>EBTAQ25-05.037</v>
      </c>
      <c r="P364" t="str">
        <f t="shared" si="50"/>
        <v>Farida layalil mahya</v>
      </c>
      <c r="Q364" t="str">
        <f t="shared" si="51"/>
        <v>Perempuan</v>
      </c>
      <c r="R364" t="str">
        <f t="shared" si="52"/>
        <v>GROBOGAN</v>
      </c>
      <c r="S364" s="21">
        <f t="shared" si="53"/>
        <v>40708</v>
      </c>
      <c r="T364" t="str">
        <f t="shared" si="54"/>
        <v>TIMIN</v>
      </c>
      <c r="U364" t="str">
        <f t="shared" si="55"/>
        <v>SUDARSIH</v>
      </c>
      <c r="V364" t="e">
        <f>VLOOKUP(O364,Lembar1!$A$4:$H$457,8,FALSE)</f>
        <v>#N/A</v>
      </c>
      <c r="W364" t="str">
        <f>IFERROR(VLOOKUP(O364,Lembar1!$A$4:$I$457,9,FALSE),C364)</f>
        <v>Karbon - Hidayatul Mubtadi'in</v>
      </c>
    </row>
    <row r="365" spans="1:23" ht="15.75" thickBot="1" x14ac:dyDescent="0.3">
      <c r="A365" s="72">
        <v>46000.619629629633</v>
      </c>
      <c r="B365" s="73" t="s">
        <v>1317</v>
      </c>
      <c r="C365" s="73" t="s">
        <v>473</v>
      </c>
      <c r="D365" s="73" t="s">
        <v>1559</v>
      </c>
      <c r="E365" s="73" t="s">
        <v>28</v>
      </c>
      <c r="F365" s="74">
        <v>42083</v>
      </c>
      <c r="G365" s="73" t="s">
        <v>1560</v>
      </c>
      <c r="H365" s="73" t="s">
        <v>1561</v>
      </c>
      <c r="I365" s="73" t="s">
        <v>66</v>
      </c>
      <c r="J365" s="75" t="s">
        <v>1562</v>
      </c>
      <c r="K365" s="73" t="s">
        <v>1563</v>
      </c>
      <c r="L365" s="80" t="s">
        <v>3057</v>
      </c>
      <c r="M365" s="71"/>
      <c r="N365">
        <v>621</v>
      </c>
      <c r="O365" t="str">
        <f t="shared" si="49"/>
        <v>EBTAQ25-04.008</v>
      </c>
      <c r="P365" t="str">
        <f t="shared" si="50"/>
        <v>FATHAN ARRIZAL RAHMAN</v>
      </c>
      <c r="Q365" t="str">
        <f t="shared" si="51"/>
        <v>Laki-laki</v>
      </c>
      <c r="R365" t="str">
        <f t="shared" si="52"/>
        <v>DEMAK</v>
      </c>
      <c r="S365" s="21">
        <f t="shared" si="53"/>
        <v>42083</v>
      </c>
      <c r="T365" t="str">
        <f t="shared" si="54"/>
        <v>NUROKHIM</v>
      </c>
      <c r="U365" t="str">
        <f t="shared" si="55"/>
        <v>NUNG FARIA</v>
      </c>
      <c r="V365" t="e">
        <f>VLOOKUP(O365,Lembar1!$A$4:$H$457,8,FALSE)</f>
        <v>#N/A</v>
      </c>
      <c r="W365" t="str">
        <f>IFERROR(VLOOKUP(O365,Lembar1!$A$4:$I$457,9,FALSE),C365)</f>
        <v>Karangga - Mubarokah</v>
      </c>
    </row>
    <row r="366" spans="1:23" ht="15.75" thickBot="1" x14ac:dyDescent="0.3">
      <c r="A366" s="67">
        <v>46000.670185185183</v>
      </c>
      <c r="B366" s="68" t="s">
        <v>1317</v>
      </c>
      <c r="C366" s="68" t="s">
        <v>473</v>
      </c>
      <c r="D366" s="68" t="s">
        <v>1606</v>
      </c>
      <c r="E366" s="68" t="s">
        <v>10</v>
      </c>
      <c r="F366" s="69">
        <v>42407</v>
      </c>
      <c r="G366" s="68" t="s">
        <v>1607</v>
      </c>
      <c r="H366" s="68" t="s">
        <v>1608</v>
      </c>
      <c r="I366" s="68" t="s">
        <v>66</v>
      </c>
      <c r="J366" s="70" t="s">
        <v>1609</v>
      </c>
      <c r="K366" s="68" t="s">
        <v>1610</v>
      </c>
      <c r="L366" s="80" t="s">
        <v>3060</v>
      </c>
      <c r="M366" s="71"/>
      <c r="N366">
        <v>623</v>
      </c>
      <c r="O366" t="str">
        <f t="shared" si="49"/>
        <v>EBTAQ25-04.011</v>
      </c>
      <c r="P366" t="str">
        <f t="shared" si="50"/>
        <v>Fawwazul Hafiz Hanif</v>
      </c>
      <c r="Q366" t="str">
        <f t="shared" si="51"/>
        <v>Laki-laki</v>
      </c>
      <c r="R366" t="str">
        <f t="shared" si="52"/>
        <v>Demak</v>
      </c>
      <c r="S366" s="21">
        <f t="shared" si="53"/>
        <v>42407</v>
      </c>
      <c r="T366" t="str">
        <f t="shared" si="54"/>
        <v>Santo</v>
      </c>
      <c r="U366" t="str">
        <f t="shared" si="55"/>
        <v>Eny Fatmawati</v>
      </c>
      <c r="V366" t="e">
        <f>VLOOKUP(O366,Lembar1!$A$4:$H$457,8,FALSE)</f>
        <v>#N/A</v>
      </c>
      <c r="W366" t="str">
        <f>IFERROR(VLOOKUP(O366,Lembar1!$A$4:$I$457,9,FALSE),C366)</f>
        <v>Karangga - Mubarokah</v>
      </c>
    </row>
    <row r="367" spans="1:23" ht="15.75" thickBot="1" x14ac:dyDescent="0.3">
      <c r="A367" s="72">
        <v>45999.358749999999</v>
      </c>
      <c r="B367" s="73" t="s">
        <v>1153</v>
      </c>
      <c r="C367" s="73" t="s">
        <v>1190</v>
      </c>
      <c r="D367" s="73" t="s">
        <v>1207</v>
      </c>
      <c r="E367" s="73" t="s">
        <v>28</v>
      </c>
      <c r="F367" s="74">
        <v>41907</v>
      </c>
      <c r="G367" s="73" t="s">
        <v>1208</v>
      </c>
      <c r="H367" s="73" t="s">
        <v>1209</v>
      </c>
      <c r="I367" s="73" t="s">
        <v>2</v>
      </c>
      <c r="J367" s="75" t="s">
        <v>1210</v>
      </c>
      <c r="K367" s="73" t="s">
        <v>1211</v>
      </c>
      <c r="L367" s="80" t="s">
        <v>3019</v>
      </c>
      <c r="M367" s="71"/>
      <c r="N367">
        <v>558</v>
      </c>
      <c r="O367" t="str">
        <f t="shared" si="49"/>
        <v>EBTAQ25-03.108</v>
      </c>
      <c r="P367" t="str">
        <f t="shared" si="50"/>
        <v>GITHA AZALIA</v>
      </c>
      <c r="Q367" t="str">
        <f t="shared" si="51"/>
        <v>Perempuan</v>
      </c>
      <c r="R367" t="str">
        <f t="shared" si="52"/>
        <v>DEMAK</v>
      </c>
      <c r="S367" s="21">
        <f t="shared" si="53"/>
        <v>41907</v>
      </c>
      <c r="T367" t="str">
        <f t="shared" si="54"/>
        <v>MAHMUDI</v>
      </c>
      <c r="U367" t="str">
        <f t="shared" si="55"/>
        <v>LIA KRISTIYANTI</v>
      </c>
      <c r="V367" t="e">
        <f>VLOOKUP(O367,Lembar1!$A$4:$H$457,8,FALSE)</f>
        <v>#N/A</v>
      </c>
      <c r="W367" t="str">
        <f>IFERROR(VLOOKUP(O367,Lembar1!$A$4:$I$457,9,FALSE),C367)</f>
        <v>Dewoka - Nurul Qur'an</v>
      </c>
    </row>
    <row r="368" spans="1:23" ht="15.75" thickBot="1" x14ac:dyDescent="0.3">
      <c r="A368" s="67">
        <v>46000.685787037037</v>
      </c>
      <c r="B368" s="68" t="s">
        <v>1317</v>
      </c>
      <c r="C368" s="68" t="s">
        <v>473</v>
      </c>
      <c r="D368" s="68" t="s">
        <v>1627</v>
      </c>
      <c r="E368" s="68" t="s">
        <v>10</v>
      </c>
      <c r="F368" s="69">
        <v>42193</v>
      </c>
      <c r="G368" s="68" t="s">
        <v>1628</v>
      </c>
      <c r="H368" s="68" t="s">
        <v>1629</v>
      </c>
      <c r="I368" s="68" t="s">
        <v>2</v>
      </c>
      <c r="J368" s="70" t="s">
        <v>1630</v>
      </c>
      <c r="K368" s="68" t="s">
        <v>1631</v>
      </c>
      <c r="L368" s="80" t="s">
        <v>3063</v>
      </c>
      <c r="M368" s="71"/>
      <c r="N368">
        <v>625</v>
      </c>
      <c r="O368" t="str">
        <f t="shared" si="49"/>
        <v>EBTAQ25-04.014</v>
      </c>
      <c r="P368" t="str">
        <f t="shared" si="50"/>
        <v>Hafizah Zahra Ramadhani</v>
      </c>
      <c r="Q368" t="str">
        <f t="shared" si="51"/>
        <v>Perempuan</v>
      </c>
      <c r="R368" t="str">
        <f t="shared" si="52"/>
        <v>Demak</v>
      </c>
      <c r="S368" s="21">
        <f t="shared" si="53"/>
        <v>42193</v>
      </c>
      <c r="T368" t="str">
        <f t="shared" si="54"/>
        <v>Munawar</v>
      </c>
      <c r="U368" t="str">
        <f t="shared" si="55"/>
        <v>Umi Rahmawati</v>
      </c>
      <c r="V368" t="e">
        <f>VLOOKUP(O368,Lembar1!$A$4:$H$457,8,FALSE)</f>
        <v>#N/A</v>
      </c>
      <c r="W368" t="str">
        <f>IFERROR(VLOOKUP(O368,Lembar1!$A$4:$I$457,9,FALSE),C368)</f>
        <v>Karangga - Mubarokah</v>
      </c>
    </row>
    <row r="369" spans="1:23" ht="15.75" thickBot="1" x14ac:dyDescent="0.3">
      <c r="A369" s="72">
        <v>46000.79109953704</v>
      </c>
      <c r="B369" s="73" t="s">
        <v>1317</v>
      </c>
      <c r="C369" s="73" t="s">
        <v>511</v>
      </c>
      <c r="D369" s="73" t="s">
        <v>1843</v>
      </c>
      <c r="E369" s="73" t="s">
        <v>116</v>
      </c>
      <c r="F369" s="74">
        <v>41770</v>
      </c>
      <c r="G369" s="73" t="s">
        <v>1844</v>
      </c>
      <c r="H369" s="73" t="s">
        <v>1845</v>
      </c>
      <c r="I369" s="73" t="s">
        <v>2</v>
      </c>
      <c r="J369" s="75" t="s">
        <v>1846</v>
      </c>
      <c r="K369" s="73" t="s">
        <v>1847</v>
      </c>
      <c r="L369" s="80" t="s">
        <v>3082</v>
      </c>
      <c r="M369" s="71"/>
      <c r="N369">
        <v>613</v>
      </c>
      <c r="O369" t="str">
        <f t="shared" si="49"/>
        <v>EBTAQ25-04.033</v>
      </c>
      <c r="P369" t="str">
        <f t="shared" si="50"/>
        <v>Hakima Ghaida Aqila</v>
      </c>
      <c r="Q369" t="str">
        <f t="shared" si="51"/>
        <v>Perempuan</v>
      </c>
      <c r="R369" t="str">
        <f t="shared" si="52"/>
        <v>Kudus</v>
      </c>
      <c r="S369" s="21">
        <f t="shared" si="53"/>
        <v>41770</v>
      </c>
      <c r="T369" t="str">
        <f t="shared" si="54"/>
        <v>Sudarsono</v>
      </c>
      <c r="U369" t="str">
        <f t="shared" si="55"/>
        <v>Siti rahmawati</v>
      </c>
      <c r="V369" t="e">
        <f>VLOOKUP(O369,Lembar1!$A$4:$H$457,8,FALSE)</f>
        <v>#N/A</v>
      </c>
      <c r="W369" t="str">
        <f>IFERROR(VLOOKUP(O369,Lembar1!$A$4:$I$457,9,FALSE),C369)</f>
        <v>Karangga - Miftahul Ulum</v>
      </c>
    </row>
    <row r="370" spans="1:23" ht="15.75" thickBot="1" x14ac:dyDescent="0.3">
      <c r="A370" s="67">
        <v>46001.852106481485</v>
      </c>
      <c r="B370" s="68" t="s">
        <v>1317</v>
      </c>
      <c r="C370" s="68" t="s">
        <v>511</v>
      </c>
      <c r="D370" s="68" t="s">
        <v>1843</v>
      </c>
      <c r="E370" s="68" t="s">
        <v>116</v>
      </c>
      <c r="F370" s="69">
        <v>41770</v>
      </c>
      <c r="G370" s="68" t="s">
        <v>1844</v>
      </c>
      <c r="H370" s="68" t="s">
        <v>2915</v>
      </c>
      <c r="I370" s="68" t="s">
        <v>2</v>
      </c>
      <c r="J370" s="70" t="s">
        <v>2916</v>
      </c>
      <c r="K370" s="68" t="s">
        <v>2917</v>
      </c>
      <c r="L370" s="80" t="s">
        <v>3114</v>
      </c>
      <c r="M370" s="71"/>
      <c r="N370">
        <v>617</v>
      </c>
      <c r="O370" t="str">
        <f t="shared" si="49"/>
        <v>EBTAQ25-04.065</v>
      </c>
      <c r="P370" t="str">
        <f t="shared" si="50"/>
        <v>Hakima Ghaida Aqila</v>
      </c>
      <c r="Q370" t="str">
        <f t="shared" si="51"/>
        <v>Perempuan</v>
      </c>
      <c r="R370" t="str">
        <f t="shared" si="52"/>
        <v>Kudus</v>
      </c>
      <c r="S370" s="21">
        <f t="shared" si="53"/>
        <v>41770</v>
      </c>
      <c r="T370" t="str">
        <f t="shared" si="54"/>
        <v>Sudarsono</v>
      </c>
      <c r="U370" t="str">
        <f t="shared" si="55"/>
        <v>Siti Rahmawati</v>
      </c>
      <c r="V370" t="e">
        <f>VLOOKUP(O370,Lembar1!$A$4:$H$457,8,FALSE)</f>
        <v>#N/A</v>
      </c>
      <c r="W370" t="str">
        <f>IFERROR(VLOOKUP(O370,Lembar1!$A$4:$I$457,9,FALSE),C370)</f>
        <v>Karangga - Miftahul Ulum</v>
      </c>
    </row>
    <row r="371" spans="1:23" ht="15.75" thickBot="1" x14ac:dyDescent="0.3">
      <c r="A371" s="72">
        <v>46000.692881944444</v>
      </c>
      <c r="B371" s="73" t="s">
        <v>1153</v>
      </c>
      <c r="C371" s="73" t="s">
        <v>1534</v>
      </c>
      <c r="D371" s="73" t="s">
        <v>1671</v>
      </c>
      <c r="E371" s="73" t="s">
        <v>10</v>
      </c>
      <c r="F371" s="74">
        <v>41436</v>
      </c>
      <c r="G371" s="73" t="s">
        <v>1672</v>
      </c>
      <c r="H371" s="73" t="s">
        <v>1673</v>
      </c>
      <c r="I371" s="73" t="s">
        <v>2</v>
      </c>
      <c r="J371" s="75" t="s">
        <v>1674</v>
      </c>
      <c r="K371" s="73" t="s">
        <v>1675</v>
      </c>
      <c r="L371" s="80" t="s">
        <v>3041</v>
      </c>
      <c r="M371" s="71"/>
      <c r="N371">
        <v>551</v>
      </c>
      <c r="O371" t="str">
        <f t="shared" si="49"/>
        <v>EBTAQ25-03.130</v>
      </c>
      <c r="P371" t="str">
        <f t="shared" si="50"/>
        <v>HANIFA NUR FIDA</v>
      </c>
      <c r="Q371" t="str">
        <f t="shared" si="51"/>
        <v>Perempuan</v>
      </c>
      <c r="R371" t="str">
        <f t="shared" si="52"/>
        <v>Demak</v>
      </c>
      <c r="S371" s="21">
        <f t="shared" si="53"/>
        <v>41436</v>
      </c>
      <c r="T371" t="str">
        <f t="shared" si="54"/>
        <v>Dwi Susanto</v>
      </c>
      <c r="U371" t="str">
        <f t="shared" si="55"/>
        <v>Siti Nurjanah</v>
      </c>
      <c r="V371" t="e">
        <f>VLOOKUP(O371,Lembar1!$A$4:$H$457,8,FALSE)</f>
        <v>#N/A</v>
      </c>
      <c r="W371" t="str">
        <f>IFERROR(VLOOKUP(O371,Lembar1!$A$4:$I$457,9,FALSE),C371)</f>
        <v>Dewoka - Nurul Iman</v>
      </c>
    </row>
    <row r="372" spans="1:23" ht="15.75" thickBot="1" x14ac:dyDescent="0.3">
      <c r="A372" s="67">
        <v>45999.599537037036</v>
      </c>
      <c r="B372" s="68" t="s">
        <v>1153</v>
      </c>
      <c r="C372" s="68" t="s">
        <v>256</v>
      </c>
      <c r="D372" s="68" t="s">
        <v>1341</v>
      </c>
      <c r="E372" s="68" t="s">
        <v>1342</v>
      </c>
      <c r="F372" s="69">
        <v>40962</v>
      </c>
      <c r="G372" s="68" t="s">
        <v>1343</v>
      </c>
      <c r="H372" s="68" t="s">
        <v>1344</v>
      </c>
      <c r="I372" s="68" t="s">
        <v>66</v>
      </c>
      <c r="J372" s="70" t="s">
        <v>1345</v>
      </c>
      <c r="K372" s="68" t="s">
        <v>1346</v>
      </c>
      <c r="L372" s="80" t="s">
        <v>3028</v>
      </c>
      <c r="M372" s="71"/>
      <c r="N372">
        <v>564</v>
      </c>
      <c r="O372" t="str">
        <f t="shared" si="49"/>
        <v>EBTAQ25-03.117</v>
      </c>
      <c r="P372" t="str">
        <f t="shared" si="50"/>
        <v>IKLIL HADAYA ASYROFI</v>
      </c>
      <c r="Q372" t="str">
        <f t="shared" si="51"/>
        <v>Laki-laki</v>
      </c>
      <c r="R372" t="str">
        <f t="shared" si="52"/>
        <v>Tanjungpinang</v>
      </c>
      <c r="S372" s="21">
        <f t="shared" si="53"/>
        <v>40962</v>
      </c>
      <c r="T372" t="str">
        <f t="shared" si="54"/>
        <v>PURWANTO</v>
      </c>
      <c r="U372" t="str">
        <f t="shared" si="55"/>
        <v>DEVI VITA YULIAWATI</v>
      </c>
      <c r="V372" t="e">
        <f>VLOOKUP(O372,Lembar1!$A$4:$H$457,8,FALSE)</f>
        <v>#N/A</v>
      </c>
      <c r="W372" t="str">
        <f>IFERROR(VLOOKUP(O372,Lembar1!$A$4:$I$457,9,FALSE),C372)</f>
        <v>Dewoka - Nuzulur Rohmah</v>
      </c>
    </row>
    <row r="373" spans="1:23" ht="15.75" thickBot="1" x14ac:dyDescent="0.3">
      <c r="A373" s="72">
        <v>45999.707453703704</v>
      </c>
      <c r="B373" s="73" t="s">
        <v>1153</v>
      </c>
      <c r="C373" s="73" t="s">
        <v>256</v>
      </c>
      <c r="D373" s="73" t="s">
        <v>1395</v>
      </c>
      <c r="E373" s="73" t="s">
        <v>10</v>
      </c>
      <c r="F373" s="74">
        <v>41789</v>
      </c>
      <c r="G373" s="73" t="s">
        <v>1396</v>
      </c>
      <c r="H373" s="73" t="s">
        <v>1397</v>
      </c>
      <c r="I373" s="73" t="s">
        <v>2</v>
      </c>
      <c r="J373" s="75" t="s">
        <v>1398</v>
      </c>
      <c r="K373" s="73" t="s">
        <v>1399</v>
      </c>
      <c r="L373" s="80" t="s">
        <v>3033</v>
      </c>
      <c r="M373" s="71"/>
      <c r="N373">
        <v>568</v>
      </c>
      <c r="O373" t="str">
        <f t="shared" si="49"/>
        <v>EBTAQ25-03.122</v>
      </c>
      <c r="P373" t="str">
        <f t="shared" si="50"/>
        <v>Indri Nur Aini</v>
      </c>
      <c r="Q373" t="str">
        <f t="shared" si="51"/>
        <v>Perempuan</v>
      </c>
      <c r="R373" t="str">
        <f t="shared" si="52"/>
        <v>Demak</v>
      </c>
      <c r="S373" s="21">
        <f t="shared" si="53"/>
        <v>41789</v>
      </c>
      <c r="T373" t="str">
        <f t="shared" si="54"/>
        <v>Sukemi</v>
      </c>
      <c r="U373" t="str">
        <f t="shared" si="55"/>
        <v>Sri Astutik</v>
      </c>
      <c r="V373" t="e">
        <f>VLOOKUP(O373,Lembar1!$A$4:$H$457,8,FALSE)</f>
        <v>#N/A</v>
      </c>
      <c r="W373" t="str">
        <f>IFERROR(VLOOKUP(O373,Lembar1!$A$4:$I$457,9,FALSE),C373)</f>
        <v>Dewoka - Nuzulur Rohmah</v>
      </c>
    </row>
    <row r="374" spans="1:23" ht="15.75" thickBot="1" x14ac:dyDescent="0.3">
      <c r="A374" s="67">
        <v>46000.735729166663</v>
      </c>
      <c r="B374" s="68" t="s">
        <v>1317</v>
      </c>
      <c r="C374" s="68" t="s">
        <v>511</v>
      </c>
      <c r="D374" s="68" t="s">
        <v>1768</v>
      </c>
      <c r="E374" s="68" t="s">
        <v>116</v>
      </c>
      <c r="F374" s="69">
        <v>41792</v>
      </c>
      <c r="G374" s="68" t="s">
        <v>1769</v>
      </c>
      <c r="H374" s="68" t="s">
        <v>1770</v>
      </c>
      <c r="I374" s="68" t="s">
        <v>66</v>
      </c>
      <c r="J374" s="70" t="s">
        <v>1771</v>
      </c>
      <c r="K374" s="68" t="s">
        <v>1772</v>
      </c>
      <c r="L374" s="80" t="s">
        <v>3076</v>
      </c>
      <c r="M374" s="71"/>
      <c r="N374">
        <v>611</v>
      </c>
      <c r="O374" t="str">
        <f t="shared" si="49"/>
        <v>EBTAQ25-04.027</v>
      </c>
      <c r="P374" t="str">
        <f t="shared" si="50"/>
        <v>Jastra Robert Ahmad Utama</v>
      </c>
      <c r="Q374" t="str">
        <f t="shared" si="51"/>
        <v>Laki-laki</v>
      </c>
      <c r="R374" t="str">
        <f t="shared" si="52"/>
        <v>Kudus</v>
      </c>
      <c r="S374" s="21">
        <f t="shared" si="53"/>
        <v>41792</v>
      </c>
      <c r="T374" t="str">
        <f t="shared" si="54"/>
        <v>Ahmad kholiq</v>
      </c>
      <c r="U374" t="str">
        <f t="shared" si="55"/>
        <v>Siti Rusminatun</v>
      </c>
      <c r="V374" t="e">
        <f>VLOOKUP(O374,Lembar1!$A$4:$H$457,8,FALSE)</f>
        <v>#N/A</v>
      </c>
      <c r="W374" t="str">
        <f>IFERROR(VLOOKUP(O374,Lembar1!$A$4:$I$457,9,FALSE),C374)</f>
        <v>Karangga - Miftahul Ulum</v>
      </c>
    </row>
    <row r="375" spans="1:23" ht="15.75" thickBot="1" x14ac:dyDescent="0.3">
      <c r="A375" s="72">
        <v>46000.708784722221</v>
      </c>
      <c r="B375" s="73" t="s">
        <v>1317</v>
      </c>
      <c r="C375" s="73" t="s">
        <v>742</v>
      </c>
      <c r="D375" s="73" t="s">
        <v>1719</v>
      </c>
      <c r="E375" s="73" t="s">
        <v>116</v>
      </c>
      <c r="F375" s="74">
        <v>42374</v>
      </c>
      <c r="G375" s="73" t="s">
        <v>1720</v>
      </c>
      <c r="H375" s="73" t="s">
        <v>1721</v>
      </c>
      <c r="I375" s="73" t="s">
        <v>2</v>
      </c>
      <c r="J375" s="75" t="s">
        <v>1722</v>
      </c>
      <c r="K375" s="73" t="s">
        <v>1723</v>
      </c>
      <c r="L375" s="80" t="s">
        <v>3067</v>
      </c>
      <c r="M375" s="71"/>
      <c r="N375">
        <v>596</v>
      </c>
      <c r="O375" t="str">
        <f t="shared" si="49"/>
        <v>EBTAQ25-04.018</v>
      </c>
      <c r="P375" t="str">
        <f t="shared" si="50"/>
        <v>JIHAN THALITA SALSABILA</v>
      </c>
      <c r="Q375" t="str">
        <f t="shared" si="51"/>
        <v>Perempuan</v>
      </c>
      <c r="R375" t="str">
        <f t="shared" si="52"/>
        <v>Kudus</v>
      </c>
      <c r="S375" s="21">
        <f t="shared" si="53"/>
        <v>42374</v>
      </c>
      <c r="T375" t="str">
        <f t="shared" si="54"/>
        <v>Ahmad Aspan</v>
      </c>
      <c r="U375" t="str">
        <f t="shared" si="55"/>
        <v>Subaedah</v>
      </c>
      <c r="V375" t="e">
        <f>VLOOKUP(O375,Lembar1!$A$4:$H$457,8,FALSE)</f>
        <v>#N/A</v>
      </c>
      <c r="W375" t="str">
        <f>IFERROR(VLOOKUP(O375,Lembar1!$A$4:$I$457,9,FALSE),C375)</f>
        <v>Karangga - Al Ijtihad Al Mubarok</v>
      </c>
    </row>
    <row r="376" spans="1:23" ht="15.75" thickBot="1" x14ac:dyDescent="0.3">
      <c r="A376" s="67">
        <v>46000.829386574071</v>
      </c>
      <c r="B376" s="68" t="s">
        <v>1317</v>
      </c>
      <c r="C376" s="68" t="s">
        <v>473</v>
      </c>
      <c r="D376" s="68" t="s">
        <v>1878</v>
      </c>
      <c r="E376" s="68" t="s">
        <v>10</v>
      </c>
      <c r="F376" s="69">
        <v>41631</v>
      </c>
      <c r="G376" s="68" t="s">
        <v>1879</v>
      </c>
      <c r="H376" s="68" t="s">
        <v>1880</v>
      </c>
      <c r="I376" s="68" t="s">
        <v>2</v>
      </c>
      <c r="J376" s="70" t="s">
        <v>1881</v>
      </c>
      <c r="K376" s="68" t="s">
        <v>1882</v>
      </c>
      <c r="L376" s="80" t="s">
        <v>3086</v>
      </c>
      <c r="M376" s="71"/>
      <c r="N376">
        <v>631</v>
      </c>
      <c r="O376" t="str">
        <f t="shared" si="49"/>
        <v>EBTAQ25-04.037</v>
      </c>
      <c r="P376" t="str">
        <f t="shared" si="50"/>
        <v>Jovita Aisyah Putri Budiharjo</v>
      </c>
      <c r="Q376" t="str">
        <f t="shared" si="51"/>
        <v>Perempuan</v>
      </c>
      <c r="R376" t="str">
        <f t="shared" si="52"/>
        <v>Demak</v>
      </c>
      <c r="S376" s="21">
        <f t="shared" si="53"/>
        <v>41631</v>
      </c>
      <c r="T376" t="str">
        <f t="shared" si="54"/>
        <v>Muhtarom Budiharjo</v>
      </c>
      <c r="U376" t="str">
        <f t="shared" si="55"/>
        <v>Sri Susilowati</v>
      </c>
      <c r="V376" t="e">
        <f>VLOOKUP(O376,Lembar1!$A$4:$H$457,8,FALSE)</f>
        <v>#N/A</v>
      </c>
      <c r="W376" t="str">
        <f>IFERROR(VLOOKUP(O376,Lembar1!$A$4:$I$457,9,FALSE),C376)</f>
        <v>Karangga - Mubarokah</v>
      </c>
    </row>
    <row r="377" spans="1:23" ht="15.75" thickBot="1" x14ac:dyDescent="0.3">
      <c r="A377" s="72">
        <v>46000.702627314815</v>
      </c>
      <c r="B377" s="73" t="s">
        <v>1153</v>
      </c>
      <c r="C377" s="73" t="s">
        <v>1665</v>
      </c>
      <c r="D377" s="73" t="s">
        <v>1701</v>
      </c>
      <c r="E377" s="73" t="s">
        <v>28</v>
      </c>
      <c r="F377" s="74">
        <v>42748</v>
      </c>
      <c r="G377" s="73" t="s">
        <v>1702</v>
      </c>
      <c r="H377" s="73" t="s">
        <v>1703</v>
      </c>
      <c r="I377" s="73" t="s">
        <v>2</v>
      </c>
      <c r="J377" s="75" t="s">
        <v>1704</v>
      </c>
      <c r="K377" s="73" t="s">
        <v>1705</v>
      </c>
      <c r="L377" s="80" t="s">
        <v>3043</v>
      </c>
      <c r="M377" s="71"/>
      <c r="N377">
        <v>546</v>
      </c>
      <c r="O377" t="str">
        <f t="shared" si="49"/>
        <v>EBTAQ25-03.132</v>
      </c>
      <c r="P377" t="str">
        <f t="shared" si="50"/>
        <v>KAISA FARZANA ASFIA</v>
      </c>
      <c r="Q377" t="str">
        <f t="shared" si="51"/>
        <v>Perempuan</v>
      </c>
      <c r="R377" t="str">
        <f t="shared" si="52"/>
        <v>DEMAK</v>
      </c>
      <c r="S377" s="21">
        <f t="shared" si="53"/>
        <v>42748</v>
      </c>
      <c r="T377" t="str">
        <f t="shared" si="54"/>
        <v>CHOLIQUL AHSAN</v>
      </c>
      <c r="U377" t="str">
        <f t="shared" si="55"/>
        <v>DURROTUN NASHIHAH</v>
      </c>
      <c r="V377" t="e">
        <f>VLOOKUP(O377,Lembar1!$A$4:$H$457,8,FALSE)</f>
        <v>#N/A</v>
      </c>
      <c r="W377" t="str">
        <f>IFERROR(VLOOKUP(O377,Lembar1!$A$4:$I$457,9,FALSE),C377)</f>
        <v>Dewoka - Assalamah</v>
      </c>
    </row>
    <row r="378" spans="1:23" ht="15.75" thickBot="1" x14ac:dyDescent="0.3">
      <c r="A378" s="67">
        <v>46000.497175925928</v>
      </c>
      <c r="B378" s="68" t="s">
        <v>1317</v>
      </c>
      <c r="C378" s="68" t="s">
        <v>473</v>
      </c>
      <c r="D378" s="68" t="s">
        <v>1523</v>
      </c>
      <c r="E378" s="68" t="s">
        <v>10</v>
      </c>
      <c r="F378" s="69">
        <v>42364</v>
      </c>
      <c r="G378" s="68" t="s">
        <v>1524</v>
      </c>
      <c r="H378" s="68" t="s">
        <v>1525</v>
      </c>
      <c r="I378" s="68" t="s">
        <v>2</v>
      </c>
      <c r="J378" s="70" t="s">
        <v>1526</v>
      </c>
      <c r="K378" s="68" t="s">
        <v>1527</v>
      </c>
      <c r="L378" s="80" t="s">
        <v>3056</v>
      </c>
      <c r="M378" s="71"/>
      <c r="N378">
        <v>620</v>
      </c>
      <c r="O378" t="str">
        <f t="shared" si="49"/>
        <v>EBTAQ25-04.007</v>
      </c>
      <c r="P378" t="str">
        <f t="shared" si="50"/>
        <v>Karina maulidatun nisa</v>
      </c>
      <c r="Q378" t="str">
        <f t="shared" si="51"/>
        <v>Perempuan</v>
      </c>
      <c r="R378" t="str">
        <f t="shared" si="52"/>
        <v>Demak</v>
      </c>
      <c r="S378" s="21">
        <f t="shared" si="53"/>
        <v>42364</v>
      </c>
      <c r="T378" t="str">
        <f t="shared" si="54"/>
        <v>Kastono (alm)</v>
      </c>
      <c r="U378" t="str">
        <f t="shared" si="55"/>
        <v>Siti sundari</v>
      </c>
      <c r="V378" t="e">
        <f>VLOOKUP(O378,Lembar1!$A$4:$H$457,8,FALSE)</f>
        <v>#N/A</v>
      </c>
      <c r="W378" t="str">
        <f>IFERROR(VLOOKUP(O378,Lembar1!$A$4:$I$457,9,FALSE),C378)</f>
        <v>Karangga - Mubarokah</v>
      </c>
    </row>
    <row r="379" spans="1:23" ht="15.75" thickBot="1" x14ac:dyDescent="0.3">
      <c r="A379" s="72">
        <v>45995.68172453704</v>
      </c>
      <c r="B379" s="73" t="s">
        <v>998</v>
      </c>
      <c r="C379" s="73" t="s">
        <v>1038</v>
      </c>
      <c r="D379" s="73" t="s">
        <v>1063</v>
      </c>
      <c r="E379" s="73" t="s">
        <v>204</v>
      </c>
      <c r="F379" s="74">
        <v>42393</v>
      </c>
      <c r="G379" s="73" t="s">
        <v>1064</v>
      </c>
      <c r="H379" s="73" t="s">
        <v>1065</v>
      </c>
      <c r="I379" s="73" t="s">
        <v>2</v>
      </c>
      <c r="J379" s="75" t="s">
        <v>1066</v>
      </c>
      <c r="K379" s="73" t="s">
        <v>1067</v>
      </c>
      <c r="L379" s="80" t="s">
        <v>3122</v>
      </c>
      <c r="M379" s="71"/>
      <c r="N379">
        <v>667</v>
      </c>
      <c r="O379" t="str">
        <f t="shared" si="49"/>
        <v>EBTAQ25-05.014</v>
      </c>
      <c r="P379" t="str">
        <f t="shared" si="50"/>
        <v>KHOIRUNNISA SALSABILA</v>
      </c>
      <c r="Q379" t="str">
        <f t="shared" si="51"/>
        <v>Perempuan</v>
      </c>
      <c r="R379" t="str">
        <f t="shared" si="52"/>
        <v>SEMARANG</v>
      </c>
      <c r="S379" s="21">
        <f t="shared" si="53"/>
        <v>42393</v>
      </c>
      <c r="T379" t="str">
        <f t="shared" si="54"/>
        <v>MIFTAHUL HUDA</v>
      </c>
      <c r="U379" t="str">
        <f t="shared" si="55"/>
        <v>AINUL MAFROKAH</v>
      </c>
      <c r="V379" t="e">
        <f>VLOOKUP(O379,Lembar1!$A$4:$H$457,8,FALSE)</f>
        <v>#N/A</v>
      </c>
      <c r="W379" t="str">
        <f>IFERROR(VLOOKUP(O379,Lembar1!$A$4:$I$457,9,FALSE),C379)</f>
        <v>Karbon - TPQ Nahdlotul Qur'an</v>
      </c>
    </row>
    <row r="380" spans="1:23" ht="15.75" thickBot="1" x14ac:dyDescent="0.3">
      <c r="A380" s="67">
        <v>46001.527280092596</v>
      </c>
      <c r="B380" s="68" t="s">
        <v>998</v>
      </c>
      <c r="C380" s="68" t="s">
        <v>1038</v>
      </c>
      <c r="D380" s="68" t="s">
        <v>2148</v>
      </c>
      <c r="E380" s="68" t="s">
        <v>402</v>
      </c>
      <c r="F380" s="69">
        <v>42393</v>
      </c>
      <c r="G380" s="68" t="s">
        <v>2149</v>
      </c>
      <c r="H380" s="68" t="s">
        <v>2150</v>
      </c>
      <c r="I380" s="68" t="s">
        <v>2</v>
      </c>
      <c r="J380" s="70" t="s">
        <v>2151</v>
      </c>
      <c r="K380" s="68" t="s">
        <v>1043</v>
      </c>
      <c r="L380" s="80" t="s">
        <v>3142</v>
      </c>
      <c r="M380" s="71"/>
      <c r="N380">
        <v>669</v>
      </c>
      <c r="O380" t="str">
        <f t="shared" si="49"/>
        <v>EBTAQ25-05.034</v>
      </c>
      <c r="P380" t="str">
        <f t="shared" si="50"/>
        <v>khoirunnisa salsabila</v>
      </c>
      <c r="Q380" t="str">
        <f t="shared" si="51"/>
        <v>Perempuan</v>
      </c>
      <c r="R380" t="str">
        <f t="shared" si="52"/>
        <v>demak</v>
      </c>
      <c r="S380" s="21">
        <f t="shared" si="53"/>
        <v>42393</v>
      </c>
      <c r="T380" t="str">
        <f t="shared" si="54"/>
        <v>miftahul huda</v>
      </c>
      <c r="U380" t="str">
        <f t="shared" si="55"/>
        <v>ainul mafrokah</v>
      </c>
      <c r="V380" t="e">
        <f>VLOOKUP(O380,Lembar1!$A$4:$H$457,8,FALSE)</f>
        <v>#N/A</v>
      </c>
      <c r="W380" t="str">
        <f>IFERROR(VLOOKUP(O380,Lembar1!$A$4:$I$457,9,FALSE),C380)</f>
        <v>Karbon - TPQ Nahdlotul Qur'an</v>
      </c>
    </row>
    <row r="381" spans="1:23" ht="15.75" thickBot="1" x14ac:dyDescent="0.3">
      <c r="A381" s="72">
        <v>46000.683182870373</v>
      </c>
      <c r="B381" s="73" t="s">
        <v>1317</v>
      </c>
      <c r="C381" s="73" t="s">
        <v>742</v>
      </c>
      <c r="D381" s="73" t="s">
        <v>1622</v>
      </c>
      <c r="E381" s="73" t="s">
        <v>10</v>
      </c>
      <c r="F381" s="74">
        <v>41982</v>
      </c>
      <c r="G381" s="73" t="s">
        <v>1623</v>
      </c>
      <c r="H381" s="73" t="s">
        <v>1624</v>
      </c>
      <c r="I381" s="73" t="s">
        <v>2</v>
      </c>
      <c r="J381" s="75" t="s">
        <v>1625</v>
      </c>
      <c r="K381" s="73" t="s">
        <v>1626</v>
      </c>
      <c r="L381" s="80" t="s">
        <v>3062</v>
      </c>
      <c r="M381" s="71"/>
      <c r="N381">
        <v>592</v>
      </c>
      <c r="O381" t="str">
        <f t="shared" si="49"/>
        <v>EBTAQ25-04.013</v>
      </c>
      <c r="P381" t="str">
        <f t="shared" si="50"/>
        <v>KHYAROTUNNISA</v>
      </c>
      <c r="Q381" t="str">
        <f t="shared" si="51"/>
        <v>Perempuan</v>
      </c>
      <c r="R381" t="str">
        <f t="shared" si="52"/>
        <v>Demak</v>
      </c>
      <c r="S381" s="21">
        <f t="shared" si="53"/>
        <v>41982</v>
      </c>
      <c r="T381" t="str">
        <f t="shared" si="54"/>
        <v>Kholid Maknawi</v>
      </c>
      <c r="U381" t="str">
        <f t="shared" si="55"/>
        <v>Saryati</v>
      </c>
      <c r="V381" t="e">
        <f>VLOOKUP(O381,Lembar1!$A$4:$H$457,8,FALSE)</f>
        <v>#N/A</v>
      </c>
      <c r="W381" t="str">
        <f>IFERROR(VLOOKUP(O381,Lembar1!$A$4:$I$457,9,FALSE),C381)</f>
        <v>Karangga - Al Ijtihad Al Mubarok</v>
      </c>
    </row>
    <row r="382" spans="1:23" ht="15.75" thickBot="1" x14ac:dyDescent="0.3">
      <c r="A382" s="67">
        <v>45998.494745370372</v>
      </c>
      <c r="B382" s="68" t="s">
        <v>998</v>
      </c>
      <c r="C382" s="68" t="s">
        <v>214</v>
      </c>
      <c r="D382" s="68" t="s">
        <v>1087</v>
      </c>
      <c r="E382" s="68" t="s">
        <v>59</v>
      </c>
      <c r="F382" s="69">
        <v>41811</v>
      </c>
      <c r="G382" s="68" t="s">
        <v>1088</v>
      </c>
      <c r="H382" s="68" t="s">
        <v>1089</v>
      </c>
      <c r="I382" s="68" t="s">
        <v>2</v>
      </c>
      <c r="J382" s="70" t="s">
        <v>1090</v>
      </c>
      <c r="K382" s="68" t="s">
        <v>1091</v>
      </c>
      <c r="L382" s="80" t="s">
        <v>3125</v>
      </c>
      <c r="M382" s="71"/>
      <c r="N382">
        <v>676</v>
      </c>
      <c r="O382" t="str">
        <f t="shared" si="49"/>
        <v>EBTAQ25-05.017</v>
      </c>
      <c r="P382" t="str">
        <f t="shared" si="50"/>
        <v>Kiandra Aqila Hatmiko</v>
      </c>
      <c r="Q382" t="str">
        <f t="shared" si="51"/>
        <v>Perempuan</v>
      </c>
      <c r="R382" t="str">
        <f t="shared" si="52"/>
        <v>Semarang</v>
      </c>
      <c r="S382" s="21">
        <f t="shared" si="53"/>
        <v>41811</v>
      </c>
      <c r="T382" t="str">
        <f t="shared" si="54"/>
        <v>Anjar tri hatmiko</v>
      </c>
      <c r="U382" t="str">
        <f t="shared" si="55"/>
        <v>Retno murdianingrum</v>
      </c>
      <c r="V382" t="e">
        <f>VLOOKUP(O382,Lembar1!$A$4:$H$457,8,FALSE)</f>
        <v>#N/A</v>
      </c>
      <c r="W382" t="str">
        <f>IFERROR(VLOOKUP(O382,Lembar1!$A$4:$I$457,9,FALSE),C382)</f>
        <v>Karbon - TPQ Qurrotul 'Ain</v>
      </c>
    </row>
    <row r="383" spans="1:23" ht="15.75" thickBot="1" x14ac:dyDescent="0.3">
      <c r="A383" s="72">
        <v>46000.767754629633</v>
      </c>
      <c r="B383" s="73" t="s">
        <v>1153</v>
      </c>
      <c r="C383" s="73" t="s">
        <v>1534</v>
      </c>
      <c r="D383" s="73" t="s">
        <v>1816</v>
      </c>
      <c r="E383" s="73" t="s">
        <v>10</v>
      </c>
      <c r="F383" s="74">
        <v>43085</v>
      </c>
      <c r="G383" s="73" t="s">
        <v>1536</v>
      </c>
      <c r="H383" s="73" t="s">
        <v>1537</v>
      </c>
      <c r="I383" s="73" t="s">
        <v>2</v>
      </c>
      <c r="J383" s="75" t="s">
        <v>1817</v>
      </c>
      <c r="K383" s="73" t="s">
        <v>1818</v>
      </c>
      <c r="L383" s="80" t="s">
        <v>3045</v>
      </c>
      <c r="M383" s="71"/>
      <c r="N383">
        <v>552</v>
      </c>
      <c r="O383" t="str">
        <f t="shared" si="49"/>
        <v>EBTAQ25-03.134</v>
      </c>
      <c r="P383" t="str">
        <f t="shared" si="50"/>
        <v>Lazinatul Maulidya</v>
      </c>
      <c r="Q383" t="str">
        <f t="shared" si="51"/>
        <v>Perempuan</v>
      </c>
      <c r="R383" t="str">
        <f t="shared" si="52"/>
        <v>Demak</v>
      </c>
      <c r="S383" s="21">
        <f t="shared" si="53"/>
        <v>43085</v>
      </c>
      <c r="T383" t="str">
        <f t="shared" si="54"/>
        <v>Ngasiran</v>
      </c>
      <c r="U383" t="str">
        <f t="shared" si="55"/>
        <v>Siti Munafiah</v>
      </c>
      <c r="V383" t="e">
        <f>VLOOKUP(O383,Lembar1!$A$4:$H$457,8,FALSE)</f>
        <v>#N/A</v>
      </c>
      <c r="W383" t="str">
        <f>IFERROR(VLOOKUP(O383,Lembar1!$A$4:$I$457,9,FALSE),C383)</f>
        <v>Dewoka - Nurul Iman</v>
      </c>
    </row>
    <row r="384" spans="1:23" ht="15.75" thickBot="1" x14ac:dyDescent="0.3">
      <c r="A384" s="67">
        <v>45999.346712962964</v>
      </c>
      <c r="B384" s="68" t="s">
        <v>1153</v>
      </c>
      <c r="C384" s="68" t="s">
        <v>1190</v>
      </c>
      <c r="D384" s="68" t="s">
        <v>1191</v>
      </c>
      <c r="E384" s="68" t="s">
        <v>28</v>
      </c>
      <c r="F384" s="69">
        <v>41633</v>
      </c>
      <c r="G384" s="68" t="s">
        <v>1192</v>
      </c>
      <c r="H384" s="68" t="s">
        <v>1193</v>
      </c>
      <c r="I384" s="68" t="s">
        <v>66</v>
      </c>
      <c r="J384" s="70" t="s">
        <v>1194</v>
      </c>
      <c r="K384" s="68" t="s">
        <v>1195</v>
      </c>
      <c r="L384" s="80" t="s">
        <v>3017</v>
      </c>
      <c r="M384" s="71"/>
      <c r="N384">
        <v>556</v>
      </c>
      <c r="O384" t="str">
        <f t="shared" si="49"/>
        <v>EBTAQ25-03.106</v>
      </c>
      <c r="P384" t="str">
        <f t="shared" si="50"/>
        <v>M. FAIZAL FADHIL</v>
      </c>
      <c r="Q384" t="str">
        <f t="shared" si="51"/>
        <v>Laki-laki</v>
      </c>
      <c r="R384" t="str">
        <f t="shared" si="52"/>
        <v>DEMAK</v>
      </c>
      <c r="S384" s="21">
        <f t="shared" si="53"/>
        <v>41633</v>
      </c>
      <c r="T384" t="str">
        <f t="shared" si="54"/>
        <v>MASRUKIN</v>
      </c>
      <c r="U384" t="str">
        <f t="shared" si="55"/>
        <v>KASNI</v>
      </c>
      <c r="V384" t="e">
        <f>VLOOKUP(O384,Lembar1!$A$4:$H$457,8,FALSE)</f>
        <v>#N/A</v>
      </c>
      <c r="W384" t="str">
        <f>IFERROR(VLOOKUP(O384,Lembar1!$A$4:$I$457,9,FALSE),C384)</f>
        <v>Dewoka - Nurul Qur'an</v>
      </c>
    </row>
    <row r="385" spans="1:23" ht="15.75" thickBot="1" x14ac:dyDescent="0.3">
      <c r="A385" s="72">
        <v>46000.674074074072</v>
      </c>
      <c r="B385" s="73" t="s">
        <v>1317</v>
      </c>
      <c r="C385" s="73" t="s">
        <v>473</v>
      </c>
      <c r="D385" s="73" t="s">
        <v>1614</v>
      </c>
      <c r="E385" s="73" t="s">
        <v>10</v>
      </c>
      <c r="F385" s="74">
        <v>41804</v>
      </c>
      <c r="G385" s="73" t="s">
        <v>1615</v>
      </c>
      <c r="H385" s="73" t="s">
        <v>1616</v>
      </c>
      <c r="I385" s="73" t="s">
        <v>2</v>
      </c>
      <c r="J385" s="75" t="s">
        <v>1617</v>
      </c>
      <c r="K385" s="73" t="s">
        <v>1618</v>
      </c>
      <c r="L385" s="80" t="s">
        <v>3061</v>
      </c>
      <c r="M385" s="71"/>
      <c r="N385">
        <v>624</v>
      </c>
      <c r="O385" t="str">
        <f t="shared" si="49"/>
        <v>EBTAQ25-04.012</v>
      </c>
      <c r="P385" t="str">
        <f t="shared" si="50"/>
        <v>MAHIRA HASNA KAMILA</v>
      </c>
      <c r="Q385" t="str">
        <f t="shared" si="51"/>
        <v>Perempuan</v>
      </c>
      <c r="R385" t="str">
        <f t="shared" si="52"/>
        <v>Demak</v>
      </c>
      <c r="S385" s="21">
        <f t="shared" si="53"/>
        <v>41804</v>
      </c>
      <c r="T385" t="str">
        <f t="shared" si="54"/>
        <v>Muhammad Supriyadi</v>
      </c>
      <c r="U385" t="str">
        <f t="shared" si="55"/>
        <v>Umi Kusmawati</v>
      </c>
      <c r="V385" t="e">
        <f>VLOOKUP(O385,Lembar1!$A$4:$H$457,8,FALSE)</f>
        <v>#N/A</v>
      </c>
      <c r="W385" t="str">
        <f>IFERROR(VLOOKUP(O385,Lembar1!$A$4:$I$457,9,FALSE),C385)</f>
        <v>Karangga - Mubarokah</v>
      </c>
    </row>
    <row r="386" spans="1:23" ht="15.75" thickBot="1" x14ac:dyDescent="0.3">
      <c r="A386" s="67">
        <v>46000.303946759261</v>
      </c>
      <c r="B386" s="68" t="s">
        <v>1317</v>
      </c>
      <c r="C386" s="68" t="s">
        <v>511</v>
      </c>
      <c r="D386" s="68" t="s">
        <v>1447</v>
      </c>
      <c r="E386" s="68" t="s">
        <v>10</v>
      </c>
      <c r="F386" s="69">
        <v>41653</v>
      </c>
      <c r="G386" s="68" t="s">
        <v>1448</v>
      </c>
      <c r="H386" s="68" t="s">
        <v>1449</v>
      </c>
      <c r="I386" s="68" t="s">
        <v>2</v>
      </c>
      <c r="J386" s="70" t="s">
        <v>1450</v>
      </c>
      <c r="K386" s="68" t="s">
        <v>1451</v>
      </c>
      <c r="L386" s="80" t="s">
        <v>3053</v>
      </c>
      <c r="M386" s="71"/>
      <c r="N386">
        <v>609</v>
      </c>
      <c r="O386" t="str">
        <f t="shared" si="49"/>
        <v>EBTAQ25-04.004</v>
      </c>
      <c r="P386" t="str">
        <f t="shared" si="50"/>
        <v>Marsya Adelia Qisya</v>
      </c>
      <c r="Q386" t="str">
        <f t="shared" si="51"/>
        <v>Perempuan</v>
      </c>
      <c r="R386" t="str">
        <f t="shared" si="52"/>
        <v>Demak</v>
      </c>
      <c r="S386" s="21">
        <f t="shared" si="53"/>
        <v>41653</v>
      </c>
      <c r="T386" t="str">
        <f t="shared" si="54"/>
        <v>Busono</v>
      </c>
      <c r="U386" t="str">
        <f t="shared" si="55"/>
        <v>Siti Sofiatun</v>
      </c>
      <c r="V386" t="e">
        <f>VLOOKUP(O386,Lembar1!$A$4:$H$457,8,FALSE)</f>
        <v>#N/A</v>
      </c>
      <c r="W386" t="str">
        <f>IFERROR(VLOOKUP(O386,Lembar1!$A$4:$I$457,9,FALSE),C386)</f>
        <v>Karangga - Miftahul Ulum</v>
      </c>
    </row>
    <row r="387" spans="1:23" ht="15.75" thickBot="1" x14ac:dyDescent="0.3">
      <c r="A387" s="72">
        <v>45998.487858796296</v>
      </c>
      <c r="B387" s="73" t="s">
        <v>998</v>
      </c>
      <c r="C387" s="73" t="s">
        <v>214</v>
      </c>
      <c r="D387" s="73" t="s">
        <v>1081</v>
      </c>
      <c r="E387" s="73" t="s">
        <v>1082</v>
      </c>
      <c r="F387" s="74">
        <v>42716</v>
      </c>
      <c r="G387" s="73" t="s">
        <v>1083</v>
      </c>
      <c r="H387" s="73" t="s">
        <v>1084</v>
      </c>
      <c r="I387" s="73" t="s">
        <v>2</v>
      </c>
      <c r="J387" s="75" t="s">
        <v>1085</v>
      </c>
      <c r="K387" s="73" t="s">
        <v>1086</v>
      </c>
      <c r="L387" s="80" t="s">
        <v>3124</v>
      </c>
      <c r="M387" s="71"/>
      <c r="N387">
        <v>675</v>
      </c>
      <c r="O387" t="str">
        <f t="shared" si="49"/>
        <v>EBTAQ25-05.016</v>
      </c>
      <c r="P387" t="str">
        <f t="shared" si="50"/>
        <v>Maulida Naila nabila</v>
      </c>
      <c r="Q387" t="str">
        <f t="shared" si="51"/>
        <v>Perempuan</v>
      </c>
      <c r="R387" t="str">
        <f t="shared" si="52"/>
        <v>Demak,12 Desember 2016</v>
      </c>
      <c r="S387" s="21">
        <f t="shared" si="53"/>
        <v>42716</v>
      </c>
      <c r="T387" t="str">
        <f t="shared" si="54"/>
        <v>Muhammad mashuri</v>
      </c>
      <c r="U387" t="str">
        <f t="shared" si="55"/>
        <v>Amin munzainah</v>
      </c>
      <c r="V387" t="e">
        <f>VLOOKUP(O387,Lembar1!$A$4:$H$457,8,FALSE)</f>
        <v>#N/A</v>
      </c>
      <c r="W387" t="str">
        <f>IFERROR(VLOOKUP(O387,Lembar1!$A$4:$I$457,9,FALSE),C387)</f>
        <v>Karbon - TPQ Qurrotul 'Ain</v>
      </c>
    </row>
    <row r="388" spans="1:23" ht="15.75" thickBot="1" x14ac:dyDescent="0.3">
      <c r="A388" s="67">
        <v>46001.455462962964</v>
      </c>
      <c r="B388" s="68" t="s">
        <v>1317</v>
      </c>
      <c r="C388" s="68" t="s">
        <v>473</v>
      </c>
      <c r="D388" s="68" t="s">
        <v>2041</v>
      </c>
      <c r="E388" s="68" t="s">
        <v>10</v>
      </c>
      <c r="F388" s="69">
        <v>42278</v>
      </c>
      <c r="G388" s="68" t="s">
        <v>2042</v>
      </c>
      <c r="H388" s="68" t="s">
        <v>2043</v>
      </c>
      <c r="I388" s="68" t="s">
        <v>2</v>
      </c>
      <c r="J388" s="70" t="s">
        <v>2044</v>
      </c>
      <c r="K388" s="68" t="s">
        <v>2045</v>
      </c>
      <c r="L388" s="80" t="s">
        <v>3098</v>
      </c>
      <c r="M388" s="71"/>
      <c r="N388">
        <v>632</v>
      </c>
      <c r="O388" t="str">
        <f t="shared" si="49"/>
        <v>EBTAQ25-04.049</v>
      </c>
      <c r="P388" t="str">
        <f t="shared" si="50"/>
        <v>Maulidiyah Nafisatuzzahro</v>
      </c>
      <c r="Q388" t="str">
        <f t="shared" si="51"/>
        <v>Perempuan</v>
      </c>
      <c r="R388" t="str">
        <f t="shared" si="52"/>
        <v>Demak</v>
      </c>
      <c r="S388" s="21">
        <f t="shared" si="53"/>
        <v>42278</v>
      </c>
      <c r="T388" t="str">
        <f t="shared" si="54"/>
        <v>Mustabsirin</v>
      </c>
      <c r="U388" t="str">
        <f t="shared" si="55"/>
        <v>Siti Mutamimah</v>
      </c>
      <c r="V388" t="e">
        <f>VLOOKUP(O388,Lembar1!$A$4:$H$457,8,FALSE)</f>
        <v>#N/A</v>
      </c>
      <c r="W388" t="str">
        <f>IFERROR(VLOOKUP(O388,Lembar1!$A$4:$I$457,9,FALSE),C388)</f>
        <v>Karangga - Mubarokah</v>
      </c>
    </row>
    <row r="389" spans="1:23" ht="15.75" thickBot="1" x14ac:dyDescent="0.3">
      <c r="A389" s="72">
        <v>45998.554293981484</v>
      </c>
      <c r="B389" s="73" t="s">
        <v>998</v>
      </c>
      <c r="C389" s="73" t="s">
        <v>214</v>
      </c>
      <c r="D389" s="73" t="s">
        <v>1092</v>
      </c>
      <c r="E389" s="73" t="s">
        <v>10</v>
      </c>
      <c r="F389" s="74">
        <v>42129</v>
      </c>
      <c r="G389" s="73" t="s">
        <v>1093</v>
      </c>
      <c r="H389" s="73" t="s">
        <v>1094</v>
      </c>
      <c r="I389" s="73" t="s">
        <v>2</v>
      </c>
      <c r="J389" s="75" t="s">
        <v>1095</v>
      </c>
      <c r="K389" s="73" t="s">
        <v>1096</v>
      </c>
      <c r="L389" s="80" t="s">
        <v>3126</v>
      </c>
      <c r="M389" s="71"/>
      <c r="N389">
        <v>677</v>
      </c>
      <c r="O389" t="str">
        <f t="shared" si="49"/>
        <v>EBTAQ25-05.018</v>
      </c>
      <c r="P389" t="str">
        <f t="shared" si="50"/>
        <v>Maylani Ananda Putri</v>
      </c>
      <c r="Q389" t="str">
        <f t="shared" si="51"/>
        <v>Perempuan</v>
      </c>
      <c r="R389" t="str">
        <f t="shared" si="52"/>
        <v>Demak</v>
      </c>
      <c r="S389" s="21">
        <f t="shared" si="53"/>
        <v>42129</v>
      </c>
      <c r="T389" t="str">
        <f t="shared" si="54"/>
        <v>Fendy Agus Riyanto</v>
      </c>
      <c r="U389" t="str">
        <f t="shared" si="55"/>
        <v>Iatikomah</v>
      </c>
      <c r="V389" t="e">
        <f>VLOOKUP(O389,Lembar1!$A$4:$H$457,8,FALSE)</f>
        <v>#N/A</v>
      </c>
      <c r="W389" t="str">
        <f>IFERROR(VLOOKUP(O389,Lembar1!$A$4:$I$457,9,FALSE),C389)</f>
        <v>Karbon - TPQ Qurrotul 'Ain</v>
      </c>
    </row>
    <row r="390" spans="1:23" ht="15.75" thickBot="1" x14ac:dyDescent="0.3">
      <c r="A390" s="67">
        <v>46001.58871527778</v>
      </c>
      <c r="B390" s="68" t="s">
        <v>1317</v>
      </c>
      <c r="C390" s="68" t="s">
        <v>473</v>
      </c>
      <c r="D390" s="68" t="s">
        <v>2195</v>
      </c>
      <c r="E390" s="68" t="s">
        <v>10</v>
      </c>
      <c r="F390" s="69">
        <v>41985</v>
      </c>
      <c r="G390" s="68" t="s">
        <v>2196</v>
      </c>
      <c r="H390" s="68" t="s">
        <v>2197</v>
      </c>
      <c r="I390" s="68" t="s">
        <v>66</v>
      </c>
      <c r="J390" s="70" t="s">
        <v>2198</v>
      </c>
      <c r="K390" s="68" t="s">
        <v>2199</v>
      </c>
      <c r="L390" s="80" t="s">
        <v>3109</v>
      </c>
      <c r="M390" s="71"/>
      <c r="N390">
        <v>635</v>
      </c>
      <c r="O390" t="str">
        <f t="shared" si="49"/>
        <v>EBTAQ25-04.060</v>
      </c>
      <c r="P390" t="str">
        <f t="shared" si="50"/>
        <v>Muhammad Al Aqilul Muttaqi</v>
      </c>
      <c r="Q390" t="str">
        <f t="shared" si="51"/>
        <v>Laki-laki</v>
      </c>
      <c r="R390" t="str">
        <f t="shared" si="52"/>
        <v>Demak</v>
      </c>
      <c r="S390" s="21">
        <f t="shared" si="53"/>
        <v>41985</v>
      </c>
      <c r="T390" t="str">
        <f t="shared" si="54"/>
        <v>Siswantoro</v>
      </c>
      <c r="U390" t="str">
        <f t="shared" si="55"/>
        <v>Izatur Rohmah</v>
      </c>
      <c r="V390" t="e">
        <f>VLOOKUP(O390,Lembar1!$A$4:$H$457,8,FALSE)</f>
        <v>#N/A</v>
      </c>
      <c r="W390" t="str">
        <f>IFERROR(VLOOKUP(O390,Lembar1!$A$4:$I$457,9,FALSE),C390)</f>
        <v>Karangga - Mubarokah</v>
      </c>
    </row>
    <row r="391" spans="1:23" ht="15.75" thickBot="1" x14ac:dyDescent="0.3">
      <c r="A391" s="72">
        <v>46000.552129629628</v>
      </c>
      <c r="B391" s="73" t="s">
        <v>1153</v>
      </c>
      <c r="C391" s="73" t="s">
        <v>1534</v>
      </c>
      <c r="D391" s="73" t="s">
        <v>1540</v>
      </c>
      <c r="E391" s="73" t="s">
        <v>10</v>
      </c>
      <c r="F391" s="74">
        <v>41609</v>
      </c>
      <c r="G391" s="73" t="s">
        <v>1541</v>
      </c>
      <c r="H391" s="73" t="s">
        <v>1542</v>
      </c>
      <c r="I391" s="73" t="s">
        <v>66</v>
      </c>
      <c r="J391" s="75" t="s">
        <v>1543</v>
      </c>
      <c r="K391" s="73" t="s">
        <v>1544</v>
      </c>
      <c r="L391" s="80" t="s">
        <v>3038</v>
      </c>
      <c r="M391" s="71"/>
      <c r="N391">
        <v>549</v>
      </c>
      <c r="O391" t="str">
        <f t="shared" si="49"/>
        <v>EBTAQ25-03.127</v>
      </c>
      <c r="P391" t="str">
        <f t="shared" si="50"/>
        <v>Muhammad Alfin ikhsanul Faqih</v>
      </c>
      <c r="Q391" t="str">
        <f t="shared" si="51"/>
        <v>Laki-laki</v>
      </c>
      <c r="R391" t="str">
        <f t="shared" si="52"/>
        <v>Demak</v>
      </c>
      <c r="S391" s="21">
        <f t="shared" si="53"/>
        <v>41609</v>
      </c>
      <c r="T391" t="str">
        <f t="shared" si="54"/>
        <v>Mustofa</v>
      </c>
      <c r="U391" t="str">
        <f t="shared" si="55"/>
        <v>Siti khotijah</v>
      </c>
      <c r="V391" t="e">
        <f>VLOOKUP(O391,Lembar1!$A$4:$H$457,8,FALSE)</f>
        <v>#N/A</v>
      </c>
      <c r="W391" t="str">
        <f>IFERROR(VLOOKUP(O391,Lembar1!$A$4:$I$457,9,FALSE),C391)</f>
        <v>Dewoka - Nurul Iman</v>
      </c>
    </row>
    <row r="392" spans="1:23" ht="15.75" thickBot="1" x14ac:dyDescent="0.3">
      <c r="A392" s="67">
        <v>45997.35125</v>
      </c>
      <c r="B392" s="68" t="s">
        <v>998</v>
      </c>
      <c r="C392" s="68" t="s">
        <v>1071</v>
      </c>
      <c r="D392" s="68" t="s">
        <v>1072</v>
      </c>
      <c r="E392" s="68" t="s">
        <v>1073</v>
      </c>
      <c r="F392" s="69">
        <v>42133</v>
      </c>
      <c r="G392" s="68" t="s">
        <v>1074</v>
      </c>
      <c r="H392" s="68" t="s">
        <v>1075</v>
      </c>
      <c r="I392" s="68" t="s">
        <v>66</v>
      </c>
      <c r="J392" s="70" t="s">
        <v>1076</v>
      </c>
      <c r="K392" s="68" t="s">
        <v>1077</v>
      </c>
      <c r="L392" s="80" t="s">
        <v>3123</v>
      </c>
      <c r="M392" s="71"/>
      <c r="N392">
        <v>661</v>
      </c>
      <c r="O392" t="str">
        <f t="shared" si="49"/>
        <v>EBTAQ25-05.015</v>
      </c>
      <c r="P392" t="str">
        <f t="shared" si="50"/>
        <v>Muhammad Danish Arkana</v>
      </c>
      <c r="Q392" t="str">
        <f t="shared" si="51"/>
        <v>Laki-laki</v>
      </c>
      <c r="R392" t="str">
        <f t="shared" si="52"/>
        <v>Pekalongan</v>
      </c>
      <c r="S392" s="21">
        <f t="shared" si="53"/>
        <v>42133</v>
      </c>
      <c r="T392" t="str">
        <f t="shared" si="54"/>
        <v>Muhamad Rofiq</v>
      </c>
      <c r="U392" t="str">
        <f t="shared" si="55"/>
        <v>Tri Umiati</v>
      </c>
      <c r="V392" t="e">
        <f>VLOOKUP(O392,Lembar1!$A$4:$H$457,8,FALSE)</f>
        <v>#N/A</v>
      </c>
      <c r="W392" t="str">
        <f>IFERROR(VLOOKUP(O392,Lembar1!$A$4:$I$457,9,FALSE),C392)</f>
        <v>Karbon - TPQ Masithoh II</v>
      </c>
    </row>
    <row r="393" spans="1:23" ht="15.75" thickBot="1" x14ac:dyDescent="0.3">
      <c r="A393" s="72">
        <v>45999.327546296299</v>
      </c>
      <c r="B393" s="73" t="s">
        <v>998</v>
      </c>
      <c r="C393" s="73" t="s">
        <v>1181</v>
      </c>
      <c r="D393" s="73" t="s">
        <v>1182</v>
      </c>
      <c r="E393" s="73" t="s">
        <v>28</v>
      </c>
      <c r="F393" s="74">
        <v>42069</v>
      </c>
      <c r="G393" s="73" t="s">
        <v>1183</v>
      </c>
      <c r="H393" s="73" t="s">
        <v>1184</v>
      </c>
      <c r="I393" s="73" t="s">
        <v>66</v>
      </c>
      <c r="J393" s="75" t="s">
        <v>1185</v>
      </c>
      <c r="K393" s="73" t="s">
        <v>1186</v>
      </c>
      <c r="L393" s="80" t="s">
        <v>3134</v>
      </c>
      <c r="M393" s="71"/>
      <c r="N393">
        <v>685</v>
      </c>
      <c r="O393" t="str">
        <f t="shared" si="49"/>
        <v>EBTAQ25-05.026</v>
      </c>
      <c r="P393" t="str">
        <f t="shared" si="50"/>
        <v>MUHAMMAD DANISH BAYHAQI</v>
      </c>
      <c r="Q393" t="str">
        <f t="shared" si="51"/>
        <v>Laki-laki</v>
      </c>
      <c r="R393" t="str">
        <f t="shared" si="52"/>
        <v>DEMAK</v>
      </c>
      <c r="S393" s="21">
        <f t="shared" si="53"/>
        <v>42069</v>
      </c>
      <c r="T393" t="str">
        <f t="shared" si="54"/>
        <v>HERU PRASETIO</v>
      </c>
      <c r="U393" t="str">
        <f t="shared" si="55"/>
        <v>ENI SUSILOWATI</v>
      </c>
      <c r="V393" t="e">
        <f>VLOOKUP(O393,Lembar1!$A$4:$H$457,8,FALSE)</f>
        <v>#N/A</v>
      </c>
      <c r="W393" t="str">
        <f>IFERROR(VLOOKUP(O393,Lembar1!$A$4:$I$457,9,FALSE),C393)</f>
        <v>Karbon- Darussalam</v>
      </c>
    </row>
    <row r="394" spans="1:23" ht="15.75" thickBot="1" x14ac:dyDescent="0.3">
      <c r="A394" s="67">
        <v>45999.690312500003</v>
      </c>
      <c r="B394" s="68" t="s">
        <v>1153</v>
      </c>
      <c r="C394" s="68" t="s">
        <v>256</v>
      </c>
      <c r="D394" s="68" t="s">
        <v>1385</v>
      </c>
      <c r="E394" s="68" t="s">
        <v>10</v>
      </c>
      <c r="F394" s="69">
        <v>43194</v>
      </c>
      <c r="G394" s="68" t="s">
        <v>1386</v>
      </c>
      <c r="H394" s="68" t="s">
        <v>1387</v>
      </c>
      <c r="I394" s="68" t="s">
        <v>66</v>
      </c>
      <c r="J394" s="70" t="s">
        <v>1388</v>
      </c>
      <c r="K394" s="68" t="s">
        <v>1389</v>
      </c>
      <c r="L394" s="80" t="s">
        <v>3031</v>
      </c>
      <c r="M394" s="71"/>
      <c r="N394">
        <v>566</v>
      </c>
      <c r="O394" t="str">
        <f t="shared" si="49"/>
        <v>EBTAQ25-03.120</v>
      </c>
      <c r="P394" t="str">
        <f t="shared" si="50"/>
        <v>Muhammad fawwaz Abdul qodir</v>
      </c>
      <c r="Q394" t="str">
        <f t="shared" si="51"/>
        <v>Laki-laki</v>
      </c>
      <c r="R394" t="str">
        <f t="shared" si="52"/>
        <v>Demak</v>
      </c>
      <c r="S394" s="21">
        <f t="shared" si="53"/>
        <v>43194</v>
      </c>
      <c r="T394" t="str">
        <f t="shared" si="54"/>
        <v>Muhammad haries suddin abdol rozaq</v>
      </c>
      <c r="U394" t="str">
        <f t="shared" si="55"/>
        <v>Zulaikha nasuha</v>
      </c>
      <c r="V394" t="e">
        <f>VLOOKUP(O394,Lembar1!$A$4:$H$457,8,FALSE)</f>
        <v>#N/A</v>
      </c>
      <c r="W394" t="str">
        <f>IFERROR(VLOOKUP(O394,Lembar1!$A$4:$I$457,9,FALSE),C394)</f>
        <v>Dewoka - Nuzulur Rohmah</v>
      </c>
    </row>
    <row r="395" spans="1:23" ht="15.75" thickBot="1" x14ac:dyDescent="0.3">
      <c r="A395" s="72">
        <v>46000.735069444447</v>
      </c>
      <c r="B395" s="73" t="s">
        <v>1317</v>
      </c>
      <c r="C395" s="73" t="s">
        <v>473</v>
      </c>
      <c r="D395" s="73" t="s">
        <v>1763</v>
      </c>
      <c r="E395" s="73" t="s">
        <v>28</v>
      </c>
      <c r="F395" s="74">
        <v>41651</v>
      </c>
      <c r="G395" s="73" t="s">
        <v>1764</v>
      </c>
      <c r="H395" s="73" t="s">
        <v>1765</v>
      </c>
      <c r="I395" s="73" t="s">
        <v>66</v>
      </c>
      <c r="J395" s="75" t="s">
        <v>1766</v>
      </c>
      <c r="K395" s="73" t="s">
        <v>1767</v>
      </c>
      <c r="L395" s="80" t="s">
        <v>3075</v>
      </c>
      <c r="M395" s="71"/>
      <c r="N395">
        <v>627</v>
      </c>
      <c r="O395" t="str">
        <f t="shared" si="49"/>
        <v>EBTAQ25-04.026</v>
      </c>
      <c r="P395" t="str">
        <f t="shared" si="50"/>
        <v>MUHAMMAD JIBRIL AL MAKKI</v>
      </c>
      <c r="Q395" t="str">
        <f t="shared" si="51"/>
        <v>Laki-laki</v>
      </c>
      <c r="R395" t="str">
        <f t="shared" si="52"/>
        <v>DEMAK</v>
      </c>
      <c r="S395" s="21">
        <f t="shared" si="53"/>
        <v>41651</v>
      </c>
      <c r="T395" t="str">
        <f t="shared" si="54"/>
        <v>SRI NOTO</v>
      </c>
      <c r="U395" t="str">
        <f t="shared" si="55"/>
        <v>MIFTAKHUR RAHMAH</v>
      </c>
      <c r="V395" t="e">
        <f>VLOOKUP(O395,Lembar1!$A$4:$H$457,8,FALSE)</f>
        <v>#N/A</v>
      </c>
      <c r="W395" t="str">
        <f>IFERROR(VLOOKUP(O395,Lembar1!$A$4:$I$457,9,FALSE),C395)</f>
        <v>Karangga - Mubarokah</v>
      </c>
    </row>
    <row r="396" spans="1:23" ht="15.75" thickBot="1" x14ac:dyDescent="0.3">
      <c r="A396" s="67">
        <v>46001.73715277778</v>
      </c>
      <c r="B396" s="85" t="s">
        <v>998</v>
      </c>
      <c r="C396" s="85" t="s">
        <v>2219</v>
      </c>
      <c r="D396" s="68" t="s">
        <v>2733</v>
      </c>
      <c r="E396" s="68" t="s">
        <v>10</v>
      </c>
      <c r="F396" s="69">
        <v>42192</v>
      </c>
      <c r="G396" s="68" t="s">
        <v>2734</v>
      </c>
      <c r="H396" s="68" t="s">
        <v>2735</v>
      </c>
      <c r="I396" s="68" t="s">
        <v>66</v>
      </c>
      <c r="J396" s="70" t="s">
        <v>2736</v>
      </c>
      <c r="K396" s="68" t="s">
        <v>2737</v>
      </c>
      <c r="L396" s="80" t="s">
        <v>3150</v>
      </c>
      <c r="M396" s="71"/>
      <c r="N396">
        <v>643</v>
      </c>
      <c r="O396" t="str">
        <f t="shared" si="49"/>
        <v>EBTAQ25-05.042</v>
      </c>
      <c r="P396" t="str">
        <f t="shared" si="50"/>
        <v>MUHAMMAD KAFA ASSARIF</v>
      </c>
      <c r="Q396" t="str">
        <f t="shared" si="51"/>
        <v>Laki-laki</v>
      </c>
      <c r="R396" t="str">
        <f t="shared" si="52"/>
        <v>Demak</v>
      </c>
      <c r="S396" s="21">
        <f t="shared" si="53"/>
        <v>42192</v>
      </c>
      <c r="T396" t="str">
        <f t="shared" si="54"/>
        <v>ZUHARIS SUHARIMAN</v>
      </c>
      <c r="U396" t="str">
        <f t="shared" si="55"/>
        <v>AFIDATUL LAYINAH</v>
      </c>
      <c r="V396" t="e">
        <f>VLOOKUP(O396,Lembar1!$A$4:$H$457,8,FALSE)</f>
        <v>#N/A</v>
      </c>
      <c r="W396" t="str">
        <f>IFERROR(VLOOKUP(O396,Lembar1!$A$4:$I$457,9,FALSE),C396)</f>
        <v>Demak - TPQ ALHUSNA (MI)</v>
      </c>
    </row>
    <row r="397" spans="1:23" ht="15.75" thickBot="1" x14ac:dyDescent="0.3">
      <c r="A397" s="72">
        <v>46001.738854166666</v>
      </c>
      <c r="B397" s="84" t="s">
        <v>998</v>
      </c>
      <c r="C397" s="84" t="s">
        <v>2219</v>
      </c>
      <c r="D397" s="73" t="s">
        <v>2733</v>
      </c>
      <c r="E397" s="73" t="s">
        <v>28</v>
      </c>
      <c r="F397" s="74">
        <v>42192</v>
      </c>
      <c r="G397" s="73" t="s">
        <v>2734</v>
      </c>
      <c r="H397" s="73" t="s">
        <v>2735</v>
      </c>
      <c r="I397" s="73" t="s">
        <v>66</v>
      </c>
      <c r="J397" s="75" t="s">
        <v>2752</v>
      </c>
      <c r="K397" s="73" t="s">
        <v>2737</v>
      </c>
      <c r="L397" s="80" t="s">
        <v>3151</v>
      </c>
      <c r="M397" s="71"/>
      <c r="N397">
        <v>644</v>
      </c>
      <c r="O397" t="str">
        <f t="shared" si="49"/>
        <v>EBTAQ25-05.043</v>
      </c>
      <c r="P397" t="str">
        <f t="shared" si="50"/>
        <v>MUHAMMAD KAFA ASSARIF</v>
      </c>
      <c r="Q397" t="str">
        <f t="shared" si="51"/>
        <v>Laki-laki</v>
      </c>
      <c r="R397" t="str">
        <f t="shared" si="52"/>
        <v>DEMAK</v>
      </c>
      <c r="S397" s="21">
        <f t="shared" si="53"/>
        <v>42192</v>
      </c>
      <c r="T397" t="str">
        <f t="shared" si="54"/>
        <v>ZUHARIS SUHARIMAN</v>
      </c>
      <c r="U397" t="str">
        <f t="shared" si="55"/>
        <v>AFIDATUL LAYINAH</v>
      </c>
      <c r="V397" t="e">
        <f>VLOOKUP(O397,Lembar1!$A$4:$H$457,8,FALSE)</f>
        <v>#N/A</v>
      </c>
      <c r="W397" t="str">
        <f>IFERROR(VLOOKUP(O397,Lembar1!$A$4:$I$457,9,FALSE),C397)</f>
        <v>Demak - TPQ ALHUSNA (MI)</v>
      </c>
    </row>
    <row r="398" spans="1:23" ht="15.75" thickBot="1" x14ac:dyDescent="0.3">
      <c r="A398" s="67">
        <v>45998.794594907406</v>
      </c>
      <c r="B398" s="68" t="s">
        <v>998</v>
      </c>
      <c r="C398" s="68" t="s">
        <v>214</v>
      </c>
      <c r="D398" s="68" t="s">
        <v>1133</v>
      </c>
      <c r="E398" s="68" t="s">
        <v>10</v>
      </c>
      <c r="F398" s="69">
        <v>41588</v>
      </c>
      <c r="G398" s="68" t="s">
        <v>1134</v>
      </c>
      <c r="H398" s="68" t="s">
        <v>1135</v>
      </c>
      <c r="I398" s="68" t="s">
        <v>66</v>
      </c>
      <c r="J398" s="70" t="s">
        <v>1136</v>
      </c>
      <c r="K398" s="68" t="s">
        <v>1137</v>
      </c>
      <c r="L398" s="80" t="s">
        <v>3130</v>
      </c>
      <c r="M398" s="71"/>
      <c r="N398">
        <v>680</v>
      </c>
      <c r="O398" t="str">
        <f t="shared" si="49"/>
        <v>EBTAQ25-05.022</v>
      </c>
      <c r="P398" t="str">
        <f t="shared" si="50"/>
        <v>Muhammad Khalid Sutarji</v>
      </c>
      <c r="Q398" t="str">
        <f t="shared" si="51"/>
        <v>Laki-laki</v>
      </c>
      <c r="R398" t="str">
        <f t="shared" si="52"/>
        <v>Demak</v>
      </c>
      <c r="S398" s="21">
        <f t="shared" si="53"/>
        <v>41588</v>
      </c>
      <c r="T398" t="str">
        <f t="shared" si="54"/>
        <v>Sutarji</v>
      </c>
      <c r="U398" t="str">
        <f t="shared" si="55"/>
        <v>Novrida Ningsih Simangunsong</v>
      </c>
      <c r="V398" t="e">
        <f>VLOOKUP(O398,Lembar1!$A$4:$H$457,8,FALSE)</f>
        <v>#N/A</v>
      </c>
      <c r="W398" t="str">
        <f>IFERROR(VLOOKUP(O398,Lembar1!$A$4:$I$457,9,FALSE),C398)</f>
        <v>Karbon - TPQ Qurrotul 'Ain</v>
      </c>
    </row>
    <row r="399" spans="1:23" ht="15.75" thickBot="1" x14ac:dyDescent="0.3">
      <c r="A399" s="72">
        <v>45999.354155092595</v>
      </c>
      <c r="B399" s="73" t="s">
        <v>998</v>
      </c>
      <c r="C399" s="73" t="s">
        <v>1201</v>
      </c>
      <c r="D399" s="73" t="s">
        <v>1202</v>
      </c>
      <c r="E399" s="73" t="s">
        <v>28</v>
      </c>
      <c r="F399" s="74">
        <v>42095</v>
      </c>
      <c r="G399" s="73" t="s">
        <v>1203</v>
      </c>
      <c r="H399" s="73" t="s">
        <v>1204</v>
      </c>
      <c r="I399" s="73" t="s">
        <v>66</v>
      </c>
      <c r="J399" s="75" t="s">
        <v>1205</v>
      </c>
      <c r="K399" s="73" t="s">
        <v>1206</v>
      </c>
      <c r="L399" s="80" t="s">
        <v>3135</v>
      </c>
      <c r="M399" s="71"/>
      <c r="N399">
        <v>652</v>
      </c>
      <c r="O399" t="str">
        <f t="shared" si="49"/>
        <v>EBTAQ25-05.027</v>
      </c>
      <c r="P399" t="str">
        <f t="shared" si="50"/>
        <v>MUHAMMAD LABIB ALI MURTADHO</v>
      </c>
      <c r="Q399" t="str">
        <f t="shared" si="51"/>
        <v>Laki-laki</v>
      </c>
      <c r="R399" t="str">
        <f t="shared" si="52"/>
        <v>DEMAK</v>
      </c>
      <c r="S399" s="21">
        <f t="shared" si="53"/>
        <v>42095</v>
      </c>
      <c r="T399" t="str">
        <f t="shared" si="54"/>
        <v>SUDIRMAN</v>
      </c>
      <c r="U399" t="str">
        <f t="shared" si="55"/>
        <v>ARIFATUL KHOIRIYAH</v>
      </c>
      <c r="V399" t="e">
        <f>VLOOKUP(O399,Lembar1!$A$4:$H$457,8,FALSE)</f>
        <v>#N/A</v>
      </c>
      <c r="W399" t="str">
        <f>IFERROR(VLOOKUP(O399,Lembar1!$A$4:$I$457,9,FALSE),C399)</f>
        <v>Karbon - TPQ Darussalam</v>
      </c>
    </row>
    <row r="400" spans="1:23" ht="15.75" thickBot="1" x14ac:dyDescent="0.3">
      <c r="A400" s="67">
        <v>46000.721597222226</v>
      </c>
      <c r="B400" s="68" t="s">
        <v>1317</v>
      </c>
      <c r="C400" s="68" t="s">
        <v>742</v>
      </c>
      <c r="D400" s="68" t="s">
        <v>1747</v>
      </c>
      <c r="E400" s="68" t="s">
        <v>10</v>
      </c>
      <c r="F400" s="69">
        <v>42007</v>
      </c>
      <c r="G400" s="68" t="s">
        <v>1735</v>
      </c>
      <c r="H400" s="68" t="s">
        <v>1736</v>
      </c>
      <c r="I400" s="68" t="s">
        <v>66</v>
      </c>
      <c r="J400" s="70" t="s">
        <v>1748</v>
      </c>
      <c r="K400" s="68" t="s">
        <v>1749</v>
      </c>
      <c r="L400" s="80" t="s">
        <v>3072</v>
      </c>
      <c r="M400" s="71"/>
      <c r="N400">
        <v>601</v>
      </c>
      <c r="O400" t="str">
        <f t="shared" si="49"/>
        <v>EBTAQ25-04.023</v>
      </c>
      <c r="P400" t="str">
        <f t="shared" si="50"/>
        <v>MUHAMMAD MAULIDINA AKHSAN</v>
      </c>
      <c r="Q400" t="str">
        <f t="shared" si="51"/>
        <v>Laki-laki</v>
      </c>
      <c r="R400" t="str">
        <f t="shared" si="52"/>
        <v>Demak</v>
      </c>
      <c r="S400" s="21">
        <f t="shared" si="53"/>
        <v>42007</v>
      </c>
      <c r="T400" t="str">
        <f t="shared" si="54"/>
        <v>Ali Purwono</v>
      </c>
      <c r="U400" t="str">
        <f t="shared" si="55"/>
        <v>Lutfiatul Anisah</v>
      </c>
      <c r="V400" t="e">
        <f>VLOOKUP(O400,Lembar1!$A$4:$H$457,8,FALSE)</f>
        <v>#N/A</v>
      </c>
      <c r="W400" t="str">
        <f>IFERROR(VLOOKUP(O400,Lembar1!$A$4:$I$457,9,FALSE),C400)</f>
        <v>Karangga - Al Ijtihad Al Mubarok</v>
      </c>
    </row>
    <row r="401" spans="1:23" ht="15.75" thickBot="1" x14ac:dyDescent="0.3">
      <c r="A401" s="72">
        <v>46000.717569444445</v>
      </c>
      <c r="B401" s="73" t="s">
        <v>1317</v>
      </c>
      <c r="C401" s="73" t="s">
        <v>742</v>
      </c>
      <c r="D401" s="73" t="s">
        <v>1734</v>
      </c>
      <c r="E401" s="73" t="s">
        <v>10</v>
      </c>
      <c r="F401" s="74">
        <v>42007</v>
      </c>
      <c r="G401" s="73" t="s">
        <v>1735</v>
      </c>
      <c r="H401" s="73" t="s">
        <v>1736</v>
      </c>
      <c r="I401" s="73" t="s">
        <v>66</v>
      </c>
      <c r="J401" s="75" t="s">
        <v>1737</v>
      </c>
      <c r="K401" s="73" t="s">
        <v>1738</v>
      </c>
      <c r="L401" s="80" t="s">
        <v>3070</v>
      </c>
      <c r="M401" s="71"/>
      <c r="N401">
        <v>599</v>
      </c>
      <c r="O401" t="str">
        <f t="shared" si="49"/>
        <v>EBTAQ25-04.021</v>
      </c>
      <c r="P401" t="str">
        <f t="shared" si="50"/>
        <v>MUHAMMAD MAULIDINA AKMAL</v>
      </c>
      <c r="Q401" t="str">
        <f t="shared" si="51"/>
        <v>Laki-laki</v>
      </c>
      <c r="R401" t="str">
        <f t="shared" si="52"/>
        <v>Demak</v>
      </c>
      <c r="S401" s="21">
        <f t="shared" si="53"/>
        <v>42007</v>
      </c>
      <c r="T401" t="str">
        <f t="shared" si="54"/>
        <v>Ali Purwono</v>
      </c>
      <c r="U401" t="str">
        <f t="shared" si="55"/>
        <v>Lutfiatul Anisah</v>
      </c>
      <c r="V401" t="e">
        <f>VLOOKUP(O401,Lembar1!$A$4:$H$457,8,FALSE)</f>
        <v>#N/A</v>
      </c>
      <c r="W401" t="str">
        <f>IFERROR(VLOOKUP(O401,Lembar1!$A$4:$I$457,9,FALSE),C401)</f>
        <v>Karangga - Al Ijtihad Al Mubarok</v>
      </c>
    </row>
    <row r="402" spans="1:23" ht="15.75" thickBot="1" x14ac:dyDescent="0.3">
      <c r="A402" s="67">
        <v>45999.439074074071</v>
      </c>
      <c r="B402" s="68" t="s">
        <v>1153</v>
      </c>
      <c r="C402" s="68" t="s">
        <v>1260</v>
      </c>
      <c r="D402" s="68" t="s">
        <v>1261</v>
      </c>
      <c r="E402" s="68" t="s">
        <v>10</v>
      </c>
      <c r="F402" s="69">
        <v>43233</v>
      </c>
      <c r="G402" s="68" t="s">
        <v>1262</v>
      </c>
      <c r="H402" s="68" t="s">
        <v>1263</v>
      </c>
      <c r="I402" s="68" t="s">
        <v>66</v>
      </c>
      <c r="J402" s="70" t="s">
        <v>1264</v>
      </c>
      <c r="K402" s="68" t="s">
        <v>1265</v>
      </c>
      <c r="L402" s="80" t="s">
        <v>3024</v>
      </c>
      <c r="M402" s="71"/>
      <c r="N402">
        <v>572</v>
      </c>
      <c r="O402" t="str">
        <f t="shared" si="49"/>
        <v>EBTAQ25-03.113</v>
      </c>
      <c r="P402" t="str">
        <f t="shared" si="50"/>
        <v>Muhammad Muwafiq</v>
      </c>
      <c r="Q402" t="str">
        <f t="shared" si="51"/>
        <v>Laki-laki</v>
      </c>
      <c r="R402" t="str">
        <f t="shared" si="52"/>
        <v>Demak</v>
      </c>
      <c r="S402" s="21">
        <f t="shared" si="53"/>
        <v>43233</v>
      </c>
      <c r="T402" t="str">
        <f t="shared" si="54"/>
        <v>Rohmanto</v>
      </c>
      <c r="U402" t="str">
        <f t="shared" si="55"/>
        <v>Zahrotul ummah</v>
      </c>
      <c r="V402" t="e">
        <f>VLOOKUP(O402,Lembar1!$A$4:$H$457,8,FALSE)</f>
        <v>#N/A</v>
      </c>
      <c r="W402" t="str">
        <f>IFERROR(VLOOKUP(O402,Lembar1!$A$4:$I$457,9,FALSE),C402)</f>
        <v>Dewoka - Roudlotul Muta'allimin</v>
      </c>
    </row>
    <row r="403" spans="1:23" ht="15.75" thickBot="1" x14ac:dyDescent="0.3">
      <c r="A403" s="72">
        <v>46000.77915509259</v>
      </c>
      <c r="B403" s="73" t="s">
        <v>1317</v>
      </c>
      <c r="C403" s="73" t="s">
        <v>484</v>
      </c>
      <c r="D403" s="73" t="s">
        <v>1835</v>
      </c>
      <c r="E403" s="73" t="s">
        <v>10</v>
      </c>
      <c r="F403" s="74">
        <v>41629</v>
      </c>
      <c r="G403" s="73" t="s">
        <v>1836</v>
      </c>
      <c r="H403" s="73" t="s">
        <v>1837</v>
      </c>
      <c r="I403" s="73" t="s">
        <v>66</v>
      </c>
      <c r="J403" s="75" t="s">
        <v>1838</v>
      </c>
      <c r="K403" s="73" t="s">
        <v>1839</v>
      </c>
      <c r="L403" s="80" t="s">
        <v>3081</v>
      </c>
      <c r="M403" s="71"/>
      <c r="N403">
        <v>581</v>
      </c>
      <c r="O403" t="str">
        <f t="shared" si="49"/>
        <v>EBTAQ25-04.032</v>
      </c>
      <c r="P403" t="str">
        <f t="shared" si="50"/>
        <v>MUHAMMAD NAUFAL HASAN</v>
      </c>
      <c r="Q403" t="str">
        <f t="shared" si="51"/>
        <v>Laki-laki</v>
      </c>
      <c r="R403" t="str">
        <f t="shared" si="52"/>
        <v>Demak</v>
      </c>
      <c r="S403" s="21">
        <f t="shared" si="53"/>
        <v>41629</v>
      </c>
      <c r="T403" t="str">
        <f t="shared" si="54"/>
        <v>Susilo</v>
      </c>
      <c r="U403" t="str">
        <f t="shared" si="55"/>
        <v>Widya Desianingsih</v>
      </c>
      <c r="V403" t="e">
        <f>VLOOKUP(O403,Lembar1!$A$4:$H$457,8,FALSE)</f>
        <v>#N/A</v>
      </c>
      <c r="W403" t="str">
        <f>IFERROR(VLOOKUP(O403,Lembar1!$A$4:$I$457,9,FALSE),C403)</f>
        <v>Karangga - Al Hikmah</v>
      </c>
    </row>
    <row r="404" spans="1:23" ht="15.75" thickBot="1" x14ac:dyDescent="0.3">
      <c r="A404" s="67">
        <v>45999.367615740739</v>
      </c>
      <c r="B404" s="68" t="s">
        <v>998</v>
      </c>
      <c r="C404" s="68" t="s">
        <v>1201</v>
      </c>
      <c r="D404" s="68" t="s">
        <v>1227</v>
      </c>
      <c r="E404" s="68" t="s">
        <v>10</v>
      </c>
      <c r="F404" s="69">
        <v>41750</v>
      </c>
      <c r="G404" s="68" t="s">
        <v>1228</v>
      </c>
      <c r="H404" s="68" t="s">
        <v>1229</v>
      </c>
      <c r="I404" s="68" t="s">
        <v>66</v>
      </c>
      <c r="J404" s="70" t="s">
        <v>1230</v>
      </c>
      <c r="K404" s="68" t="s">
        <v>1231</v>
      </c>
      <c r="L404" s="80" t="s">
        <v>3136</v>
      </c>
      <c r="M404" s="71"/>
      <c r="N404">
        <v>653</v>
      </c>
      <c r="O404" t="str">
        <f t="shared" si="49"/>
        <v>EBTAQ25-05.028</v>
      </c>
      <c r="P404" t="str">
        <f t="shared" si="50"/>
        <v>MUHAMMAD ROBITH AZAMI</v>
      </c>
      <c r="Q404" t="str">
        <f t="shared" si="51"/>
        <v>Laki-laki</v>
      </c>
      <c r="R404" t="str">
        <f t="shared" si="52"/>
        <v>Demak</v>
      </c>
      <c r="S404" s="21">
        <f t="shared" si="53"/>
        <v>41750</v>
      </c>
      <c r="T404" t="str">
        <f t="shared" si="54"/>
        <v>Ismail</v>
      </c>
      <c r="U404" t="str">
        <f t="shared" si="55"/>
        <v>Siti Asrofatunnihayah</v>
      </c>
      <c r="V404" t="e">
        <f>VLOOKUP(O404,Lembar1!$A$4:$H$457,8,FALSE)</f>
        <v>#N/A</v>
      </c>
      <c r="W404" t="str">
        <f>IFERROR(VLOOKUP(O404,Lembar1!$A$4:$I$457,9,FALSE),C404)</f>
        <v>Karbon - TPQ Darussalam</v>
      </c>
    </row>
    <row r="405" spans="1:23" ht="15.75" thickBot="1" x14ac:dyDescent="0.3">
      <c r="A405" s="72">
        <v>45998.851597222223</v>
      </c>
      <c r="B405" s="73" t="s">
        <v>998</v>
      </c>
      <c r="C405" s="73" t="s">
        <v>214</v>
      </c>
      <c r="D405" s="73" t="s">
        <v>1143</v>
      </c>
      <c r="E405" s="73" t="s">
        <v>59</v>
      </c>
      <c r="F405" s="74">
        <v>42334</v>
      </c>
      <c r="G405" s="73" t="s">
        <v>1144</v>
      </c>
      <c r="H405" s="73" t="s">
        <v>1145</v>
      </c>
      <c r="I405" s="73" t="s">
        <v>66</v>
      </c>
      <c r="J405" s="75" t="s">
        <v>1146</v>
      </c>
      <c r="K405" s="73" t="s">
        <v>1147</v>
      </c>
      <c r="L405" s="80" t="s">
        <v>3132</v>
      </c>
      <c r="M405" s="71"/>
      <c r="N405">
        <v>682</v>
      </c>
      <c r="O405" t="str">
        <f t="shared" si="49"/>
        <v>EBTAQ25-05.024</v>
      </c>
      <c r="P405" t="str">
        <f t="shared" si="50"/>
        <v>Muhammad Zidan Alfarisi</v>
      </c>
      <c r="Q405" t="str">
        <f t="shared" si="51"/>
        <v>Laki-laki</v>
      </c>
      <c r="R405" t="str">
        <f t="shared" si="52"/>
        <v>Semarang</v>
      </c>
      <c r="S405" s="21">
        <f t="shared" si="53"/>
        <v>42334</v>
      </c>
      <c r="T405" t="str">
        <f t="shared" si="54"/>
        <v>Saiful Amri</v>
      </c>
      <c r="U405" t="str">
        <f t="shared" si="55"/>
        <v>Maftukah</v>
      </c>
      <c r="V405" t="e">
        <f>VLOOKUP(O405,Lembar1!$A$4:$H$457,8,FALSE)</f>
        <v>#N/A</v>
      </c>
      <c r="W405" t="str">
        <f>IFERROR(VLOOKUP(O405,Lembar1!$A$4:$I$457,9,FALSE),C405)</f>
        <v>Karbon - TPQ Qurrotul 'Ain</v>
      </c>
    </row>
    <row r="406" spans="1:23" ht="15.75" thickBot="1" x14ac:dyDescent="0.3">
      <c r="A406" s="67">
        <v>45998.892847222225</v>
      </c>
      <c r="B406" s="68" t="s">
        <v>998</v>
      </c>
      <c r="C406" s="68" t="s">
        <v>214</v>
      </c>
      <c r="D406" s="68" t="s">
        <v>1143</v>
      </c>
      <c r="E406" s="68" t="s">
        <v>59</v>
      </c>
      <c r="F406" s="69">
        <v>42334</v>
      </c>
      <c r="G406" s="68" t="s">
        <v>1144</v>
      </c>
      <c r="H406" s="68" t="s">
        <v>1145</v>
      </c>
      <c r="I406" s="68" t="s">
        <v>66</v>
      </c>
      <c r="J406" s="70" t="s">
        <v>1148</v>
      </c>
      <c r="K406" s="68" t="s">
        <v>1149</v>
      </c>
      <c r="L406" s="80" t="s">
        <v>3133</v>
      </c>
      <c r="M406" s="71"/>
      <c r="N406">
        <v>683</v>
      </c>
      <c r="O406" t="str">
        <f t="shared" si="49"/>
        <v>EBTAQ25-05.025</v>
      </c>
      <c r="P406" t="str">
        <f t="shared" si="50"/>
        <v>Muhammad Zidan Alfarisi</v>
      </c>
      <c r="Q406" t="str">
        <f t="shared" si="51"/>
        <v>Laki-laki</v>
      </c>
      <c r="R406" t="str">
        <f t="shared" si="52"/>
        <v>Semarang</v>
      </c>
      <c r="S406" s="21">
        <f t="shared" si="53"/>
        <v>42334</v>
      </c>
      <c r="T406" t="str">
        <f t="shared" si="54"/>
        <v>Saiful Amri</v>
      </c>
      <c r="U406" t="str">
        <f t="shared" si="55"/>
        <v>Maftukah</v>
      </c>
      <c r="V406" t="e">
        <f>VLOOKUP(O406,Lembar1!$A$4:$H$457,8,FALSE)</f>
        <v>#N/A</v>
      </c>
      <c r="W406" t="str">
        <f>IFERROR(VLOOKUP(O406,Lembar1!$A$4:$I$457,9,FALSE),C406)</f>
        <v>Karbon - TPQ Qurrotul 'Ain</v>
      </c>
    </row>
    <row r="407" spans="1:23" ht="15.75" thickBot="1" x14ac:dyDescent="0.3">
      <c r="A407" s="72">
        <v>46000.837939814817</v>
      </c>
      <c r="B407" s="73" t="s">
        <v>1153</v>
      </c>
      <c r="C407" s="73" t="s">
        <v>256</v>
      </c>
      <c r="D407" s="73" t="s">
        <v>1892</v>
      </c>
      <c r="E407" s="73" t="s">
        <v>1893</v>
      </c>
      <c r="F407" s="74">
        <v>42609</v>
      </c>
      <c r="G407" s="73" t="s">
        <v>1894</v>
      </c>
      <c r="H407" s="73" t="s">
        <v>1895</v>
      </c>
      <c r="I407" s="73" t="s">
        <v>2</v>
      </c>
      <c r="J407" s="75" t="s">
        <v>1896</v>
      </c>
      <c r="K407" s="73" t="s">
        <v>1897</v>
      </c>
      <c r="L407" s="80" t="s">
        <v>3049</v>
      </c>
      <c r="M407" s="71"/>
      <c r="N407">
        <v>571</v>
      </c>
      <c r="O407" t="str">
        <f t="shared" si="49"/>
        <v>EBTAQ25-03.138</v>
      </c>
      <c r="P407" t="str">
        <f t="shared" si="50"/>
        <v>Mumtazah Mazinatul Aqilah</v>
      </c>
      <c r="Q407" t="str">
        <f t="shared" si="51"/>
        <v>Perempuan</v>
      </c>
      <c r="R407" t="str">
        <f t="shared" si="52"/>
        <v>Tabanan</v>
      </c>
      <c r="S407" s="21">
        <f t="shared" si="53"/>
        <v>42609</v>
      </c>
      <c r="T407" t="str">
        <f t="shared" si="54"/>
        <v>Muhammad Abdul Rozaq</v>
      </c>
      <c r="U407" t="str">
        <f t="shared" si="55"/>
        <v>Astuti</v>
      </c>
      <c r="V407" t="e">
        <f>VLOOKUP(O407,Lembar1!$A$4:$H$457,8,FALSE)</f>
        <v>#N/A</v>
      </c>
      <c r="W407" t="str">
        <f>IFERROR(VLOOKUP(O407,Lembar1!$A$4:$I$457,9,FALSE),C407)</f>
        <v>Dewoka - Nuzulur Rohmah</v>
      </c>
    </row>
    <row r="408" spans="1:23" ht="15.75" thickBot="1" x14ac:dyDescent="0.3">
      <c r="A408" s="67">
        <v>46000.893240740741</v>
      </c>
      <c r="B408" s="68" t="s">
        <v>1317</v>
      </c>
      <c r="C408" s="68" t="s">
        <v>1907</v>
      </c>
      <c r="D408" s="68" t="s">
        <v>1931</v>
      </c>
      <c r="E408" s="68" t="s">
        <v>10</v>
      </c>
      <c r="F408" s="69">
        <v>42556</v>
      </c>
      <c r="G408" s="68" t="s">
        <v>1932</v>
      </c>
      <c r="H408" s="68" t="s">
        <v>1933</v>
      </c>
      <c r="I408" s="68" t="s">
        <v>2</v>
      </c>
      <c r="J408" s="70" t="s">
        <v>1934</v>
      </c>
      <c r="K408" s="68" t="s">
        <v>1935</v>
      </c>
      <c r="L408" s="80" t="s">
        <v>3091</v>
      </c>
      <c r="M408" s="71"/>
      <c r="N408">
        <v>639</v>
      </c>
      <c r="O408" t="str">
        <f t="shared" si="49"/>
        <v>EBTAQ25-04.042</v>
      </c>
      <c r="P408" t="str">
        <f t="shared" si="50"/>
        <v>MUTIARA PUTRI RAMADHANI</v>
      </c>
      <c r="Q408" t="str">
        <f t="shared" si="51"/>
        <v>Perempuan</v>
      </c>
      <c r="R408" t="str">
        <f t="shared" si="52"/>
        <v>Demak</v>
      </c>
      <c r="S408" s="21">
        <f t="shared" si="53"/>
        <v>42556</v>
      </c>
      <c r="T408" t="str">
        <f t="shared" si="54"/>
        <v>KHOIRUR ROZI</v>
      </c>
      <c r="U408" t="str">
        <f t="shared" si="55"/>
        <v>MIFTAKHUL ROHMAH</v>
      </c>
      <c r="V408" t="e">
        <f>VLOOKUP(O408,Lembar1!$A$4:$H$457,8,FALSE)</f>
        <v>#N/A</v>
      </c>
      <c r="W408" t="str">
        <f>IFERROR(VLOOKUP(O408,Lembar1!$A$4:$I$457,9,FALSE),C408)</f>
        <v>Karangga - Nurul Huda Undaan Kidul</v>
      </c>
    </row>
    <row r="409" spans="1:23" ht="15.75" thickBot="1" x14ac:dyDescent="0.3">
      <c r="A409" s="72">
        <v>45995.547974537039</v>
      </c>
      <c r="B409" s="73" t="s">
        <v>998</v>
      </c>
      <c r="C409" s="73" t="s">
        <v>1038</v>
      </c>
      <c r="D409" s="73" t="s">
        <v>1049</v>
      </c>
      <c r="E409" s="73" t="s">
        <v>28</v>
      </c>
      <c r="F409" s="74">
        <v>42330</v>
      </c>
      <c r="G409" s="73" t="s">
        <v>1050</v>
      </c>
      <c r="H409" s="73" t="s">
        <v>1041</v>
      </c>
      <c r="I409" s="73" t="s">
        <v>2</v>
      </c>
      <c r="J409" s="75" t="s">
        <v>1051</v>
      </c>
      <c r="K409" s="73" t="s">
        <v>1052</v>
      </c>
      <c r="L409" s="80" t="s">
        <v>3119</v>
      </c>
      <c r="M409" s="71"/>
      <c r="N409">
        <v>664</v>
      </c>
      <c r="O409" t="str">
        <f t="shared" si="49"/>
        <v>EBTAQ25-05.011</v>
      </c>
      <c r="P409" t="str">
        <f t="shared" si="50"/>
        <v>NABILA NAILU ZAKIYYATUL MUNA</v>
      </c>
      <c r="Q409" t="str">
        <f t="shared" si="51"/>
        <v>Perempuan</v>
      </c>
      <c r="R409" t="str">
        <f t="shared" si="52"/>
        <v>DEMAK</v>
      </c>
      <c r="S409" s="21">
        <f t="shared" si="53"/>
        <v>42330</v>
      </c>
      <c r="T409" t="str">
        <f t="shared" si="54"/>
        <v>MUHAMAD KOERI</v>
      </c>
      <c r="U409" t="str">
        <f t="shared" si="55"/>
        <v>ROMLAH</v>
      </c>
      <c r="V409" t="e">
        <f>VLOOKUP(O409,Lembar1!$A$4:$H$457,8,FALSE)</f>
        <v>#N/A</v>
      </c>
      <c r="W409" t="str">
        <f>IFERROR(VLOOKUP(O409,Lembar1!$A$4:$I$457,9,FALSE),C409)</f>
        <v>Karbon - TPQ Nahdlotul Qur'an</v>
      </c>
    </row>
    <row r="410" spans="1:23" ht="15.75" thickBot="1" x14ac:dyDescent="0.3">
      <c r="A410" s="67">
        <v>46001.520277777781</v>
      </c>
      <c r="B410" s="68" t="s">
        <v>998</v>
      </c>
      <c r="C410" s="68" t="s">
        <v>1038</v>
      </c>
      <c r="D410" s="68" t="s">
        <v>2144</v>
      </c>
      <c r="E410" s="68" t="s">
        <v>402</v>
      </c>
      <c r="F410" s="69">
        <v>42330</v>
      </c>
      <c r="G410" s="68" t="s">
        <v>2145</v>
      </c>
      <c r="H410" s="68" t="s">
        <v>2146</v>
      </c>
      <c r="I410" s="68" t="s">
        <v>2</v>
      </c>
      <c r="J410" s="70" t="s">
        <v>2147</v>
      </c>
      <c r="K410" s="68" t="s">
        <v>1052</v>
      </c>
      <c r="L410" s="80" t="s">
        <v>3141</v>
      </c>
      <c r="M410" s="71"/>
      <c r="N410">
        <v>668</v>
      </c>
      <c r="O410" t="str">
        <f t="shared" si="49"/>
        <v>EBTAQ25-05.033</v>
      </c>
      <c r="P410" t="str">
        <f t="shared" si="50"/>
        <v>nabila nailu zakiyyatul muna</v>
      </c>
      <c r="Q410" t="str">
        <f t="shared" si="51"/>
        <v>Perempuan</v>
      </c>
      <c r="R410" t="str">
        <f t="shared" si="52"/>
        <v>demak</v>
      </c>
      <c r="S410" s="21">
        <f t="shared" si="53"/>
        <v>42330</v>
      </c>
      <c r="T410" t="str">
        <f t="shared" si="54"/>
        <v>muhamad koeri</v>
      </c>
      <c r="U410" t="str">
        <f t="shared" si="55"/>
        <v>romlah</v>
      </c>
      <c r="V410" t="e">
        <f>VLOOKUP(O410,Lembar1!$A$4:$H$457,8,FALSE)</f>
        <v>#N/A</v>
      </c>
      <c r="W410" t="str">
        <f>IFERROR(VLOOKUP(O410,Lembar1!$A$4:$I$457,9,FALSE),C410)</f>
        <v>Karbon - TPQ Nahdlotul Qur'an</v>
      </c>
    </row>
    <row r="411" spans="1:23" ht="15.75" thickBot="1" x14ac:dyDescent="0.3">
      <c r="A411" s="72">
        <v>46001.584409722222</v>
      </c>
      <c r="B411" s="73" t="s">
        <v>1317</v>
      </c>
      <c r="C411" s="73" t="s">
        <v>473</v>
      </c>
      <c r="D411" s="73" t="s">
        <v>2179</v>
      </c>
      <c r="E411" s="73" t="s">
        <v>10</v>
      </c>
      <c r="F411" s="74">
        <v>42145</v>
      </c>
      <c r="G411" s="73" t="s">
        <v>2180</v>
      </c>
      <c r="H411" s="73" t="s">
        <v>2181</v>
      </c>
      <c r="I411" s="73" t="s">
        <v>66</v>
      </c>
      <c r="J411" s="75" t="s">
        <v>2182</v>
      </c>
      <c r="K411" s="73" t="s">
        <v>2183</v>
      </c>
      <c r="L411" s="80" t="s">
        <v>3107</v>
      </c>
      <c r="M411" s="71"/>
      <c r="N411">
        <v>633</v>
      </c>
      <c r="O411" t="str">
        <f t="shared" si="49"/>
        <v>EBTAQ25-04.058</v>
      </c>
      <c r="P411" t="str">
        <f t="shared" si="50"/>
        <v>Nadhif Ali Sya'ban</v>
      </c>
      <c r="Q411" t="str">
        <f t="shared" si="51"/>
        <v>Laki-laki</v>
      </c>
      <c r="R411" t="str">
        <f t="shared" si="52"/>
        <v>Demak</v>
      </c>
      <c r="S411" s="21">
        <f t="shared" si="53"/>
        <v>42145</v>
      </c>
      <c r="T411" t="str">
        <f t="shared" si="54"/>
        <v>Fuadi Anwar</v>
      </c>
      <c r="U411" t="str">
        <f t="shared" si="55"/>
        <v>Mustofiyah</v>
      </c>
      <c r="V411" t="e">
        <f>VLOOKUP(O411,Lembar1!$A$4:$H$457,8,FALSE)</f>
        <v>#N/A</v>
      </c>
      <c r="W411" t="str">
        <f>IFERROR(VLOOKUP(O411,Lembar1!$A$4:$I$457,9,FALSE),C411)</f>
        <v>Karangga - Mubarokah</v>
      </c>
    </row>
    <row r="412" spans="1:23" ht="15.75" thickBot="1" x14ac:dyDescent="0.3">
      <c r="A412" s="67">
        <v>46000.492789351854</v>
      </c>
      <c r="B412" s="68" t="s">
        <v>1153</v>
      </c>
      <c r="C412" s="68" t="s">
        <v>256</v>
      </c>
      <c r="D412" s="68" t="s">
        <v>1518</v>
      </c>
      <c r="E412" s="68" t="s">
        <v>10</v>
      </c>
      <c r="F412" s="69">
        <v>42323</v>
      </c>
      <c r="G412" s="68" t="s">
        <v>1519</v>
      </c>
      <c r="H412" s="68" t="s">
        <v>1520</v>
      </c>
      <c r="I412" s="68" t="s">
        <v>2</v>
      </c>
      <c r="J412" s="70" t="s">
        <v>1521</v>
      </c>
      <c r="K412" s="68" t="s">
        <v>1522</v>
      </c>
      <c r="L412" s="80" t="s">
        <v>3036</v>
      </c>
      <c r="M412" s="71"/>
      <c r="N412">
        <v>570</v>
      </c>
      <c r="O412" t="str">
        <f t="shared" si="49"/>
        <v>EBTAQ25-03.125</v>
      </c>
      <c r="P412" t="str">
        <f t="shared" si="50"/>
        <v>Nafisa Putri Aruna</v>
      </c>
      <c r="Q412" t="str">
        <f t="shared" si="51"/>
        <v>Perempuan</v>
      </c>
      <c r="R412" t="str">
        <f t="shared" si="52"/>
        <v>Demak</v>
      </c>
      <c r="S412" s="21">
        <f t="shared" si="53"/>
        <v>42323</v>
      </c>
      <c r="T412" t="str">
        <f t="shared" si="54"/>
        <v>Slamet Riyadi</v>
      </c>
      <c r="U412" t="str">
        <f t="shared" si="55"/>
        <v>Erni Sulistyawati</v>
      </c>
      <c r="V412" t="e">
        <f>VLOOKUP(O412,Lembar1!$A$4:$H$457,8,FALSE)</f>
        <v>#N/A</v>
      </c>
      <c r="W412" t="str">
        <f>IFERROR(VLOOKUP(O412,Lembar1!$A$4:$I$457,9,FALSE),C412)</f>
        <v>Dewoka - Nuzulur Rohmah</v>
      </c>
    </row>
    <row r="413" spans="1:23" ht="15.75" thickBot="1" x14ac:dyDescent="0.3">
      <c r="A413" s="72">
        <v>45999.878692129627</v>
      </c>
      <c r="B413" s="73" t="s">
        <v>1153</v>
      </c>
      <c r="C413" s="73" t="s">
        <v>1260</v>
      </c>
      <c r="D413" s="73" t="s">
        <v>1418</v>
      </c>
      <c r="E413" s="73" t="s">
        <v>328</v>
      </c>
      <c r="F413" s="74">
        <v>43922</v>
      </c>
      <c r="G413" s="73" t="s">
        <v>1419</v>
      </c>
      <c r="H413" s="73" t="s">
        <v>1420</v>
      </c>
      <c r="I413" s="73" t="s">
        <v>2</v>
      </c>
      <c r="J413" s="75" t="s">
        <v>1421</v>
      </c>
      <c r="K413" s="73" t="s">
        <v>1422</v>
      </c>
      <c r="L413" s="80" t="s">
        <v>3034</v>
      </c>
      <c r="M413" s="71"/>
      <c r="N413">
        <v>576</v>
      </c>
      <c r="O413" t="str">
        <f t="shared" si="49"/>
        <v>EBTAQ25-03.123</v>
      </c>
      <c r="P413" t="str">
        <f t="shared" si="50"/>
        <v>Na'ilatul izzah</v>
      </c>
      <c r="Q413" t="str">
        <f t="shared" si="51"/>
        <v>Perempuan</v>
      </c>
      <c r="R413" t="str">
        <f t="shared" si="52"/>
        <v>Grobogan</v>
      </c>
      <c r="S413" s="21">
        <f t="shared" si="53"/>
        <v>43922</v>
      </c>
      <c r="T413" t="str">
        <f t="shared" si="54"/>
        <v>Muh Arwani</v>
      </c>
      <c r="U413" t="str">
        <f t="shared" si="55"/>
        <v>Siti Mundakiroh</v>
      </c>
      <c r="V413" t="e">
        <f>VLOOKUP(O413,Lembar1!$A$4:$H$457,8,FALSE)</f>
        <v>#N/A</v>
      </c>
      <c r="W413" t="str">
        <f>IFERROR(VLOOKUP(O413,Lembar1!$A$4:$I$457,9,FALSE),C413)</f>
        <v>Dewoka - Roudlotul Muta'allimin</v>
      </c>
    </row>
    <row r="414" spans="1:23" ht="15.75" thickBot="1" x14ac:dyDescent="0.3">
      <c r="A414" s="67">
        <v>46001.642384259256</v>
      </c>
      <c r="B414" s="68" t="s">
        <v>1317</v>
      </c>
      <c r="C414" s="68" t="s">
        <v>511</v>
      </c>
      <c r="D414" s="68" t="s">
        <v>1459</v>
      </c>
      <c r="E414" s="68" t="s">
        <v>1255</v>
      </c>
      <c r="F414" s="69">
        <v>41734</v>
      </c>
      <c r="G414" s="68" t="s">
        <v>2366</v>
      </c>
      <c r="H414" s="68" t="s">
        <v>2367</v>
      </c>
      <c r="I414" s="68" t="s">
        <v>66</v>
      </c>
      <c r="J414" s="70" t="s">
        <v>2368</v>
      </c>
      <c r="K414" s="68" t="s">
        <v>2369</v>
      </c>
      <c r="L414" s="80" t="s">
        <v>3110</v>
      </c>
      <c r="M414" s="71"/>
      <c r="N414">
        <v>614</v>
      </c>
      <c r="O414" t="str">
        <f t="shared" si="49"/>
        <v>EBTAQ25-04.061</v>
      </c>
      <c r="P414" t="str">
        <f t="shared" si="50"/>
        <v>NAUFAL VIDI APRILIO</v>
      </c>
      <c r="Q414" t="str">
        <f t="shared" si="51"/>
        <v>Laki-laki</v>
      </c>
      <c r="R414" t="str">
        <f t="shared" si="52"/>
        <v>GROBOGAN</v>
      </c>
      <c r="S414" s="21">
        <f t="shared" si="53"/>
        <v>41734</v>
      </c>
      <c r="T414" t="str">
        <f t="shared" si="54"/>
        <v>BUDI PRASETYO</v>
      </c>
      <c r="U414" t="str">
        <f t="shared" si="55"/>
        <v>FIFI HANDAYANTI</v>
      </c>
      <c r="V414" t="e">
        <f>VLOOKUP(O414,Lembar1!$A$4:$H$457,8,FALSE)</f>
        <v>#N/A</v>
      </c>
      <c r="W414" t="str">
        <f>IFERROR(VLOOKUP(O414,Lembar1!$A$4:$I$457,9,FALSE),C414)</f>
        <v>Karangga - Miftahul Ulum</v>
      </c>
    </row>
    <row r="415" spans="1:23" ht="15.75" thickBot="1" x14ac:dyDescent="0.3">
      <c r="A415" s="72">
        <v>46001.847418981481</v>
      </c>
      <c r="B415" s="73" t="s">
        <v>1317</v>
      </c>
      <c r="C415" s="73" t="s">
        <v>511</v>
      </c>
      <c r="D415" s="73" t="s">
        <v>1459</v>
      </c>
      <c r="E415" s="73" t="s">
        <v>1255</v>
      </c>
      <c r="F415" s="74">
        <v>41734</v>
      </c>
      <c r="G415" s="73" t="s">
        <v>1460</v>
      </c>
      <c r="H415" s="73" t="s">
        <v>1461</v>
      </c>
      <c r="I415" s="73" t="s">
        <v>66</v>
      </c>
      <c r="J415" s="75" t="s">
        <v>1462</v>
      </c>
      <c r="K415" s="73" t="s">
        <v>1463</v>
      </c>
      <c r="L415" s="80" t="s">
        <v>3054</v>
      </c>
      <c r="M415" s="71"/>
      <c r="N415">
        <v>616</v>
      </c>
      <c r="O415" t="str">
        <f t="shared" si="49"/>
        <v>EBTAQ25-04.005</v>
      </c>
      <c r="P415" t="str">
        <f t="shared" si="50"/>
        <v>NAUFAL VIDI APRILIO</v>
      </c>
      <c r="Q415" t="str">
        <f t="shared" si="51"/>
        <v>Laki-laki</v>
      </c>
      <c r="R415" t="str">
        <f t="shared" si="52"/>
        <v>GROBOGAN</v>
      </c>
      <c r="S415" s="21">
        <f t="shared" si="53"/>
        <v>41734</v>
      </c>
      <c r="T415" t="str">
        <f t="shared" si="54"/>
        <v>Budi prasetyo</v>
      </c>
      <c r="U415" t="str">
        <f t="shared" si="55"/>
        <v>Fifi handayanti</v>
      </c>
      <c r="V415" t="e">
        <f>VLOOKUP(O415,Lembar1!$A$4:$H$457,8,FALSE)</f>
        <v>#N/A</v>
      </c>
      <c r="W415" t="str">
        <f>IFERROR(VLOOKUP(O415,Lembar1!$A$4:$I$457,9,FALSE),C415)</f>
        <v>Karangga - Miftahul Ulum</v>
      </c>
    </row>
    <row r="416" spans="1:23" ht="15.75" thickBot="1" x14ac:dyDescent="0.3">
      <c r="A416" s="67">
        <v>45995.542094907411</v>
      </c>
      <c r="B416" s="68" t="s">
        <v>998</v>
      </c>
      <c r="C416" s="68" t="s">
        <v>1038</v>
      </c>
      <c r="D416" s="68" t="s">
        <v>1044</v>
      </c>
      <c r="E416" s="68" t="s">
        <v>402</v>
      </c>
      <c r="F416" s="69">
        <v>42349</v>
      </c>
      <c r="G416" s="68" t="s">
        <v>1045</v>
      </c>
      <c r="H416" s="68" t="s">
        <v>1046</v>
      </c>
      <c r="I416" s="68" t="s">
        <v>2</v>
      </c>
      <c r="J416" s="70" t="s">
        <v>1047</v>
      </c>
      <c r="K416" s="68" t="s">
        <v>1048</v>
      </c>
      <c r="L416" s="80" t="s">
        <v>3118</v>
      </c>
      <c r="M416" s="71"/>
      <c r="N416">
        <v>663</v>
      </c>
      <c r="O416" t="str">
        <f t="shared" si="49"/>
        <v>EBTAQ25-05.010</v>
      </c>
      <c r="P416" t="str">
        <f t="shared" si="50"/>
        <v>naura latisha aquina</v>
      </c>
      <c r="Q416" t="str">
        <f t="shared" si="51"/>
        <v>Perempuan</v>
      </c>
      <c r="R416" t="str">
        <f t="shared" si="52"/>
        <v>demak</v>
      </c>
      <c r="S416" s="21">
        <f t="shared" si="53"/>
        <v>42349</v>
      </c>
      <c r="T416" t="str">
        <f t="shared" si="54"/>
        <v>ahmad saefudin</v>
      </c>
      <c r="U416" t="str">
        <f t="shared" si="55"/>
        <v>ropiah</v>
      </c>
      <c r="V416" t="e">
        <f>VLOOKUP(O416,Lembar1!$A$4:$H$457,8,FALSE)</f>
        <v>#N/A</v>
      </c>
      <c r="W416" t="str">
        <f>IFERROR(VLOOKUP(O416,Lembar1!$A$4:$I$457,9,FALSE),C416)</f>
        <v>Karbon - TPQ Nahdlotul Qur'an</v>
      </c>
    </row>
    <row r="417" spans="1:23" ht="15.75" thickBot="1" x14ac:dyDescent="0.3">
      <c r="A417" s="72">
        <v>46001.53266203704</v>
      </c>
      <c r="B417" s="73" t="s">
        <v>998</v>
      </c>
      <c r="C417" s="73" t="s">
        <v>1038</v>
      </c>
      <c r="D417" s="73" t="s">
        <v>1044</v>
      </c>
      <c r="E417" s="73" t="s">
        <v>402</v>
      </c>
      <c r="F417" s="74">
        <v>42349</v>
      </c>
      <c r="G417" s="73" t="s">
        <v>1045</v>
      </c>
      <c r="H417" s="73" t="s">
        <v>1046</v>
      </c>
      <c r="I417" s="73" t="s">
        <v>2</v>
      </c>
      <c r="J417" s="75" t="s">
        <v>2155</v>
      </c>
      <c r="K417" s="73" t="s">
        <v>1043</v>
      </c>
      <c r="L417" s="80" t="s">
        <v>3144</v>
      </c>
      <c r="M417" s="71"/>
      <c r="N417">
        <v>671</v>
      </c>
      <c r="O417" t="str">
        <f t="shared" si="49"/>
        <v>EBTAQ25-05.036</v>
      </c>
      <c r="P417" t="str">
        <f t="shared" si="50"/>
        <v>naura latisha aquina</v>
      </c>
      <c r="Q417" t="str">
        <f t="shared" si="51"/>
        <v>Perempuan</v>
      </c>
      <c r="R417" t="str">
        <f t="shared" si="52"/>
        <v>demak</v>
      </c>
      <c r="S417" s="21">
        <f t="shared" si="53"/>
        <v>42349</v>
      </c>
      <c r="T417" t="str">
        <f t="shared" si="54"/>
        <v>ahmad saefudin</v>
      </c>
      <c r="U417" t="str">
        <f t="shared" si="55"/>
        <v>ropiah</v>
      </c>
      <c r="V417" t="e">
        <f>VLOOKUP(O417,Lembar1!$A$4:$H$457,8,FALSE)</f>
        <v>#N/A</v>
      </c>
      <c r="W417" t="str">
        <f>IFERROR(VLOOKUP(O417,Lembar1!$A$4:$I$457,9,FALSE),C417)</f>
        <v>Karbon - TPQ Nahdlotul Qur'an</v>
      </c>
    </row>
    <row r="418" spans="1:23" ht="15.75" thickBot="1" x14ac:dyDescent="0.3">
      <c r="A418" s="67">
        <v>46000.890462962961</v>
      </c>
      <c r="B418" s="68" t="s">
        <v>1317</v>
      </c>
      <c r="C418" s="68" t="s">
        <v>742</v>
      </c>
      <c r="D418" s="68" t="s">
        <v>1926</v>
      </c>
      <c r="E418" s="68" t="s">
        <v>10</v>
      </c>
      <c r="F418" s="69">
        <v>42839</v>
      </c>
      <c r="G418" s="68" t="s">
        <v>1927</v>
      </c>
      <c r="H418" s="68" t="s">
        <v>1928</v>
      </c>
      <c r="I418" s="68" t="s">
        <v>2</v>
      </c>
      <c r="J418" s="70" t="s">
        <v>1929</v>
      </c>
      <c r="K418" s="68" t="s">
        <v>1930</v>
      </c>
      <c r="L418" s="79" t="s">
        <v>3090</v>
      </c>
      <c r="M418" s="71"/>
      <c r="N418">
        <v>604</v>
      </c>
      <c r="O418" t="str">
        <f t="shared" si="49"/>
        <v>EBTAQ25-04.041</v>
      </c>
      <c r="P418" t="str">
        <f t="shared" si="50"/>
        <v>Nayla aulia azzani</v>
      </c>
      <c r="Q418" t="str">
        <f t="shared" si="51"/>
        <v>Perempuan</v>
      </c>
      <c r="R418" t="str">
        <f t="shared" si="52"/>
        <v>Demak</v>
      </c>
      <c r="S418" s="21">
        <f t="shared" si="53"/>
        <v>42839</v>
      </c>
      <c r="T418" t="str">
        <f t="shared" si="54"/>
        <v>Khamim makhrus</v>
      </c>
      <c r="U418" t="str">
        <f t="shared" si="55"/>
        <v>Siti umrotun</v>
      </c>
      <c r="V418" t="e">
        <f>VLOOKUP(O418,Lembar1!$A$4:$H$457,8,FALSE)</f>
        <v>#N/A</v>
      </c>
      <c r="W418" t="str">
        <f>IFERROR(VLOOKUP(O418,Lembar1!$A$4:$I$457,9,FALSE),C418)</f>
        <v>Karangga - Al Ijtihad Al Mubarok</v>
      </c>
    </row>
    <row r="419" spans="1:23" ht="15.75" thickBot="1" x14ac:dyDescent="0.3">
      <c r="A419" s="72">
        <v>45999.898599537039</v>
      </c>
      <c r="B419" s="73" t="s">
        <v>998</v>
      </c>
      <c r="C419" s="73" t="s">
        <v>214</v>
      </c>
      <c r="D419" s="73" t="s">
        <v>1428</v>
      </c>
      <c r="E419" s="73" t="s">
        <v>59</v>
      </c>
      <c r="F419" s="74">
        <v>42531</v>
      </c>
      <c r="G419" s="73" t="s">
        <v>1429</v>
      </c>
      <c r="H419" s="73" t="s">
        <v>1430</v>
      </c>
      <c r="I419" s="73" t="s">
        <v>2</v>
      </c>
      <c r="J419" s="75" t="s">
        <v>1431</v>
      </c>
      <c r="K419" s="73" t="s">
        <v>1432</v>
      </c>
      <c r="L419" s="80" t="s">
        <v>3140</v>
      </c>
      <c r="M419" s="71"/>
      <c r="N419">
        <v>684</v>
      </c>
      <c r="O419" t="str">
        <f t="shared" ref="O419:O459" si="56">L419</f>
        <v>EBTAQ25-05.032</v>
      </c>
      <c r="P419" t="str">
        <f t="shared" ref="P419:P459" si="57">D419</f>
        <v>Nazira leviasari</v>
      </c>
      <c r="Q419" t="str">
        <f t="shared" ref="Q419:Q459" si="58">I419</f>
        <v>Perempuan</v>
      </c>
      <c r="R419" t="str">
        <f t="shared" ref="R419:R459" si="59">E419</f>
        <v>Semarang</v>
      </c>
      <c r="S419" s="21">
        <f t="shared" ref="S419:S459" si="60">F419</f>
        <v>42531</v>
      </c>
      <c r="T419" t="str">
        <f t="shared" ref="T419:T459" si="61">G419</f>
        <v>Ruslani</v>
      </c>
      <c r="U419" t="str">
        <f t="shared" ref="U419:U459" si="62">H419</f>
        <v>Nasiroh</v>
      </c>
      <c r="V419" t="e">
        <f>VLOOKUP(O419,Lembar1!$A$4:$H$457,8,FALSE)</f>
        <v>#N/A</v>
      </c>
      <c r="W419" t="str">
        <f>IFERROR(VLOOKUP(O419,Lembar1!$A$4:$I$457,9,FALSE),C419)</f>
        <v>Karbon - TPQ Qurrotul 'Ain</v>
      </c>
    </row>
    <row r="420" spans="1:23" ht="15.75" thickBot="1" x14ac:dyDescent="0.3">
      <c r="A420" s="67">
        <v>46000.90084490741</v>
      </c>
      <c r="B420" s="68" t="s">
        <v>1317</v>
      </c>
      <c r="C420" s="68" t="s">
        <v>484</v>
      </c>
      <c r="D420" s="68" t="s">
        <v>1941</v>
      </c>
      <c r="E420" s="68" t="s">
        <v>10</v>
      </c>
      <c r="F420" s="69">
        <v>41515</v>
      </c>
      <c r="G420" s="68" t="s">
        <v>1942</v>
      </c>
      <c r="H420" s="68" t="s">
        <v>1943</v>
      </c>
      <c r="I420" s="68" t="s">
        <v>2</v>
      </c>
      <c r="J420" s="70" t="s">
        <v>1944</v>
      </c>
      <c r="K420" s="68" t="s">
        <v>1945</v>
      </c>
      <c r="L420" s="79" t="s">
        <v>3093</v>
      </c>
      <c r="M420" s="71"/>
      <c r="N420">
        <v>582</v>
      </c>
      <c r="O420" t="str">
        <f t="shared" si="56"/>
        <v>EBTAQ25-04.044</v>
      </c>
      <c r="P420" t="str">
        <f t="shared" si="57"/>
        <v>Nestry Widya putri</v>
      </c>
      <c r="Q420" t="str">
        <f t="shared" si="58"/>
        <v>Perempuan</v>
      </c>
      <c r="R420" t="str">
        <f t="shared" si="59"/>
        <v>Demak</v>
      </c>
      <c r="S420" s="21">
        <f t="shared" si="60"/>
        <v>41515</v>
      </c>
      <c r="T420" t="str">
        <f t="shared" si="61"/>
        <v>Sumari</v>
      </c>
      <c r="U420" t="str">
        <f t="shared" si="62"/>
        <v>Royanti</v>
      </c>
      <c r="V420" t="e">
        <f>VLOOKUP(O420,Lembar1!$A$4:$H$457,8,FALSE)</f>
        <v>#N/A</v>
      </c>
      <c r="W420" t="str">
        <f>IFERROR(VLOOKUP(O420,Lembar1!$A$4:$I$457,9,FALSE),C420)</f>
        <v>Karangga - Al Hikmah</v>
      </c>
    </row>
    <row r="421" spans="1:23" ht="15.75" thickBot="1" x14ac:dyDescent="0.3">
      <c r="A421" s="72">
        <v>46001.501307870371</v>
      </c>
      <c r="B421" s="73" t="s">
        <v>1317</v>
      </c>
      <c r="C421" s="73" t="s">
        <v>484</v>
      </c>
      <c r="D421" s="73" t="s">
        <v>2091</v>
      </c>
      <c r="E421" s="73" t="s">
        <v>28</v>
      </c>
      <c r="F421" s="74">
        <v>41604</v>
      </c>
      <c r="G421" s="73" t="s">
        <v>2093</v>
      </c>
      <c r="H421" s="73" t="s">
        <v>2094</v>
      </c>
      <c r="I421" s="73" t="s">
        <v>2</v>
      </c>
      <c r="J421" s="75" t="s">
        <v>2105</v>
      </c>
      <c r="K421" s="73" t="s">
        <v>1967</v>
      </c>
      <c r="L421" s="80" t="s">
        <v>3104</v>
      </c>
      <c r="M421" s="71"/>
      <c r="N421">
        <v>589</v>
      </c>
      <c r="O421" t="str">
        <f t="shared" si="56"/>
        <v>EBTAQ25-04.055</v>
      </c>
      <c r="P421" t="str">
        <f t="shared" si="57"/>
        <v>NOVIA RAHAYU MUSTHOVIA</v>
      </c>
      <c r="Q421" t="str">
        <f t="shared" si="58"/>
        <v>Perempuan</v>
      </c>
      <c r="R421" t="str">
        <f t="shared" si="59"/>
        <v>DEMAK</v>
      </c>
      <c r="S421" s="21">
        <f t="shared" si="60"/>
        <v>41604</v>
      </c>
      <c r="T421" t="str">
        <f t="shared" si="61"/>
        <v>AGUS OKTO PRAMONO</v>
      </c>
      <c r="U421" t="str">
        <f t="shared" si="62"/>
        <v>MUSRIPAH</v>
      </c>
      <c r="V421" t="e">
        <f>VLOOKUP(O421,Lembar1!$A$4:$H$457,8,FALSE)</f>
        <v>#N/A</v>
      </c>
      <c r="W421" t="str">
        <f>IFERROR(VLOOKUP(O421,Lembar1!$A$4:$I$457,9,FALSE),C421)</f>
        <v>Karangga - Al Hikmah</v>
      </c>
    </row>
    <row r="422" spans="1:23" ht="15.75" thickBot="1" x14ac:dyDescent="0.3">
      <c r="A422" s="67">
        <v>46001.506886574076</v>
      </c>
      <c r="B422" s="68" t="s">
        <v>1317</v>
      </c>
      <c r="C422" s="68" t="s">
        <v>484</v>
      </c>
      <c r="D422" s="68" t="s">
        <v>2091</v>
      </c>
      <c r="E422" s="68" t="s">
        <v>28</v>
      </c>
      <c r="F422" s="69">
        <v>41604</v>
      </c>
      <c r="G422" s="68" t="s">
        <v>2093</v>
      </c>
      <c r="H422" s="68" t="s">
        <v>2094</v>
      </c>
      <c r="I422" s="68" t="s">
        <v>2</v>
      </c>
      <c r="J422" s="70" t="s">
        <v>2119</v>
      </c>
      <c r="K422" s="68" t="s">
        <v>1967</v>
      </c>
      <c r="L422" s="79" t="s">
        <v>3105</v>
      </c>
      <c r="M422" s="71"/>
      <c r="N422">
        <v>590</v>
      </c>
      <c r="O422" t="str">
        <f t="shared" si="56"/>
        <v>EBTAQ25-04.056</v>
      </c>
      <c r="P422" t="str">
        <f t="shared" si="57"/>
        <v>NOVIA RAHAYU MUSTHOVIA</v>
      </c>
      <c r="Q422" t="str">
        <f t="shared" si="58"/>
        <v>Perempuan</v>
      </c>
      <c r="R422" t="str">
        <f t="shared" si="59"/>
        <v>DEMAK</v>
      </c>
      <c r="S422" s="21">
        <f t="shared" si="60"/>
        <v>41604</v>
      </c>
      <c r="T422" t="str">
        <f t="shared" si="61"/>
        <v>AGUS OKTO PRAMONO</v>
      </c>
      <c r="U422" t="str">
        <f t="shared" si="62"/>
        <v>MUSRIPAH</v>
      </c>
      <c r="V422" t="e">
        <f>VLOOKUP(O422,Lembar1!$A$4:$H$457,8,FALSE)</f>
        <v>#N/A</v>
      </c>
      <c r="W422" t="str">
        <f>IFERROR(VLOOKUP(O422,Lembar1!$A$4:$I$457,9,FALSE),C422)</f>
        <v>Karangga - Al Hikmah</v>
      </c>
    </row>
    <row r="423" spans="1:23" ht="15.75" thickBot="1" x14ac:dyDescent="0.3">
      <c r="A423" s="72">
        <v>46001.224050925928</v>
      </c>
      <c r="B423" s="73" t="s">
        <v>1317</v>
      </c>
      <c r="C423" s="73" t="s">
        <v>484</v>
      </c>
      <c r="D423" s="73" t="s">
        <v>1963</v>
      </c>
      <c r="E423" s="73" t="s">
        <v>10</v>
      </c>
      <c r="F423" s="74">
        <v>46017</v>
      </c>
      <c r="G423" s="73" t="s">
        <v>1964</v>
      </c>
      <c r="H423" s="73" t="s">
        <v>1965</v>
      </c>
      <c r="I423" s="73" t="s">
        <v>2</v>
      </c>
      <c r="J423" s="75" t="s">
        <v>1966</v>
      </c>
      <c r="K423" s="73" t="s">
        <v>1967</v>
      </c>
      <c r="L423" s="80" t="s">
        <v>3095</v>
      </c>
      <c r="M423" s="71"/>
      <c r="N423">
        <v>583</v>
      </c>
      <c r="O423" t="str">
        <f t="shared" si="56"/>
        <v>EBTAQ25-04.046</v>
      </c>
      <c r="P423" t="str">
        <f t="shared" si="57"/>
        <v>Novia Rahayu MUstovia</v>
      </c>
      <c r="Q423" t="str">
        <f t="shared" si="58"/>
        <v>Perempuan</v>
      </c>
      <c r="R423" t="str">
        <f t="shared" si="59"/>
        <v>Demak</v>
      </c>
      <c r="S423" s="21">
        <f t="shared" si="60"/>
        <v>46017</v>
      </c>
      <c r="T423" t="str">
        <f t="shared" si="61"/>
        <v>Agus Okto pramono</v>
      </c>
      <c r="U423" t="str">
        <f t="shared" si="62"/>
        <v>Musripah</v>
      </c>
      <c r="V423" t="e">
        <f>VLOOKUP(O423,Lembar1!$A$4:$H$457,8,FALSE)</f>
        <v>#N/A</v>
      </c>
      <c r="W423" t="str">
        <f>IFERROR(VLOOKUP(O423,Lembar1!$A$4:$I$457,9,FALSE),C423)</f>
        <v>Karangga - Al Hikmah</v>
      </c>
    </row>
    <row r="424" spans="1:23" ht="15.75" thickBot="1" x14ac:dyDescent="0.3">
      <c r="A424" s="67">
        <v>46001.497824074075</v>
      </c>
      <c r="B424" s="68" t="s">
        <v>1317</v>
      </c>
      <c r="C424" s="68" t="s">
        <v>484</v>
      </c>
      <c r="D424" s="68" t="s">
        <v>2036</v>
      </c>
      <c r="E424" s="68" t="s">
        <v>10</v>
      </c>
      <c r="F424" s="69">
        <v>41604</v>
      </c>
      <c r="G424" s="68" t="s">
        <v>2093</v>
      </c>
      <c r="H424" s="68" t="s">
        <v>2094</v>
      </c>
      <c r="I424" s="68" t="s">
        <v>2</v>
      </c>
      <c r="J424" s="70" t="s">
        <v>2098</v>
      </c>
      <c r="K424" s="68" t="s">
        <v>1967</v>
      </c>
      <c r="L424" s="79" t="s">
        <v>3103</v>
      </c>
      <c r="M424" s="71"/>
      <c r="N424">
        <v>588</v>
      </c>
      <c r="O424" t="str">
        <f t="shared" si="56"/>
        <v>EBTAQ25-04.054</v>
      </c>
      <c r="P424" t="str">
        <f t="shared" si="57"/>
        <v>Novia Rahayu Mustovia</v>
      </c>
      <c r="Q424" t="str">
        <f t="shared" si="58"/>
        <v>Perempuan</v>
      </c>
      <c r="R424" t="str">
        <f t="shared" si="59"/>
        <v>Demak</v>
      </c>
      <c r="S424" s="21">
        <f t="shared" si="60"/>
        <v>41604</v>
      </c>
      <c r="T424" t="str">
        <f t="shared" si="61"/>
        <v>AGUS OKTO PRAMONO</v>
      </c>
      <c r="U424" t="str">
        <f t="shared" si="62"/>
        <v>MUSRIPAH</v>
      </c>
      <c r="V424" t="e">
        <f>VLOOKUP(O424,Lembar1!$A$4:$H$457,8,FALSE)</f>
        <v>#N/A</v>
      </c>
      <c r="W424" t="str">
        <f>IFERROR(VLOOKUP(O424,Lembar1!$A$4:$I$457,9,FALSE),C424)</f>
        <v>Karangga - Al Hikmah</v>
      </c>
    </row>
    <row r="425" spans="1:23" ht="15.75" thickBot="1" x14ac:dyDescent="0.3">
      <c r="A425" s="72">
        <v>46001.575011574074</v>
      </c>
      <c r="B425" s="73" t="s">
        <v>998</v>
      </c>
      <c r="C425" s="73" t="s">
        <v>319</v>
      </c>
      <c r="D425" s="73" t="s">
        <v>2175</v>
      </c>
      <c r="E425" s="73" t="s">
        <v>328</v>
      </c>
      <c r="F425" s="74">
        <v>40618</v>
      </c>
      <c r="G425" s="73" t="s">
        <v>2176</v>
      </c>
      <c r="H425" s="73" t="s">
        <v>797</v>
      </c>
      <c r="I425" s="73" t="s">
        <v>2</v>
      </c>
      <c r="J425" s="75" t="s">
        <v>2177</v>
      </c>
      <c r="K425" s="73" t="s">
        <v>2178</v>
      </c>
      <c r="L425" s="79" t="s">
        <v>3149</v>
      </c>
      <c r="M425" s="71"/>
      <c r="N425">
        <v>649</v>
      </c>
      <c r="O425" t="str">
        <f t="shared" si="56"/>
        <v>EBTAQ25-05.041</v>
      </c>
      <c r="P425" t="str">
        <f t="shared" si="57"/>
        <v>Putri wulandari</v>
      </c>
      <c r="Q425" t="str">
        <f t="shared" si="58"/>
        <v>Perempuan</v>
      </c>
      <c r="R425" t="str">
        <f t="shared" si="59"/>
        <v>Grobogan</v>
      </c>
      <c r="S425" s="21">
        <f t="shared" si="60"/>
        <v>40618</v>
      </c>
      <c r="T425" t="str">
        <f t="shared" si="61"/>
        <v>ABDUL QODIR</v>
      </c>
      <c r="U425" t="str">
        <f t="shared" si="62"/>
        <v>SRI WAHYUNI</v>
      </c>
      <c r="V425" t="e">
        <f>VLOOKUP(O425,Lembar1!$A$4:$H$457,8,FALSE)</f>
        <v>#N/A</v>
      </c>
      <c r="W425" t="str">
        <f>IFERROR(VLOOKUP(O425,Lembar1!$A$4:$I$457,9,FALSE),C425)</f>
        <v>Karbon - Hidayatul Mubtadi'in</v>
      </c>
    </row>
    <row r="426" spans="1:23" ht="15.75" thickBot="1" x14ac:dyDescent="0.3">
      <c r="A426" s="67">
        <v>46001.648298611108</v>
      </c>
      <c r="B426" s="68" t="s">
        <v>1317</v>
      </c>
      <c r="C426" s="68" t="s">
        <v>473</v>
      </c>
      <c r="D426" s="68" t="s">
        <v>2385</v>
      </c>
      <c r="E426" s="68" t="s">
        <v>10</v>
      </c>
      <c r="F426" s="69">
        <v>41555</v>
      </c>
      <c r="G426" s="68" t="s">
        <v>2386</v>
      </c>
      <c r="H426" s="68" t="s">
        <v>1349</v>
      </c>
      <c r="I426" s="68" t="s">
        <v>2</v>
      </c>
      <c r="J426" s="70" t="s">
        <v>2387</v>
      </c>
      <c r="K426" s="68" t="s">
        <v>2388</v>
      </c>
      <c r="L426" s="79" t="s">
        <v>3111</v>
      </c>
      <c r="M426" s="71"/>
      <c r="N426">
        <v>636</v>
      </c>
      <c r="O426" t="str">
        <f t="shared" si="56"/>
        <v>EBTAQ25-04.062</v>
      </c>
      <c r="P426" t="str">
        <f t="shared" si="57"/>
        <v>Putri Yumna Faricha</v>
      </c>
      <c r="Q426" t="str">
        <f t="shared" si="58"/>
        <v>Perempuan</v>
      </c>
      <c r="R426" t="str">
        <f t="shared" si="59"/>
        <v>Demak</v>
      </c>
      <c r="S426" s="21">
        <f t="shared" si="60"/>
        <v>41555</v>
      </c>
      <c r="T426" t="str">
        <f t="shared" si="61"/>
        <v>Chusnil Mubarok</v>
      </c>
      <c r="U426" t="str">
        <f t="shared" si="62"/>
        <v>Ainur Rohmah</v>
      </c>
      <c r="V426" t="e">
        <f>VLOOKUP(O426,Lembar1!$A$4:$H$457,8,FALSE)</f>
        <v>#N/A</v>
      </c>
      <c r="W426" t="str">
        <f>IFERROR(VLOOKUP(O426,Lembar1!$A$4:$I$457,9,FALSE),C426)</f>
        <v>Karangga - Mubarokah</v>
      </c>
    </row>
    <row r="427" spans="1:23" ht="15.75" thickBot="1" x14ac:dyDescent="0.3">
      <c r="A427" s="72">
        <v>45998.741574074076</v>
      </c>
      <c r="B427" s="73" t="s">
        <v>998</v>
      </c>
      <c r="C427" s="73" t="s">
        <v>214</v>
      </c>
      <c r="D427" s="73" t="s">
        <v>1118</v>
      </c>
      <c r="E427" s="73" t="s">
        <v>59</v>
      </c>
      <c r="F427" s="74">
        <v>42628</v>
      </c>
      <c r="G427" s="73" t="s">
        <v>1119</v>
      </c>
      <c r="H427" s="73" t="s">
        <v>1120</v>
      </c>
      <c r="I427" s="73" t="s">
        <v>66</v>
      </c>
      <c r="J427" s="75" t="s">
        <v>1121</v>
      </c>
      <c r="K427" s="73" t="s">
        <v>1122</v>
      </c>
      <c r="L427" s="79" t="s">
        <v>3127</v>
      </c>
      <c r="M427" s="71"/>
      <c r="N427">
        <v>678</v>
      </c>
      <c r="O427" t="str">
        <f t="shared" si="56"/>
        <v>EBTAQ25-05.019</v>
      </c>
      <c r="P427" t="str">
        <f t="shared" si="57"/>
        <v>RAFA AHMAD ANSHORI</v>
      </c>
      <c r="Q427" t="str">
        <f t="shared" si="58"/>
        <v>Laki-laki</v>
      </c>
      <c r="R427" t="str">
        <f t="shared" si="59"/>
        <v>Semarang</v>
      </c>
      <c r="S427" s="21">
        <f t="shared" si="60"/>
        <v>42628</v>
      </c>
      <c r="T427" t="str">
        <f t="shared" si="61"/>
        <v>A. KHARIS MUKTAFI</v>
      </c>
      <c r="U427" t="str">
        <f t="shared" si="62"/>
        <v>ANNI FARICHAH</v>
      </c>
      <c r="V427" t="e">
        <f>VLOOKUP(O427,Lembar1!$A$4:$H$457,8,FALSE)</f>
        <v>#N/A</v>
      </c>
      <c r="W427" t="str">
        <f>IFERROR(VLOOKUP(O427,Lembar1!$A$4:$I$457,9,FALSE),C427)</f>
        <v>Karbon - TPQ Qurrotul 'Ain</v>
      </c>
    </row>
    <row r="428" spans="1:23" ht="15.75" hidden="1" thickBot="1" x14ac:dyDescent="0.3">
      <c r="A428" s="50">
        <v>45994.211446759262</v>
      </c>
      <c r="B428" s="53" t="s">
        <v>998</v>
      </c>
      <c r="C428" s="53" t="s">
        <v>999</v>
      </c>
      <c r="D428" s="53" t="s">
        <v>156</v>
      </c>
      <c r="E428" s="53" t="s">
        <v>10</v>
      </c>
      <c r="F428" s="57">
        <v>42724</v>
      </c>
      <c r="G428" s="53" t="s">
        <v>157</v>
      </c>
      <c r="H428" s="53" t="s">
        <v>158</v>
      </c>
      <c r="I428" s="53" t="s">
        <v>66</v>
      </c>
      <c r="J428" s="60" t="s">
        <v>1000</v>
      </c>
      <c r="K428" s="53" t="s">
        <v>1001</v>
      </c>
      <c r="L428" s="78" t="s">
        <v>155</v>
      </c>
      <c r="M428" s="32" t="s">
        <v>1002</v>
      </c>
      <c r="N428">
        <v>654</v>
      </c>
      <c r="O428" t="str">
        <f t="shared" si="56"/>
        <v>EBTAQ25-05.001</v>
      </c>
      <c r="P428" t="str">
        <f t="shared" si="57"/>
        <v>Irsyad Kafin Al Ghifari</v>
      </c>
      <c r="Q428" t="str">
        <f t="shared" si="58"/>
        <v>Laki-laki</v>
      </c>
      <c r="R428" t="str">
        <f t="shared" si="59"/>
        <v>Demak</v>
      </c>
      <c r="S428" s="21">
        <f t="shared" si="60"/>
        <v>42724</v>
      </c>
      <c r="T428" t="str">
        <f t="shared" si="61"/>
        <v>Nur Eko kuntoro</v>
      </c>
      <c r="U428" t="str">
        <f t="shared" si="62"/>
        <v>Umayah</v>
      </c>
      <c r="V428" t="str">
        <f>VLOOKUP(O428,Lembar1!$A$4:$H$457,8,FALSE)</f>
        <v>BIO_Images/EBTAQ25-05.001.jpg</v>
      </c>
      <c r="W428" t="str">
        <f>IFERROR(VLOOKUP(O428,Lembar1!$A$4:$I$457,9,FALSE),C428)</f>
        <v>Kr. Awen - TPQ MASITHOH 2</v>
      </c>
    </row>
    <row r="429" spans="1:23" ht="15.75" hidden="1" thickBot="1" x14ac:dyDescent="0.3">
      <c r="A429" s="49">
        <v>45994.268067129633</v>
      </c>
      <c r="B429" s="52" t="s">
        <v>998</v>
      </c>
      <c r="C429" s="52" t="s">
        <v>1003</v>
      </c>
      <c r="D429" s="52" t="s">
        <v>162</v>
      </c>
      <c r="E429" s="52" t="s">
        <v>10</v>
      </c>
      <c r="F429" s="56">
        <v>41707</v>
      </c>
      <c r="G429" s="52" t="s">
        <v>163</v>
      </c>
      <c r="H429" s="52" t="s">
        <v>164</v>
      </c>
      <c r="I429" s="52" t="s">
        <v>2</v>
      </c>
      <c r="J429" s="59" t="s">
        <v>1004</v>
      </c>
      <c r="K429" s="52" t="s">
        <v>1005</v>
      </c>
      <c r="L429" s="78" t="s">
        <v>161</v>
      </c>
      <c r="M429" s="37" t="s">
        <v>1006</v>
      </c>
      <c r="N429">
        <v>655</v>
      </c>
      <c r="O429" t="str">
        <f t="shared" si="56"/>
        <v>EBTAQ25-05.002</v>
      </c>
      <c r="P429" t="str">
        <f t="shared" si="57"/>
        <v>Iskrasophia Dinasty Al - Qudsia</v>
      </c>
      <c r="Q429" t="str">
        <f t="shared" si="58"/>
        <v>Perempuan</v>
      </c>
      <c r="R429" t="str">
        <f t="shared" si="59"/>
        <v>Demak</v>
      </c>
      <c r="S429" s="21">
        <f t="shared" si="60"/>
        <v>41707</v>
      </c>
      <c r="T429" t="str">
        <f t="shared" si="61"/>
        <v>Mustholih</v>
      </c>
      <c r="U429" t="str">
        <f t="shared" si="62"/>
        <v>Sri Wahyuningsih</v>
      </c>
      <c r="V429" t="str">
        <f>VLOOKUP(O429,Lembar1!$A$4:$H$457,8,FALSE)</f>
        <v>BIO_Images/EBTAQ25-05.002.jpg</v>
      </c>
      <c r="W429" t="str">
        <f>IFERROR(VLOOKUP(O429,Lembar1!$A$4:$I$457,9,FALSE),C429)</f>
        <v>Kr. Awen - TPQ MASITHOH 2</v>
      </c>
    </row>
    <row r="430" spans="1:23" ht="15.75" hidden="1" thickBot="1" x14ac:dyDescent="0.3">
      <c r="A430" s="50">
        <v>45994.39234953704</v>
      </c>
      <c r="B430" s="53" t="s">
        <v>998</v>
      </c>
      <c r="C430" s="53" t="s">
        <v>1007</v>
      </c>
      <c r="D430" s="53" t="s">
        <v>167</v>
      </c>
      <c r="E430" s="53" t="s">
        <v>59</v>
      </c>
      <c r="F430" s="57">
        <v>42459</v>
      </c>
      <c r="G430" s="53" t="s">
        <v>168</v>
      </c>
      <c r="H430" s="53" t="s">
        <v>169</v>
      </c>
      <c r="I430" s="53" t="s">
        <v>66</v>
      </c>
      <c r="J430" s="60" t="s">
        <v>1008</v>
      </c>
      <c r="K430" s="53" t="s">
        <v>1009</v>
      </c>
      <c r="L430" s="78" t="s">
        <v>166</v>
      </c>
      <c r="M430" s="32" t="s">
        <v>1010</v>
      </c>
      <c r="N430">
        <v>656</v>
      </c>
      <c r="O430" t="str">
        <f t="shared" si="56"/>
        <v>EBTAQ25-05.003</v>
      </c>
      <c r="P430" t="str">
        <f t="shared" si="57"/>
        <v>Muhammad Fakhrudin Hasyim</v>
      </c>
      <c r="Q430" t="str">
        <f t="shared" si="58"/>
        <v>Laki-laki</v>
      </c>
      <c r="R430" t="str">
        <f t="shared" si="59"/>
        <v>Semarang</v>
      </c>
      <c r="S430" s="21">
        <f t="shared" si="60"/>
        <v>42459</v>
      </c>
      <c r="T430" t="str">
        <f t="shared" si="61"/>
        <v>Miftaqul Ulun</v>
      </c>
      <c r="U430" t="str">
        <f t="shared" si="62"/>
        <v>Aminatus Sa'adah</v>
      </c>
      <c r="V430" t="str">
        <f>VLOOKUP(O430,Lembar1!$A$4:$H$457,8,FALSE)</f>
        <v>BIO_Images/EBTAQ25-05.003.jpg</v>
      </c>
      <c r="W430" t="str">
        <f>IFERROR(VLOOKUP(O430,Lembar1!$A$4:$I$457,9,FALSE),C430)</f>
        <v>Kr. Awen - TPQ MASITHOH 2</v>
      </c>
    </row>
    <row r="431" spans="1:23" ht="15.75" hidden="1" thickBot="1" x14ac:dyDescent="0.3">
      <c r="A431" s="49">
        <v>45994.396053240744</v>
      </c>
      <c r="B431" s="52" t="s">
        <v>998</v>
      </c>
      <c r="C431" s="52" t="s">
        <v>1011</v>
      </c>
      <c r="D431" s="52" t="s">
        <v>172</v>
      </c>
      <c r="E431" s="52" t="s">
        <v>10</v>
      </c>
      <c r="F431" s="56">
        <v>42225</v>
      </c>
      <c r="G431" s="52" t="s">
        <v>173</v>
      </c>
      <c r="H431" s="52" t="s">
        <v>174</v>
      </c>
      <c r="I431" s="52" t="s">
        <v>2</v>
      </c>
      <c r="J431" s="59" t="s">
        <v>1012</v>
      </c>
      <c r="K431" s="52" t="s">
        <v>1013</v>
      </c>
      <c r="L431" s="78" t="s">
        <v>171</v>
      </c>
      <c r="M431" s="37" t="s">
        <v>1014</v>
      </c>
      <c r="N431">
        <v>657</v>
      </c>
      <c r="O431" t="str">
        <f t="shared" si="56"/>
        <v>EBTAQ25-05.004</v>
      </c>
      <c r="P431" t="str">
        <f t="shared" si="57"/>
        <v>Khalisha Azza Shafitri</v>
      </c>
      <c r="Q431" t="str">
        <f t="shared" si="58"/>
        <v>Perempuan</v>
      </c>
      <c r="R431" t="str">
        <f t="shared" si="59"/>
        <v>Demak</v>
      </c>
      <c r="S431" s="21">
        <f t="shared" si="60"/>
        <v>42225</v>
      </c>
      <c r="T431" t="str">
        <f t="shared" si="61"/>
        <v>Subandi</v>
      </c>
      <c r="U431" t="str">
        <f t="shared" si="62"/>
        <v>Qutrotuz Zamzami</v>
      </c>
      <c r="V431" t="str">
        <f>VLOOKUP(O431,Lembar1!$A$4:$H$457,8,FALSE)</f>
        <v>BIO_Images/EBTAQ25-05.004.jpg</v>
      </c>
      <c r="W431" t="str">
        <f>IFERROR(VLOOKUP(O431,Lembar1!$A$4:$I$457,9,FALSE),C431)</f>
        <v>Kr. Awen - TPQ MASITHOH 2</v>
      </c>
    </row>
    <row r="432" spans="1:23" ht="15.75" hidden="1" thickBot="1" x14ac:dyDescent="0.3">
      <c r="A432" s="50">
        <v>45994.435069444444</v>
      </c>
      <c r="B432" s="53" t="s">
        <v>998</v>
      </c>
      <c r="C432" s="53" t="s">
        <v>1015</v>
      </c>
      <c r="D432" s="53" t="s">
        <v>177</v>
      </c>
      <c r="E432" s="53" t="s">
        <v>10</v>
      </c>
      <c r="F432" s="57">
        <v>41509</v>
      </c>
      <c r="G432" s="53" t="s">
        <v>178</v>
      </c>
      <c r="H432" s="53" t="s">
        <v>179</v>
      </c>
      <c r="I432" s="53" t="s">
        <v>2</v>
      </c>
      <c r="J432" s="60" t="s">
        <v>1016</v>
      </c>
      <c r="K432" s="53" t="s">
        <v>1017</v>
      </c>
      <c r="L432" s="78" t="s">
        <v>176</v>
      </c>
      <c r="M432" s="32" t="s">
        <v>1018</v>
      </c>
      <c r="N432">
        <v>658</v>
      </c>
      <c r="O432" t="str">
        <f t="shared" si="56"/>
        <v>EBTAQ25-05.005</v>
      </c>
      <c r="P432" t="str">
        <f t="shared" si="57"/>
        <v>Laili Nur Safitri Nikmatu Azzahra</v>
      </c>
      <c r="Q432" t="str">
        <f t="shared" si="58"/>
        <v>Perempuan</v>
      </c>
      <c r="R432" t="str">
        <f t="shared" si="59"/>
        <v>Demak</v>
      </c>
      <c r="S432" s="21">
        <f t="shared" si="60"/>
        <v>41509</v>
      </c>
      <c r="T432" t="str">
        <f t="shared" si="61"/>
        <v>Koko</v>
      </c>
      <c r="U432" t="str">
        <f t="shared" si="62"/>
        <v>Safaatun</v>
      </c>
      <c r="V432" t="str">
        <f>VLOOKUP(O432,Lembar1!$A$4:$H$457,8,FALSE)</f>
        <v>BIO_Images/EBTAQ25-05.005.jpg</v>
      </c>
      <c r="W432" t="str">
        <f>IFERROR(VLOOKUP(O432,Lembar1!$A$4:$I$457,9,FALSE),C432)</f>
        <v>Kr. Awen - TPQ MASITHOH 2</v>
      </c>
    </row>
    <row r="433" spans="1:23" ht="15.75" hidden="1" thickBot="1" x14ac:dyDescent="0.3">
      <c r="A433" s="49">
        <v>45994.674849537034</v>
      </c>
      <c r="B433" s="52" t="s">
        <v>998</v>
      </c>
      <c r="C433" s="52" t="s">
        <v>1019</v>
      </c>
      <c r="D433" s="52" t="s">
        <v>182</v>
      </c>
      <c r="E433" s="52" t="s">
        <v>59</v>
      </c>
      <c r="F433" s="56">
        <v>42122</v>
      </c>
      <c r="G433" s="52" t="s">
        <v>183</v>
      </c>
      <c r="H433" s="52" t="s">
        <v>184</v>
      </c>
      <c r="I433" s="52" t="s">
        <v>66</v>
      </c>
      <c r="J433" s="59" t="s">
        <v>1020</v>
      </c>
      <c r="K433" s="52" t="s">
        <v>1021</v>
      </c>
      <c r="L433" s="78" t="s">
        <v>181</v>
      </c>
      <c r="M433" s="37" t="s">
        <v>1022</v>
      </c>
      <c r="N433">
        <v>659</v>
      </c>
      <c r="O433" t="str">
        <f t="shared" si="56"/>
        <v>EBTAQ25-05.006</v>
      </c>
      <c r="P433" t="str">
        <f t="shared" si="57"/>
        <v>Muhammad Fariz Maulana Akbar</v>
      </c>
      <c r="Q433" t="str">
        <f t="shared" si="58"/>
        <v>Laki-laki</v>
      </c>
      <c r="R433" t="str">
        <f t="shared" si="59"/>
        <v>Semarang</v>
      </c>
      <c r="S433" s="21">
        <f t="shared" si="60"/>
        <v>42122</v>
      </c>
      <c r="T433" t="str">
        <f t="shared" si="61"/>
        <v>Syaikun</v>
      </c>
      <c r="U433" t="str">
        <f t="shared" si="62"/>
        <v>Istiqomah</v>
      </c>
      <c r="V433" t="str">
        <f>VLOOKUP(O433,Lembar1!$A$4:$H$457,8,FALSE)</f>
        <v>BIO_Images/EBTAQ25-05.006.jpg</v>
      </c>
      <c r="W433" t="str">
        <f>IFERROR(VLOOKUP(O433,Lembar1!$A$4:$I$457,9,FALSE),C433)</f>
        <v>Kr. Awen - TPQ MASITHOH 2</v>
      </c>
    </row>
    <row r="434" spans="1:23" ht="15.75" hidden="1" thickBot="1" x14ac:dyDescent="0.3">
      <c r="A434" s="50">
        <v>45994.959675925929</v>
      </c>
      <c r="B434" s="53" t="s">
        <v>998</v>
      </c>
      <c r="C434" s="53" t="s">
        <v>1023</v>
      </c>
      <c r="D434" s="53" t="s">
        <v>187</v>
      </c>
      <c r="E434" s="53" t="s">
        <v>10</v>
      </c>
      <c r="F434" s="57">
        <v>42604</v>
      </c>
      <c r="G434" s="53" t="s">
        <v>188</v>
      </c>
      <c r="H434" s="53" t="s">
        <v>189</v>
      </c>
      <c r="I434" s="53" t="s">
        <v>2</v>
      </c>
      <c r="J434" s="60" t="s">
        <v>1024</v>
      </c>
      <c r="K434" s="53" t="s">
        <v>1025</v>
      </c>
      <c r="L434" s="78" t="s">
        <v>186</v>
      </c>
      <c r="M434" s="32" t="s">
        <v>1026</v>
      </c>
      <c r="N434">
        <v>660</v>
      </c>
      <c r="O434" t="str">
        <f t="shared" si="56"/>
        <v>EBTAQ25-05.007</v>
      </c>
      <c r="P434" t="str">
        <f t="shared" si="57"/>
        <v>Shakila Dzahin Nicky Azzahra</v>
      </c>
      <c r="Q434" t="str">
        <f t="shared" si="58"/>
        <v>Perempuan</v>
      </c>
      <c r="R434" t="str">
        <f t="shared" si="59"/>
        <v>Demak</v>
      </c>
      <c r="S434" s="21">
        <f t="shared" si="60"/>
        <v>42604</v>
      </c>
      <c r="T434" t="str">
        <f t="shared" si="61"/>
        <v>Nicky Yulianto</v>
      </c>
      <c r="U434" t="str">
        <f t="shared" si="62"/>
        <v>Mimin Afita Sari</v>
      </c>
      <c r="V434" t="str">
        <f>VLOOKUP(O434,Lembar1!$A$4:$H$457,8,FALSE)</f>
        <v>BIO_Images/EBTAQ25-05.007.jpg</v>
      </c>
      <c r="W434" t="str">
        <f>IFERROR(VLOOKUP(O434,Lembar1!$A$4:$I$457,9,FALSE),C434)</f>
        <v>Kr. Awen - TPQ MASITHOH 2</v>
      </c>
    </row>
    <row r="435" spans="1:23" ht="15.75" thickBot="1" x14ac:dyDescent="0.3">
      <c r="A435" s="72">
        <v>45998.826412037037</v>
      </c>
      <c r="B435" s="73" t="s">
        <v>998</v>
      </c>
      <c r="C435" s="73" t="s">
        <v>214</v>
      </c>
      <c r="D435" s="73" t="s">
        <v>1138</v>
      </c>
      <c r="E435" s="73" t="s">
        <v>59</v>
      </c>
      <c r="F435" s="74">
        <v>42629</v>
      </c>
      <c r="G435" s="73" t="s">
        <v>1139</v>
      </c>
      <c r="H435" s="73" t="s">
        <v>1140</v>
      </c>
      <c r="I435" s="73" t="s">
        <v>66</v>
      </c>
      <c r="J435" s="75" t="s">
        <v>1141</v>
      </c>
      <c r="K435" s="73" t="s">
        <v>1142</v>
      </c>
      <c r="L435" s="79" t="s">
        <v>3131</v>
      </c>
      <c r="M435" s="71"/>
      <c r="N435">
        <v>681</v>
      </c>
      <c r="O435" t="str">
        <f t="shared" si="56"/>
        <v>EBTAQ25-05.023</v>
      </c>
      <c r="P435" t="str">
        <f t="shared" si="57"/>
        <v>Rafi Ahmad Anshori</v>
      </c>
      <c r="Q435" t="str">
        <f t="shared" si="58"/>
        <v>Laki-laki</v>
      </c>
      <c r="R435" t="str">
        <f t="shared" si="59"/>
        <v>Semarang</v>
      </c>
      <c r="S435" s="21">
        <f t="shared" si="60"/>
        <v>42629</v>
      </c>
      <c r="T435" t="str">
        <f t="shared" si="61"/>
        <v>A. Kharis Muktafi</v>
      </c>
      <c r="U435" t="str">
        <f t="shared" si="62"/>
        <v>Anni Farichah</v>
      </c>
      <c r="V435" t="e">
        <f>VLOOKUP(O435,Lembar1!$A$4:$H$457,8,FALSE)</f>
        <v>#N/A</v>
      </c>
      <c r="W435" t="str">
        <f>IFERROR(VLOOKUP(O435,Lembar1!$A$4:$I$457,9,FALSE),C435)</f>
        <v>Karbon - TPQ Qurrotul 'Ain</v>
      </c>
    </row>
    <row r="436" spans="1:23" ht="15.75" thickBot="1" x14ac:dyDescent="0.3">
      <c r="A436" s="67">
        <v>46000.728715277779</v>
      </c>
      <c r="B436" s="68" t="s">
        <v>1317</v>
      </c>
      <c r="C436" s="68" t="s">
        <v>473</v>
      </c>
      <c r="D436" s="68" t="s">
        <v>1758</v>
      </c>
      <c r="E436" s="68" t="s">
        <v>10</v>
      </c>
      <c r="F436" s="69">
        <v>41780</v>
      </c>
      <c r="G436" s="68" t="s">
        <v>1759</v>
      </c>
      <c r="H436" s="68" t="s">
        <v>1760</v>
      </c>
      <c r="I436" s="68" t="s">
        <v>66</v>
      </c>
      <c r="J436" s="70" t="s">
        <v>1761</v>
      </c>
      <c r="K436" s="68" t="s">
        <v>1762</v>
      </c>
      <c r="L436" s="79" t="s">
        <v>3074</v>
      </c>
      <c r="M436" s="71"/>
      <c r="N436">
        <v>626</v>
      </c>
      <c r="O436" t="str">
        <f t="shared" si="56"/>
        <v>EBTAQ25-04.025</v>
      </c>
      <c r="P436" t="str">
        <f t="shared" si="57"/>
        <v>Rafi Wafiq Musawwar</v>
      </c>
      <c r="Q436" t="str">
        <f t="shared" si="58"/>
        <v>Laki-laki</v>
      </c>
      <c r="R436" t="str">
        <f t="shared" si="59"/>
        <v>Demak</v>
      </c>
      <c r="S436" s="21">
        <f t="shared" si="60"/>
        <v>41780</v>
      </c>
      <c r="T436" t="str">
        <f t="shared" si="61"/>
        <v>Ahmad Soleh</v>
      </c>
      <c r="U436" t="str">
        <f t="shared" si="62"/>
        <v>Reta Novi Ardianti</v>
      </c>
      <c r="V436" t="e">
        <f>VLOOKUP(O436,Lembar1!$A$4:$H$457,8,FALSE)</f>
        <v>#N/A</v>
      </c>
      <c r="W436" t="str">
        <f>IFERROR(VLOOKUP(O436,Lembar1!$A$4:$I$457,9,FALSE),C436)</f>
        <v>Karangga - Mubarokah</v>
      </c>
    </row>
    <row r="437" spans="1:23" ht="15.75" thickBot="1" x14ac:dyDescent="0.3">
      <c r="A437" s="72">
        <v>45995.532337962963</v>
      </c>
      <c r="B437" s="73" t="s">
        <v>998</v>
      </c>
      <c r="C437" s="73" t="s">
        <v>1038</v>
      </c>
      <c r="D437" s="73" t="s">
        <v>1039</v>
      </c>
      <c r="E437" s="73" t="s">
        <v>28</v>
      </c>
      <c r="F437" s="74">
        <v>42109</v>
      </c>
      <c r="G437" s="73" t="s">
        <v>1040</v>
      </c>
      <c r="H437" s="73" t="s">
        <v>1041</v>
      </c>
      <c r="I437" s="73" t="s">
        <v>2</v>
      </c>
      <c r="J437" s="75" t="s">
        <v>1042</v>
      </c>
      <c r="K437" s="73" t="s">
        <v>1043</v>
      </c>
      <c r="L437" s="79" t="s">
        <v>3117</v>
      </c>
      <c r="M437" s="71"/>
      <c r="N437">
        <v>662</v>
      </c>
      <c r="O437" t="str">
        <f t="shared" si="56"/>
        <v>EBTAQ25-05.009</v>
      </c>
      <c r="P437" t="str">
        <f t="shared" si="57"/>
        <v>RARA TRI APRILIANA</v>
      </c>
      <c r="Q437" t="str">
        <f t="shared" si="58"/>
        <v>Perempuan</v>
      </c>
      <c r="R437" t="str">
        <f t="shared" si="59"/>
        <v>DEMAK</v>
      </c>
      <c r="S437" s="21">
        <f t="shared" si="60"/>
        <v>42109</v>
      </c>
      <c r="T437" t="str">
        <f t="shared" si="61"/>
        <v>RAKIMIN</v>
      </c>
      <c r="U437" t="str">
        <f t="shared" si="62"/>
        <v>ROMLAH</v>
      </c>
      <c r="V437" t="e">
        <f>VLOOKUP(O437,Lembar1!$A$4:$H$457,8,FALSE)</f>
        <v>#N/A</v>
      </c>
      <c r="W437" t="str">
        <f>IFERROR(VLOOKUP(O437,Lembar1!$A$4:$I$457,9,FALSE),C437)</f>
        <v>Karbon - TPQ Nahdlotul Qur'an</v>
      </c>
    </row>
    <row r="438" spans="1:23" ht="15.75" thickBot="1" x14ac:dyDescent="0.3">
      <c r="A438" s="67">
        <v>46001.530648148146</v>
      </c>
      <c r="B438" s="68" t="s">
        <v>998</v>
      </c>
      <c r="C438" s="68" t="s">
        <v>1038</v>
      </c>
      <c r="D438" s="68" t="s">
        <v>2152</v>
      </c>
      <c r="E438" s="68" t="s">
        <v>402</v>
      </c>
      <c r="F438" s="69">
        <v>42109</v>
      </c>
      <c r="G438" s="68" t="s">
        <v>2153</v>
      </c>
      <c r="H438" s="68" t="s">
        <v>2146</v>
      </c>
      <c r="I438" s="68" t="s">
        <v>2</v>
      </c>
      <c r="J438" s="70" t="s">
        <v>2154</v>
      </c>
      <c r="K438" s="68" t="s">
        <v>1043</v>
      </c>
      <c r="L438" s="79" t="s">
        <v>3143</v>
      </c>
      <c r="M438" s="71"/>
      <c r="N438">
        <v>670</v>
      </c>
      <c r="O438" t="str">
        <f t="shared" si="56"/>
        <v>EBTAQ25-05.035</v>
      </c>
      <c r="P438" t="str">
        <f t="shared" si="57"/>
        <v>rara tri apriliana</v>
      </c>
      <c r="Q438" t="str">
        <f t="shared" si="58"/>
        <v>Perempuan</v>
      </c>
      <c r="R438" t="str">
        <f t="shared" si="59"/>
        <v>demak</v>
      </c>
      <c r="S438" s="21">
        <f t="shared" si="60"/>
        <v>42109</v>
      </c>
      <c r="T438" t="str">
        <f t="shared" si="61"/>
        <v>rakimin</v>
      </c>
      <c r="U438" t="str">
        <f t="shared" si="62"/>
        <v>romlah</v>
      </c>
      <c r="V438" t="e">
        <f>VLOOKUP(O438,Lembar1!$A$4:$H$457,8,FALSE)</f>
        <v>#N/A</v>
      </c>
      <c r="W438" t="str">
        <f>IFERROR(VLOOKUP(O438,Lembar1!$A$4:$I$457,9,FALSE),C438)</f>
        <v>Karbon - TPQ Nahdlotul Qur'an</v>
      </c>
    </row>
    <row r="439" spans="1:23" ht="15.75" thickBot="1" x14ac:dyDescent="0.3">
      <c r="A439" s="72">
        <v>46000.482233796298</v>
      </c>
      <c r="B439" s="73" t="s">
        <v>10</v>
      </c>
      <c r="C439" s="73" t="s">
        <v>567</v>
      </c>
      <c r="D439" s="73" t="s">
        <v>578</v>
      </c>
      <c r="E439" s="73" t="s">
        <v>579</v>
      </c>
      <c r="F439" s="74">
        <v>40834</v>
      </c>
      <c r="G439" s="73" t="s">
        <v>580</v>
      </c>
      <c r="H439" s="73" t="s">
        <v>581</v>
      </c>
      <c r="I439" s="73" t="s">
        <v>66</v>
      </c>
      <c r="J439" s="75" t="s">
        <v>1513</v>
      </c>
      <c r="K439" s="73" t="s">
        <v>1514</v>
      </c>
      <c r="L439" s="79" t="s">
        <v>3327</v>
      </c>
      <c r="M439" s="71"/>
      <c r="N439">
        <v>360</v>
      </c>
      <c r="O439" t="str">
        <f t="shared" si="56"/>
        <v>EBTAQ25-01.332</v>
      </c>
      <c r="P439" t="str">
        <f t="shared" si="57"/>
        <v>RASENDRIYA RAKHA WIRAWAN</v>
      </c>
      <c r="Q439" t="str">
        <f t="shared" si="58"/>
        <v>Laki-laki</v>
      </c>
      <c r="R439" t="str">
        <f t="shared" si="59"/>
        <v>DEMAk</v>
      </c>
      <c r="S439" s="21">
        <f t="shared" si="60"/>
        <v>40834</v>
      </c>
      <c r="T439" t="str">
        <f t="shared" si="61"/>
        <v>FHITHA DHORIEZ</v>
      </c>
      <c r="U439" t="str">
        <f t="shared" si="62"/>
        <v>SRI JATMIKO SARI</v>
      </c>
      <c r="V439" t="e">
        <f>VLOOKUP(O439,Lembar1!$A$4:$H$457,8,FALSE)</f>
        <v>#N/A</v>
      </c>
      <c r="W439" t="str">
        <f>IFERROR(VLOOKUP(O439,Lembar1!$A$4:$I$457,9,FALSE),C439)</f>
        <v>Demak - TPQ AL IMAN (KALIKONDANG)</v>
      </c>
    </row>
    <row r="440" spans="1:23" ht="15.75" thickBot="1" x14ac:dyDescent="0.3">
      <c r="A440" s="67">
        <v>46000.721817129626</v>
      </c>
      <c r="B440" s="68" t="s">
        <v>1317</v>
      </c>
      <c r="C440" s="68" t="s">
        <v>742</v>
      </c>
      <c r="D440" s="68" t="s">
        <v>1753</v>
      </c>
      <c r="E440" s="68" t="s">
        <v>10</v>
      </c>
      <c r="F440" s="69">
        <v>41774</v>
      </c>
      <c r="G440" s="68" t="s">
        <v>1754</v>
      </c>
      <c r="H440" s="68" t="s">
        <v>1755</v>
      </c>
      <c r="I440" s="68" t="s">
        <v>66</v>
      </c>
      <c r="J440" s="70" t="s">
        <v>1756</v>
      </c>
      <c r="K440" s="68" t="s">
        <v>1757</v>
      </c>
      <c r="L440" s="79" t="s">
        <v>3073</v>
      </c>
      <c r="M440" s="71"/>
      <c r="N440">
        <v>602</v>
      </c>
      <c r="O440" t="str">
        <f t="shared" si="56"/>
        <v>EBTAQ25-04.024</v>
      </c>
      <c r="P440" t="str">
        <f t="shared" si="57"/>
        <v>RASYA MUHAMMAD ATHAYA</v>
      </c>
      <c r="Q440" t="str">
        <f t="shared" si="58"/>
        <v>Laki-laki</v>
      </c>
      <c r="R440" t="str">
        <f t="shared" si="59"/>
        <v>Demak</v>
      </c>
      <c r="S440" s="21">
        <f t="shared" si="60"/>
        <v>41774</v>
      </c>
      <c r="T440" t="str">
        <f t="shared" si="61"/>
        <v>Mohamad Santoso</v>
      </c>
      <c r="U440" t="str">
        <f t="shared" si="62"/>
        <v>Atik Suryandari</v>
      </c>
      <c r="V440" t="e">
        <f>VLOOKUP(O440,Lembar1!$A$4:$H$457,8,FALSE)</f>
        <v>#N/A</v>
      </c>
      <c r="W440" t="str">
        <f>IFERROR(VLOOKUP(O440,Lembar1!$A$4:$I$457,9,FALSE),C440)</f>
        <v>Karangga - Al Ijtihad Al Mubarok</v>
      </c>
    </row>
    <row r="441" spans="1:23" ht="15.75" thickBot="1" x14ac:dyDescent="0.3">
      <c r="A441" s="72">
        <v>46000.693333333336</v>
      </c>
      <c r="B441" s="73" t="s">
        <v>1153</v>
      </c>
      <c r="C441" s="73" t="s">
        <v>1665</v>
      </c>
      <c r="D441" s="73" t="s">
        <v>1676</v>
      </c>
      <c r="E441" s="73" t="s">
        <v>28</v>
      </c>
      <c r="F441" s="74">
        <v>42087</v>
      </c>
      <c r="G441" s="73" t="s">
        <v>1677</v>
      </c>
      <c r="H441" s="73" t="s">
        <v>1678</v>
      </c>
      <c r="I441" s="73" t="s">
        <v>66</v>
      </c>
      <c r="J441" s="75" t="s">
        <v>1679</v>
      </c>
      <c r="K441" s="73" t="s">
        <v>1680</v>
      </c>
      <c r="L441" s="79" t="s">
        <v>3042</v>
      </c>
      <c r="M441" s="71"/>
      <c r="N441">
        <v>545</v>
      </c>
      <c r="O441" t="str">
        <f t="shared" si="56"/>
        <v>EBTAQ25-03.131</v>
      </c>
      <c r="P441" t="str">
        <f t="shared" si="57"/>
        <v>RIZKY KHOIRUL KHAMDANI</v>
      </c>
      <c r="Q441" t="str">
        <f t="shared" si="58"/>
        <v>Laki-laki</v>
      </c>
      <c r="R441" t="str">
        <f t="shared" si="59"/>
        <v>DEMAK</v>
      </c>
      <c r="S441" s="21">
        <f t="shared" si="60"/>
        <v>42087</v>
      </c>
      <c r="T441" t="str">
        <f t="shared" si="61"/>
        <v>MOH KHOIRI</v>
      </c>
      <c r="U441" t="str">
        <f t="shared" si="62"/>
        <v>DESI KARTIKA SARI</v>
      </c>
      <c r="V441" t="e">
        <f>VLOOKUP(O441,Lembar1!$A$4:$H$457,8,FALSE)</f>
        <v>#N/A</v>
      </c>
      <c r="W441" t="str">
        <f>IFERROR(VLOOKUP(O441,Lembar1!$A$4:$I$457,9,FALSE),C441)</f>
        <v>Dewoka - Assalamah</v>
      </c>
    </row>
    <row r="442" spans="1:23" ht="15.75" thickBot="1" x14ac:dyDescent="0.3">
      <c r="A442" s="67">
        <v>45999.226817129631</v>
      </c>
      <c r="B442" s="68" t="s">
        <v>1153</v>
      </c>
      <c r="C442" s="68" t="s">
        <v>256</v>
      </c>
      <c r="D442" s="68" t="s">
        <v>1154</v>
      </c>
      <c r="E442" s="68" t="s">
        <v>1155</v>
      </c>
      <c r="F442" s="69">
        <v>42269</v>
      </c>
      <c r="G442" s="68" t="s">
        <v>1156</v>
      </c>
      <c r="H442" s="68" t="s">
        <v>1157</v>
      </c>
      <c r="I442" s="68" t="s">
        <v>2</v>
      </c>
      <c r="J442" s="70" t="s">
        <v>1158</v>
      </c>
      <c r="K442" s="68" t="s">
        <v>1159</v>
      </c>
      <c r="L442" s="79" t="s">
        <v>3152</v>
      </c>
      <c r="M442" s="71"/>
      <c r="N442">
        <v>563</v>
      </c>
      <c r="O442" t="str">
        <f t="shared" si="56"/>
        <v>EBTAQ25-03.139</v>
      </c>
      <c r="P442" t="str">
        <f t="shared" si="57"/>
        <v>Roisatut Dzawin Najah</v>
      </c>
      <c r="Q442" t="str">
        <f t="shared" si="58"/>
        <v>Perempuan</v>
      </c>
      <c r="R442" t="str">
        <f t="shared" si="59"/>
        <v>Pati</v>
      </c>
      <c r="S442" s="21">
        <f t="shared" si="60"/>
        <v>42269</v>
      </c>
      <c r="T442" t="str">
        <f t="shared" si="61"/>
        <v>Mohammad Shodiqin</v>
      </c>
      <c r="U442" t="str">
        <f t="shared" si="62"/>
        <v>Siti Aminah</v>
      </c>
      <c r="V442" t="e">
        <f>VLOOKUP(O442,Lembar1!$A$4:$H$457,8,FALSE)</f>
        <v>#N/A</v>
      </c>
      <c r="W442" t="str">
        <f>IFERROR(VLOOKUP(O442,Lembar1!$A$4:$I$457,9,FALSE),C442)</f>
        <v>Dewoka - Nuzulur Rohmah</v>
      </c>
    </row>
    <row r="443" spans="1:23" ht="15.75" thickBot="1" x14ac:dyDescent="0.3">
      <c r="A443" s="72">
        <v>45999.935717592591</v>
      </c>
      <c r="B443" s="73" t="s">
        <v>1153</v>
      </c>
      <c r="C443" s="73" t="s">
        <v>256</v>
      </c>
      <c r="D443" s="73" t="s">
        <v>1154</v>
      </c>
      <c r="E443" s="73" t="s">
        <v>1155</v>
      </c>
      <c r="F443" s="74">
        <v>42269</v>
      </c>
      <c r="G443" s="73" t="s">
        <v>1156</v>
      </c>
      <c r="H443" s="73" t="s">
        <v>1157</v>
      </c>
      <c r="I443" s="73" t="s">
        <v>2</v>
      </c>
      <c r="J443" s="75" t="s">
        <v>1433</v>
      </c>
      <c r="K443" s="73" t="s">
        <v>1434</v>
      </c>
      <c r="L443" s="79" t="s">
        <v>3035</v>
      </c>
      <c r="M443" s="71"/>
      <c r="N443">
        <v>569</v>
      </c>
      <c r="O443" t="str">
        <f t="shared" si="56"/>
        <v>EBTAQ25-03.124</v>
      </c>
      <c r="P443" t="str">
        <f t="shared" si="57"/>
        <v>Roisatut Dzawin Najah</v>
      </c>
      <c r="Q443" t="str">
        <f t="shared" si="58"/>
        <v>Perempuan</v>
      </c>
      <c r="R443" t="str">
        <f t="shared" si="59"/>
        <v>Pati</v>
      </c>
      <c r="S443" s="21">
        <f t="shared" si="60"/>
        <v>42269</v>
      </c>
      <c r="T443" t="str">
        <f t="shared" si="61"/>
        <v>Mohammad Shodiqin</v>
      </c>
      <c r="U443" t="str">
        <f t="shared" si="62"/>
        <v>Siti Aminah</v>
      </c>
      <c r="V443" t="e">
        <f>VLOOKUP(O443,Lembar1!$A$4:$H$457,8,FALSE)</f>
        <v>#N/A</v>
      </c>
      <c r="W443" t="str">
        <f>IFERROR(VLOOKUP(O443,Lembar1!$A$4:$I$457,9,FALSE),C443)</f>
        <v>Dewoka - Nuzulur Rohmah</v>
      </c>
    </row>
    <row r="444" spans="1:23" ht="15.75" thickBot="1" x14ac:dyDescent="0.3">
      <c r="A444" s="67">
        <v>46001.586701388886</v>
      </c>
      <c r="B444" s="68" t="s">
        <v>1317</v>
      </c>
      <c r="C444" s="68" t="s">
        <v>473</v>
      </c>
      <c r="D444" s="68" t="s">
        <v>2190</v>
      </c>
      <c r="E444" s="68" t="s">
        <v>10</v>
      </c>
      <c r="F444" s="69">
        <v>41608</v>
      </c>
      <c r="G444" s="68" t="s">
        <v>2191</v>
      </c>
      <c r="H444" s="68" t="s">
        <v>2192</v>
      </c>
      <c r="I444" s="68" t="s">
        <v>2</v>
      </c>
      <c r="J444" s="70" t="s">
        <v>2193</v>
      </c>
      <c r="K444" s="68" t="s">
        <v>2194</v>
      </c>
      <c r="L444" s="79" t="s">
        <v>3108</v>
      </c>
      <c r="M444" s="71"/>
      <c r="N444">
        <v>634</v>
      </c>
      <c r="O444" t="str">
        <f t="shared" si="56"/>
        <v>EBTAQ25-04.059</v>
      </c>
      <c r="P444" t="str">
        <f t="shared" si="57"/>
        <v>Sabrina Assyva</v>
      </c>
      <c r="Q444" t="str">
        <f t="shared" si="58"/>
        <v>Perempuan</v>
      </c>
      <c r="R444" t="str">
        <f t="shared" si="59"/>
        <v>Demak</v>
      </c>
      <c r="S444" s="21">
        <f t="shared" si="60"/>
        <v>41608</v>
      </c>
      <c r="T444" t="str">
        <f t="shared" si="61"/>
        <v>Akhmat Amin</v>
      </c>
      <c r="U444" t="str">
        <f t="shared" si="62"/>
        <v>Ami Anisah</v>
      </c>
      <c r="V444" t="e">
        <f>VLOOKUP(O444,Lembar1!$A$4:$H$457,8,FALSE)</f>
        <v>#N/A</v>
      </c>
      <c r="W444" t="str">
        <f>IFERROR(VLOOKUP(O444,Lembar1!$A$4:$I$457,9,FALSE),C444)</f>
        <v>Karangga - Mubarokah</v>
      </c>
    </row>
    <row r="445" spans="1:23" ht="15.75" thickBot="1" x14ac:dyDescent="0.3">
      <c r="A445" s="72">
        <v>46000.800347222219</v>
      </c>
      <c r="B445" s="73" t="s">
        <v>1153</v>
      </c>
      <c r="C445" s="73" t="s">
        <v>1534</v>
      </c>
      <c r="D445" s="73" t="s">
        <v>1861</v>
      </c>
      <c r="E445" s="73" t="s">
        <v>116</v>
      </c>
      <c r="F445" s="74">
        <v>42864</v>
      </c>
      <c r="G445" s="73" t="s">
        <v>1862</v>
      </c>
      <c r="H445" s="73" t="s">
        <v>1863</v>
      </c>
      <c r="I445" s="73" t="s">
        <v>2</v>
      </c>
      <c r="J445" s="75" t="s">
        <v>1864</v>
      </c>
      <c r="K445" s="73" t="s">
        <v>1865</v>
      </c>
      <c r="L445" s="79" t="s">
        <v>3048</v>
      </c>
      <c r="M445" s="71"/>
      <c r="N445">
        <v>555</v>
      </c>
      <c r="O445" t="str">
        <f t="shared" si="56"/>
        <v>EBTAQ25-03.137</v>
      </c>
      <c r="P445" t="str">
        <f t="shared" si="57"/>
        <v>Selia Andriani Hardaningrum</v>
      </c>
      <c r="Q445" t="str">
        <f t="shared" si="58"/>
        <v>Perempuan</v>
      </c>
      <c r="R445" t="str">
        <f t="shared" si="59"/>
        <v>Kudus</v>
      </c>
      <c r="S445" s="21">
        <f t="shared" si="60"/>
        <v>42864</v>
      </c>
      <c r="T445" t="str">
        <f t="shared" si="61"/>
        <v>Muhamad Muji Hardaningrum</v>
      </c>
      <c r="U445" t="str">
        <f t="shared" si="62"/>
        <v>Rismawati</v>
      </c>
      <c r="V445" t="e">
        <f>VLOOKUP(O445,Lembar1!$A$4:$H$457,8,FALSE)</f>
        <v>#N/A</v>
      </c>
      <c r="W445" t="str">
        <f>IFERROR(VLOOKUP(O445,Lembar1!$A$4:$I$457,9,FALSE),C445)</f>
        <v>Dewoka - Nurul Iman</v>
      </c>
    </row>
    <row r="446" spans="1:23" ht="15.75" thickBot="1" x14ac:dyDescent="0.3">
      <c r="A446" s="67">
        <v>46000.692685185182</v>
      </c>
      <c r="B446" s="68" t="s">
        <v>1153</v>
      </c>
      <c r="C446" s="68" t="s">
        <v>1665</v>
      </c>
      <c r="D446" s="68" t="s">
        <v>1666</v>
      </c>
      <c r="E446" s="68" t="s">
        <v>28</v>
      </c>
      <c r="F446" s="69">
        <v>41545</v>
      </c>
      <c r="G446" s="68" t="s">
        <v>1667</v>
      </c>
      <c r="H446" s="68" t="s">
        <v>1668</v>
      </c>
      <c r="I446" s="68" t="s">
        <v>2</v>
      </c>
      <c r="J446" s="70" t="s">
        <v>1669</v>
      </c>
      <c r="K446" s="68" t="s">
        <v>1670</v>
      </c>
      <c r="L446" s="79" t="s">
        <v>3040</v>
      </c>
      <c r="M446" s="71"/>
      <c r="N446">
        <v>544</v>
      </c>
      <c r="O446" t="str">
        <f t="shared" si="56"/>
        <v>EBTAQ25-03.129</v>
      </c>
      <c r="P446" t="str">
        <f t="shared" si="57"/>
        <v>SISCA OLIVIA</v>
      </c>
      <c r="Q446" t="str">
        <f t="shared" si="58"/>
        <v>Perempuan</v>
      </c>
      <c r="R446" t="str">
        <f t="shared" si="59"/>
        <v>DEMAK</v>
      </c>
      <c r="S446" s="21">
        <f t="shared" si="60"/>
        <v>41545</v>
      </c>
      <c r="T446" t="str">
        <f t="shared" si="61"/>
        <v>MUSTHOFA</v>
      </c>
      <c r="U446" t="str">
        <f t="shared" si="62"/>
        <v>MUNAFIAH</v>
      </c>
      <c r="V446" t="e">
        <f>VLOOKUP(O446,Lembar1!$A$4:$H$457,8,FALSE)</f>
        <v>#N/A</v>
      </c>
      <c r="W446" t="str">
        <f>IFERROR(VLOOKUP(O446,Lembar1!$A$4:$I$457,9,FALSE),C446)</f>
        <v>Dewoka - Assalamah</v>
      </c>
    </row>
    <row r="447" spans="1:23" ht="15.75" thickBot="1" x14ac:dyDescent="0.3">
      <c r="A447" s="72">
        <v>46000.799085648148</v>
      </c>
      <c r="B447" s="73" t="s">
        <v>1317</v>
      </c>
      <c r="C447" s="73" t="s">
        <v>473</v>
      </c>
      <c r="D447" s="73" t="s">
        <v>1856</v>
      </c>
      <c r="E447" s="73" t="s">
        <v>10</v>
      </c>
      <c r="F447" s="74">
        <v>41819</v>
      </c>
      <c r="G447" s="73" t="s">
        <v>1857</v>
      </c>
      <c r="H447" s="73" t="s">
        <v>1858</v>
      </c>
      <c r="I447" s="73" t="s">
        <v>2</v>
      </c>
      <c r="J447" s="75" t="s">
        <v>1859</v>
      </c>
      <c r="K447" s="73" t="s">
        <v>1860</v>
      </c>
      <c r="L447" s="79" t="s">
        <v>3084</v>
      </c>
      <c r="M447" s="71"/>
      <c r="N447">
        <v>630</v>
      </c>
      <c r="O447" t="str">
        <f t="shared" si="56"/>
        <v>EBTAQ25-04.035</v>
      </c>
      <c r="P447" t="str">
        <f t="shared" si="57"/>
        <v>SUCI RAMADHANI</v>
      </c>
      <c r="Q447" t="str">
        <f t="shared" si="58"/>
        <v>Perempuan</v>
      </c>
      <c r="R447" t="str">
        <f t="shared" si="59"/>
        <v>Demak</v>
      </c>
      <c r="S447" s="21">
        <f t="shared" si="60"/>
        <v>41819</v>
      </c>
      <c r="T447" t="str">
        <f t="shared" si="61"/>
        <v>Sugeng widodo</v>
      </c>
      <c r="U447" t="str">
        <f t="shared" si="62"/>
        <v>Musliyah</v>
      </c>
      <c r="V447" t="e">
        <f>VLOOKUP(O447,Lembar1!$A$4:$H$457,8,FALSE)</f>
        <v>#N/A</v>
      </c>
      <c r="W447" t="str">
        <f>IFERROR(VLOOKUP(O447,Lembar1!$A$4:$I$457,9,FALSE),C447)</f>
        <v>Karangga - Mubarokah</v>
      </c>
    </row>
    <row r="448" spans="1:23" ht="15.75" thickBot="1" x14ac:dyDescent="0.3">
      <c r="A448" s="67">
        <v>46000.869942129626</v>
      </c>
      <c r="B448" s="68" t="s">
        <v>1317</v>
      </c>
      <c r="C448" s="68" t="s">
        <v>1907</v>
      </c>
      <c r="D448" s="68" t="s">
        <v>1908</v>
      </c>
      <c r="E448" s="68" t="s">
        <v>10</v>
      </c>
      <c r="F448" s="69">
        <v>42783</v>
      </c>
      <c r="G448" s="68" t="s">
        <v>1909</v>
      </c>
      <c r="H448" s="68" t="s">
        <v>1910</v>
      </c>
      <c r="I448" s="68" t="s">
        <v>2</v>
      </c>
      <c r="J448" s="70" t="s">
        <v>1911</v>
      </c>
      <c r="K448" s="68" t="s">
        <v>1912</v>
      </c>
      <c r="L448" s="79" t="s">
        <v>3087</v>
      </c>
      <c r="M448" s="71"/>
      <c r="N448">
        <v>637</v>
      </c>
      <c r="O448" t="str">
        <f t="shared" si="56"/>
        <v>EBTAQ25-04.038</v>
      </c>
      <c r="P448" t="str">
        <f t="shared" si="57"/>
        <v>Syarifah lia Dwarawati</v>
      </c>
      <c r="Q448" t="str">
        <f t="shared" si="58"/>
        <v>Perempuan</v>
      </c>
      <c r="R448" t="str">
        <f t="shared" si="59"/>
        <v>Demak</v>
      </c>
      <c r="S448" s="21">
        <f t="shared" si="60"/>
        <v>42783</v>
      </c>
      <c r="T448" t="str">
        <f t="shared" si="61"/>
        <v>Mujib</v>
      </c>
      <c r="U448" t="str">
        <f t="shared" si="62"/>
        <v>Dika lusiana</v>
      </c>
      <c r="V448" t="e">
        <f>VLOOKUP(O448,Lembar1!$A$4:$H$457,8,FALSE)</f>
        <v>#N/A</v>
      </c>
      <c r="W448" t="str">
        <f>IFERROR(VLOOKUP(O448,Lembar1!$A$4:$I$457,9,FALSE),C448)</f>
        <v>Karangga - Nurul Huda Undaan Kidul</v>
      </c>
    </row>
    <row r="449" spans="1:23" ht="15.75" thickBot="1" x14ac:dyDescent="0.3">
      <c r="A449" s="72">
        <v>46000.659247685187</v>
      </c>
      <c r="B449" s="73" t="s">
        <v>1317</v>
      </c>
      <c r="C449" s="73" t="s">
        <v>511</v>
      </c>
      <c r="D449" s="73" t="s">
        <v>1598</v>
      </c>
      <c r="E449" s="73" t="s">
        <v>365</v>
      </c>
      <c r="F449" s="74">
        <v>42323</v>
      </c>
      <c r="G449" s="73" t="s">
        <v>1599</v>
      </c>
      <c r="H449" s="73" t="s">
        <v>1600</v>
      </c>
      <c r="I449" s="73" t="s">
        <v>2</v>
      </c>
      <c r="J449" s="75" t="s">
        <v>1601</v>
      </c>
      <c r="K449" s="73" t="s">
        <v>1602</v>
      </c>
      <c r="L449" s="79" t="s">
        <v>3059</v>
      </c>
      <c r="M449" s="71"/>
      <c r="N449">
        <v>610</v>
      </c>
      <c r="O449" t="str">
        <f t="shared" si="56"/>
        <v>EBTAQ25-04.010</v>
      </c>
      <c r="P449" t="str">
        <f t="shared" si="57"/>
        <v>SYIFA AGHNIA RAHMAH</v>
      </c>
      <c r="Q449" t="str">
        <f t="shared" si="58"/>
        <v>Perempuan</v>
      </c>
      <c r="R449" t="str">
        <f t="shared" si="59"/>
        <v>KUDUS</v>
      </c>
      <c r="S449" s="21">
        <f t="shared" si="60"/>
        <v>42323</v>
      </c>
      <c r="T449" t="str">
        <f t="shared" si="61"/>
        <v>RIDWAN</v>
      </c>
      <c r="U449" t="str">
        <f t="shared" si="62"/>
        <v>HENI SOFIANA</v>
      </c>
      <c r="V449" t="e">
        <f>VLOOKUP(O449,Lembar1!$A$4:$H$457,8,FALSE)</f>
        <v>#N/A</v>
      </c>
      <c r="W449" t="str">
        <f>IFERROR(VLOOKUP(O449,Lembar1!$A$4:$I$457,9,FALSE),C449)</f>
        <v>Karangga - Miftahul Ulum</v>
      </c>
    </row>
    <row r="450" spans="1:23" ht="15.75" thickBot="1" x14ac:dyDescent="0.3">
      <c r="A450" s="67">
        <v>45999.362696759257</v>
      </c>
      <c r="B450" s="68" t="s">
        <v>1153</v>
      </c>
      <c r="C450" s="68" t="s">
        <v>1190</v>
      </c>
      <c r="D450" s="68" t="s">
        <v>1217</v>
      </c>
      <c r="E450" s="68" t="s">
        <v>28</v>
      </c>
      <c r="F450" s="69">
        <v>41481</v>
      </c>
      <c r="G450" s="68" t="s">
        <v>1218</v>
      </c>
      <c r="H450" s="68" t="s">
        <v>1219</v>
      </c>
      <c r="I450" s="68" t="s">
        <v>2</v>
      </c>
      <c r="J450" s="70" t="s">
        <v>1220</v>
      </c>
      <c r="K450" s="68" t="s">
        <v>1221</v>
      </c>
      <c r="L450" s="79" t="s">
        <v>3021</v>
      </c>
      <c r="M450" s="71"/>
      <c r="N450">
        <v>560</v>
      </c>
      <c r="O450" t="str">
        <f t="shared" si="56"/>
        <v>EBTAQ25-03.110</v>
      </c>
      <c r="P450" t="str">
        <f t="shared" si="57"/>
        <v>SYIFA ELYSIA DARAPUSPITA</v>
      </c>
      <c r="Q450" t="str">
        <f t="shared" si="58"/>
        <v>Perempuan</v>
      </c>
      <c r="R450" t="str">
        <f t="shared" si="59"/>
        <v>DEMAK</v>
      </c>
      <c r="S450" s="21">
        <f t="shared" si="60"/>
        <v>41481</v>
      </c>
      <c r="T450" t="str">
        <f t="shared" si="61"/>
        <v>SUSILO</v>
      </c>
      <c r="U450" t="str">
        <f t="shared" si="62"/>
        <v>ENDANG DWI SUNARTI</v>
      </c>
      <c r="V450" t="e">
        <f>VLOOKUP(O450,Lembar1!$A$4:$H$457,8,FALSE)</f>
        <v>#N/A</v>
      </c>
      <c r="W450" t="str">
        <f>IFERROR(VLOOKUP(O450,Lembar1!$A$4:$I$457,9,FALSE),C450)</f>
        <v>Dewoka - Nurul Qur'an</v>
      </c>
    </row>
    <row r="451" spans="1:23" ht="15.75" thickBot="1" x14ac:dyDescent="0.3">
      <c r="A451" s="72">
        <v>45995.555648148147</v>
      </c>
      <c r="B451" s="73" t="s">
        <v>998</v>
      </c>
      <c r="C451" s="73" t="s">
        <v>1038</v>
      </c>
      <c r="D451" s="73" t="s">
        <v>1058</v>
      </c>
      <c r="E451" s="73" t="s">
        <v>28</v>
      </c>
      <c r="F451" s="74">
        <v>42668</v>
      </c>
      <c r="G451" s="73" t="s">
        <v>1059</v>
      </c>
      <c r="H451" s="73" t="s">
        <v>1060</v>
      </c>
      <c r="I451" s="73" t="s">
        <v>2</v>
      </c>
      <c r="J451" s="75" t="s">
        <v>1061</v>
      </c>
      <c r="K451" s="73" t="s">
        <v>1062</v>
      </c>
      <c r="L451" s="79" t="s">
        <v>3121</v>
      </c>
      <c r="M451" s="71"/>
      <c r="N451">
        <v>666</v>
      </c>
      <c r="O451" t="str">
        <f t="shared" si="56"/>
        <v>EBTAQ25-05.013</v>
      </c>
      <c r="P451" t="str">
        <f t="shared" si="57"/>
        <v>TALITHA MUTIA AZZAHRA</v>
      </c>
      <c r="Q451" t="str">
        <f t="shared" si="58"/>
        <v>Perempuan</v>
      </c>
      <c r="R451" t="str">
        <f t="shared" si="59"/>
        <v>DEMAK</v>
      </c>
      <c r="S451" s="21">
        <f t="shared" si="60"/>
        <v>42668</v>
      </c>
      <c r="T451" t="str">
        <f t="shared" si="61"/>
        <v>AKHID IRIADI</v>
      </c>
      <c r="U451" t="str">
        <f t="shared" si="62"/>
        <v>IKA SILVIA MARTANIA</v>
      </c>
      <c r="V451" t="e">
        <f>VLOOKUP(O451,Lembar1!$A$4:$H$457,8,FALSE)</f>
        <v>#N/A</v>
      </c>
      <c r="W451" t="str">
        <f>IFERROR(VLOOKUP(O451,Lembar1!$A$4:$I$457,9,FALSE),C451)</f>
        <v>Karbon - TPQ Nahdlotul Qur'an</v>
      </c>
    </row>
    <row r="452" spans="1:23" ht="15.75" thickBot="1" x14ac:dyDescent="0.3">
      <c r="A452" s="67">
        <v>46001.535682870373</v>
      </c>
      <c r="B452" s="68" t="s">
        <v>998</v>
      </c>
      <c r="C452" s="68" t="s">
        <v>1038</v>
      </c>
      <c r="D452" s="68" t="s">
        <v>2166</v>
      </c>
      <c r="E452" s="68" t="s">
        <v>402</v>
      </c>
      <c r="F452" s="69">
        <v>42668</v>
      </c>
      <c r="G452" s="68" t="s">
        <v>2167</v>
      </c>
      <c r="H452" s="68" t="s">
        <v>2168</v>
      </c>
      <c r="I452" s="68" t="s">
        <v>2</v>
      </c>
      <c r="J452" s="70" t="s">
        <v>2169</v>
      </c>
      <c r="K452" s="68" t="s">
        <v>1043</v>
      </c>
      <c r="L452" s="79" t="s">
        <v>3147</v>
      </c>
      <c r="M452" s="71"/>
      <c r="N452">
        <v>673</v>
      </c>
      <c r="O452" t="str">
        <f t="shared" si="56"/>
        <v>EBTAQ25-05.039</v>
      </c>
      <c r="P452" t="str">
        <f t="shared" si="57"/>
        <v>talitha mutia azzahra</v>
      </c>
      <c r="Q452" t="str">
        <f t="shared" si="58"/>
        <v>Perempuan</v>
      </c>
      <c r="R452" t="str">
        <f t="shared" si="59"/>
        <v>demak</v>
      </c>
      <c r="S452" s="21">
        <f t="shared" si="60"/>
        <v>42668</v>
      </c>
      <c r="T452" t="str">
        <f t="shared" si="61"/>
        <v>akhid iriadi</v>
      </c>
      <c r="U452" t="str">
        <f t="shared" si="62"/>
        <v>ika silvia martania</v>
      </c>
      <c r="V452" t="e">
        <f>VLOOKUP(O452,Lembar1!$A$4:$H$457,8,FALSE)</f>
        <v>#N/A</v>
      </c>
      <c r="W452" t="str">
        <f>IFERROR(VLOOKUP(O452,Lembar1!$A$4:$I$457,9,FALSE),C452)</f>
        <v>Karbon - TPQ Nahdlotul Qur'an</v>
      </c>
    </row>
    <row r="453" spans="1:23" ht="15.75" thickBot="1" x14ac:dyDescent="0.3">
      <c r="A453" s="72">
        <v>46001.692048611112</v>
      </c>
      <c r="B453" s="73" t="s">
        <v>1317</v>
      </c>
      <c r="C453" s="73" t="s">
        <v>511</v>
      </c>
      <c r="D453" s="73" t="s">
        <v>2569</v>
      </c>
      <c r="E453" s="73" t="s">
        <v>116</v>
      </c>
      <c r="F453" s="74">
        <v>41792</v>
      </c>
      <c r="G453" s="73" t="s">
        <v>2570</v>
      </c>
      <c r="H453" s="73" t="s">
        <v>1770</v>
      </c>
      <c r="I453" s="73" t="s">
        <v>66</v>
      </c>
      <c r="J453" s="75" t="s">
        <v>2571</v>
      </c>
      <c r="K453" s="73" t="s">
        <v>2572</v>
      </c>
      <c r="L453" s="79" t="s">
        <v>3112</v>
      </c>
      <c r="M453" s="71"/>
      <c r="N453">
        <v>615</v>
      </c>
      <c r="O453" t="str">
        <f t="shared" si="56"/>
        <v>EBTAQ25-04.063</v>
      </c>
      <c r="P453" t="str">
        <f t="shared" si="57"/>
        <v>Utama</v>
      </c>
      <c r="Q453" t="str">
        <f t="shared" si="58"/>
        <v>Laki-laki</v>
      </c>
      <c r="R453" t="str">
        <f t="shared" si="59"/>
        <v>Kudus</v>
      </c>
      <c r="S453" s="21">
        <f t="shared" si="60"/>
        <v>41792</v>
      </c>
      <c r="T453" t="str">
        <f t="shared" si="61"/>
        <v>Ahmad Kholiq</v>
      </c>
      <c r="U453" t="str">
        <f t="shared" si="62"/>
        <v>Siti Rusminatun</v>
      </c>
      <c r="V453" t="e">
        <f>VLOOKUP(O453,Lembar1!$A$4:$H$457,8,FALSE)</f>
        <v>#N/A</v>
      </c>
      <c r="W453" t="str">
        <f>IFERROR(VLOOKUP(O453,Lembar1!$A$4:$I$457,9,FALSE),C453)</f>
        <v>Karangga - Miftahul Ulum</v>
      </c>
    </row>
    <row r="454" spans="1:23" ht="15.75" thickBot="1" x14ac:dyDescent="0.3">
      <c r="A454" s="67">
        <v>46000.649259259262</v>
      </c>
      <c r="B454" s="68" t="s">
        <v>1317</v>
      </c>
      <c r="C454" s="68" t="s">
        <v>473</v>
      </c>
      <c r="D454" s="68" t="s">
        <v>1585</v>
      </c>
      <c r="E454" s="68" t="s">
        <v>10</v>
      </c>
      <c r="F454" s="69">
        <v>41863</v>
      </c>
      <c r="G454" s="68" t="s">
        <v>1586</v>
      </c>
      <c r="H454" s="68" t="s">
        <v>1587</v>
      </c>
      <c r="I454" s="68" t="s">
        <v>66</v>
      </c>
      <c r="J454" s="70" t="s">
        <v>1588</v>
      </c>
      <c r="K454" s="68" t="s">
        <v>1589</v>
      </c>
      <c r="L454" s="79" t="s">
        <v>3058</v>
      </c>
      <c r="M454" s="71"/>
      <c r="N454">
        <v>622</v>
      </c>
      <c r="O454" t="str">
        <f t="shared" si="56"/>
        <v>EBTAQ25-04.009</v>
      </c>
      <c r="P454" t="str">
        <f t="shared" si="57"/>
        <v>WIJDANU ROSI MUHAMMAD</v>
      </c>
      <c r="Q454" t="str">
        <f t="shared" si="58"/>
        <v>Laki-laki</v>
      </c>
      <c r="R454" t="str">
        <f t="shared" si="59"/>
        <v>Demak</v>
      </c>
      <c r="S454" s="21">
        <f t="shared" si="60"/>
        <v>41863</v>
      </c>
      <c r="T454" t="str">
        <f t="shared" si="61"/>
        <v>Aminulloh</v>
      </c>
      <c r="U454" t="str">
        <f t="shared" si="62"/>
        <v>Qudsiyah</v>
      </c>
      <c r="V454" t="e">
        <f>VLOOKUP(O454,Lembar1!$A$4:$H$457,8,FALSE)</f>
        <v>#N/A</v>
      </c>
      <c r="W454" t="str">
        <f>IFERROR(VLOOKUP(O454,Lembar1!$A$4:$I$457,9,FALSE),C454)</f>
        <v>Karangga - Mubarokah</v>
      </c>
    </row>
    <row r="455" spans="1:23" ht="15.75" thickBot="1" x14ac:dyDescent="0.3">
      <c r="A455" s="72">
        <v>46000.774039351854</v>
      </c>
      <c r="B455" s="73" t="s">
        <v>1317</v>
      </c>
      <c r="C455" s="73" t="s">
        <v>473</v>
      </c>
      <c r="D455" s="73" t="s">
        <v>1827</v>
      </c>
      <c r="E455" s="73" t="s">
        <v>10</v>
      </c>
      <c r="F455" s="74">
        <v>42195</v>
      </c>
      <c r="G455" s="73" t="s">
        <v>1828</v>
      </c>
      <c r="H455" s="73" t="s">
        <v>1829</v>
      </c>
      <c r="I455" s="73" t="s">
        <v>2</v>
      </c>
      <c r="J455" s="75" t="s">
        <v>1830</v>
      </c>
      <c r="K455" s="73" t="s">
        <v>1831</v>
      </c>
      <c r="L455" s="79" t="s">
        <v>3080</v>
      </c>
      <c r="M455" s="71"/>
      <c r="N455">
        <v>628</v>
      </c>
      <c r="O455" t="str">
        <f t="shared" si="56"/>
        <v>EBTAQ25-04.031</v>
      </c>
      <c r="P455" t="str">
        <f t="shared" si="57"/>
        <v>Yasmin Rahardian</v>
      </c>
      <c r="Q455" t="str">
        <f t="shared" si="58"/>
        <v>Perempuan</v>
      </c>
      <c r="R455" t="str">
        <f t="shared" si="59"/>
        <v>Demak</v>
      </c>
      <c r="S455" s="21">
        <f t="shared" si="60"/>
        <v>42195</v>
      </c>
      <c r="T455" t="str">
        <f t="shared" si="61"/>
        <v>Rohadi</v>
      </c>
      <c r="U455" t="str">
        <f t="shared" si="62"/>
        <v>Rohmin</v>
      </c>
      <c r="V455" t="e">
        <f>VLOOKUP(O455,Lembar1!$A$4:$H$457,8,FALSE)</f>
        <v>#N/A</v>
      </c>
      <c r="W455" t="str">
        <f>IFERROR(VLOOKUP(O455,Lembar1!$A$4:$I$457,9,FALSE),C455)</f>
        <v>Karangga - Mubarokah</v>
      </c>
    </row>
    <row r="456" spans="1:23" ht="15.75" thickBot="1" x14ac:dyDescent="0.3">
      <c r="A456" s="67">
        <v>45999.470185185186</v>
      </c>
      <c r="B456" s="68" t="s">
        <v>1153</v>
      </c>
      <c r="C456" s="68" t="s">
        <v>1260</v>
      </c>
      <c r="D456" s="68" t="s">
        <v>1271</v>
      </c>
      <c r="E456" s="68" t="s">
        <v>10</v>
      </c>
      <c r="F456" s="69">
        <v>43587</v>
      </c>
      <c r="G456" s="68" t="s">
        <v>1272</v>
      </c>
      <c r="H456" s="68" t="s">
        <v>1273</v>
      </c>
      <c r="I456" s="68" t="s">
        <v>2</v>
      </c>
      <c r="J456" s="70" t="s">
        <v>1274</v>
      </c>
      <c r="K456" s="68" t="s">
        <v>1275</v>
      </c>
      <c r="L456" s="79" t="s">
        <v>3025</v>
      </c>
      <c r="M456" s="71"/>
      <c r="N456">
        <v>573</v>
      </c>
      <c r="O456" t="str">
        <f t="shared" si="56"/>
        <v>EBTAQ25-03.114</v>
      </c>
      <c r="P456" t="str">
        <f t="shared" si="57"/>
        <v>Zafira Ayunda Rahmadani</v>
      </c>
      <c r="Q456" t="str">
        <f t="shared" si="58"/>
        <v>Perempuan</v>
      </c>
      <c r="R456" t="str">
        <f t="shared" si="59"/>
        <v>Demak</v>
      </c>
      <c r="S456" s="21">
        <f t="shared" si="60"/>
        <v>43587</v>
      </c>
      <c r="T456" t="str">
        <f t="shared" si="61"/>
        <v>Dany Yuliantoko</v>
      </c>
      <c r="U456" t="str">
        <f t="shared" si="62"/>
        <v>Ayu Dya Safitri</v>
      </c>
      <c r="V456" t="e">
        <f>VLOOKUP(O456,Lembar1!$A$4:$H$457,8,FALSE)</f>
        <v>#N/A</v>
      </c>
      <c r="W456" t="str">
        <f>IFERROR(VLOOKUP(O456,Lembar1!$A$4:$I$457,9,FALSE),C456)</f>
        <v>Dewoka - Roudlotul Muta'allimin</v>
      </c>
    </row>
    <row r="457" spans="1:23" ht="15.75" thickBot="1" x14ac:dyDescent="0.3">
      <c r="A457" s="72">
        <v>46001.859305555554</v>
      </c>
      <c r="B457" s="73" t="s">
        <v>1317</v>
      </c>
      <c r="C457" s="73" t="s">
        <v>854</v>
      </c>
      <c r="D457" s="73" t="s">
        <v>2918</v>
      </c>
      <c r="E457" s="73" t="s">
        <v>10</v>
      </c>
      <c r="F457" s="74">
        <v>42187</v>
      </c>
      <c r="G457" s="73" t="s">
        <v>2919</v>
      </c>
      <c r="H457" s="73" t="s">
        <v>2920</v>
      </c>
      <c r="I457" s="73" t="s">
        <v>66</v>
      </c>
      <c r="J457" s="75" t="s">
        <v>2921</v>
      </c>
      <c r="K457" s="73" t="s">
        <v>2922</v>
      </c>
      <c r="L457" s="79" t="s">
        <v>3115</v>
      </c>
      <c r="M457" s="71"/>
      <c r="N457">
        <v>578</v>
      </c>
      <c r="O457" t="str">
        <f t="shared" si="56"/>
        <v>EBTAQ25-04.066</v>
      </c>
      <c r="P457" t="str">
        <f t="shared" si="57"/>
        <v>Zian Syahrul Ramadhan</v>
      </c>
      <c r="Q457" t="str">
        <f t="shared" si="58"/>
        <v>Laki-laki</v>
      </c>
      <c r="R457" t="str">
        <f t="shared" si="59"/>
        <v>Demak</v>
      </c>
      <c r="S457" s="21">
        <f t="shared" si="60"/>
        <v>42187</v>
      </c>
      <c r="T457" t="str">
        <f t="shared" si="61"/>
        <v>Darmo Sutoyo</v>
      </c>
      <c r="U457" t="str">
        <f t="shared" si="62"/>
        <v>Nida Evitria</v>
      </c>
      <c r="V457" t="e">
        <f>VLOOKUP(O457,Lembar1!$A$4:$H$457,8,FALSE)</f>
        <v>#N/A</v>
      </c>
      <c r="W457" t="str">
        <f>IFERROR(VLOOKUP(O457,Lembar1!$A$4:$I$457,9,FALSE),C457)</f>
        <v>Karangga - Al Furqon</v>
      </c>
    </row>
    <row r="458" spans="1:23" ht="15.75" thickBot="1" x14ac:dyDescent="0.3">
      <c r="A458" s="67">
        <v>46000.794652777775</v>
      </c>
      <c r="B458" s="68" t="s">
        <v>1317</v>
      </c>
      <c r="C458" s="68" t="s">
        <v>473</v>
      </c>
      <c r="D458" s="68" t="s">
        <v>1848</v>
      </c>
      <c r="E458" s="68" t="s">
        <v>28</v>
      </c>
      <c r="F458" s="69">
        <v>42326</v>
      </c>
      <c r="G458" s="68" t="s">
        <v>1849</v>
      </c>
      <c r="H458" s="68" t="s">
        <v>1850</v>
      </c>
      <c r="I458" s="68" t="s">
        <v>2</v>
      </c>
      <c r="J458" s="70" t="s">
        <v>1851</v>
      </c>
      <c r="K458" s="68" t="s">
        <v>1852</v>
      </c>
      <c r="L458" s="79" t="s">
        <v>3083</v>
      </c>
      <c r="M458" s="71"/>
      <c r="N458">
        <v>629</v>
      </c>
      <c r="O458" t="str">
        <f t="shared" si="56"/>
        <v>EBTAQ25-04.034</v>
      </c>
      <c r="P458" t="str">
        <f t="shared" si="57"/>
        <v>ZULFA NIDA HUSNA</v>
      </c>
      <c r="Q458" t="str">
        <f t="shared" si="58"/>
        <v>Perempuan</v>
      </c>
      <c r="R458" t="str">
        <f t="shared" si="59"/>
        <v>DEMAK</v>
      </c>
      <c r="S458" s="21">
        <f t="shared" si="60"/>
        <v>42326</v>
      </c>
      <c r="T458" t="str">
        <f t="shared" si="61"/>
        <v>MUHAMMAD MA'RUF,S.Ag</v>
      </c>
      <c r="U458" t="str">
        <f t="shared" si="62"/>
        <v>SITI MAHMUDAH</v>
      </c>
      <c r="V458" t="e">
        <f>VLOOKUP(O458,Lembar1!$A$4:$H$457,8,FALSE)</f>
        <v>#N/A</v>
      </c>
      <c r="W458" t="str">
        <f>IFERROR(VLOOKUP(O458,Lembar1!$A$4:$I$457,9,FALSE),C458)</f>
        <v>Karangga - Mubarokah</v>
      </c>
    </row>
    <row r="459" spans="1:23" ht="15.75" thickBot="1" x14ac:dyDescent="0.3">
      <c r="A459" s="49">
        <v>46000.690381944441</v>
      </c>
      <c r="B459" s="52" t="s">
        <v>953</v>
      </c>
      <c r="C459" s="52" t="s">
        <v>725</v>
      </c>
      <c r="D459" s="52" t="s">
        <v>1650</v>
      </c>
      <c r="E459" s="52" t="s">
        <v>28</v>
      </c>
      <c r="F459" s="56">
        <v>41945</v>
      </c>
      <c r="G459" s="52" t="s">
        <v>1651</v>
      </c>
      <c r="H459" s="52" t="s">
        <v>1652</v>
      </c>
      <c r="I459" s="52" t="s">
        <v>2</v>
      </c>
      <c r="J459" s="59" t="s">
        <v>1653</v>
      </c>
      <c r="K459" s="52" t="s">
        <v>1654</v>
      </c>
      <c r="L459" s="78" t="s">
        <v>1655</v>
      </c>
      <c r="M459" s="37" t="s">
        <v>1656</v>
      </c>
      <c r="N459">
        <v>303</v>
      </c>
      <c r="O459" t="str">
        <f t="shared" si="56"/>
        <v>EBTAQ25-03.035</v>
      </c>
      <c r="P459" t="str">
        <f t="shared" si="57"/>
        <v>ZULFATUL ULIA</v>
      </c>
      <c r="Q459" t="str">
        <f t="shared" si="58"/>
        <v>Perempuan</v>
      </c>
      <c r="R459" t="str">
        <f t="shared" si="59"/>
        <v>DEMAK</v>
      </c>
      <c r="S459" s="21">
        <f t="shared" si="60"/>
        <v>41945</v>
      </c>
      <c r="T459" t="str">
        <f t="shared" si="61"/>
        <v>MUHAMAD</v>
      </c>
      <c r="U459" t="str">
        <f t="shared" si="62"/>
        <v>MUARIFAH</v>
      </c>
      <c r="V459" s="90" t="e">
        <f>VLOOKUP(O459,Lembar1!$A$4:$H$457,8,FALSE)</f>
        <v>#N/A</v>
      </c>
      <c r="W459" t="str">
        <f>IFERROR(VLOOKUP(O459,Lembar1!$A$4:$I$457,9,FALSE),C459)</f>
        <v>BMW - Yanbu'ul Qur'an</v>
      </c>
    </row>
    <row r="460" spans="1:23" ht="15.75" hidden="1" thickBot="1" x14ac:dyDescent="0.3">
      <c r="A460" s="50">
        <v>45999.431342592594</v>
      </c>
      <c r="B460" s="53" t="s">
        <v>905</v>
      </c>
      <c r="C460" s="53" t="s">
        <v>332</v>
      </c>
      <c r="D460" s="53" t="s">
        <v>327</v>
      </c>
      <c r="E460" s="53" t="s">
        <v>328</v>
      </c>
      <c r="F460" s="57">
        <v>40488</v>
      </c>
      <c r="G460" s="53" t="s">
        <v>329</v>
      </c>
      <c r="H460" s="53" t="s">
        <v>330</v>
      </c>
      <c r="I460" s="53" t="s">
        <v>66</v>
      </c>
      <c r="J460" s="60" t="s">
        <v>1250</v>
      </c>
      <c r="K460" s="53" t="s">
        <v>1251</v>
      </c>
      <c r="L460" s="78" t="s">
        <v>326</v>
      </c>
      <c r="M460" s="32" t="s">
        <v>1252</v>
      </c>
      <c r="N460">
        <v>686</v>
      </c>
      <c r="O460" t="str">
        <f t="shared" ref="O460:O468" si="63">L460</f>
        <v>EBTAQ25-06.008</v>
      </c>
      <c r="P460" t="str">
        <f t="shared" ref="P460:P468" si="64">D460</f>
        <v>IBNU ASSYFA'</v>
      </c>
      <c r="Q460" t="str">
        <f t="shared" ref="Q460:Q468" si="65">I460</f>
        <v>Laki-laki</v>
      </c>
      <c r="R460" t="str">
        <f t="shared" ref="R460:R468" si="66">E460</f>
        <v>Grobogan</v>
      </c>
      <c r="S460" s="21">
        <f t="shared" ref="S460:S468" si="67">F460</f>
        <v>40488</v>
      </c>
      <c r="T460" t="str">
        <f t="shared" ref="T460:T468" si="68">G460</f>
        <v>EDY SUSANTO</v>
      </c>
      <c r="U460" t="str">
        <f t="shared" ref="U460:U468" si="69">H460</f>
        <v>NUR CHAMIDAH</v>
      </c>
      <c r="V460" t="str">
        <f>VLOOKUP(O460,Lembar1!$A$4:$H$457,8,FALSE)</f>
        <v>BIO_Images/EBTAQ25-06.008.jpg</v>
      </c>
      <c r="W460" t="str">
        <f>IFERROR(VLOOKUP(O460,Lembar1!$A$4:$I$457,9,FALSE),C460)</f>
        <v>BMW - Hidayatul Mubtadiin</v>
      </c>
    </row>
    <row r="461" spans="1:23" ht="15.75" hidden="1" thickBot="1" x14ac:dyDescent="0.3">
      <c r="A461" s="49">
        <v>45972.006180555552</v>
      </c>
      <c r="B461" s="52" t="s">
        <v>905</v>
      </c>
      <c r="C461" s="52" t="s">
        <v>63</v>
      </c>
      <c r="D461" s="52" t="s">
        <v>58</v>
      </c>
      <c r="E461" s="52" t="s">
        <v>59</v>
      </c>
      <c r="F461" s="56">
        <v>41853</v>
      </c>
      <c r="G461" s="52" t="s">
        <v>60</v>
      </c>
      <c r="H461" s="52" t="s">
        <v>61</v>
      </c>
      <c r="I461" s="52" t="s">
        <v>2</v>
      </c>
      <c r="J461" s="59" t="s">
        <v>935</v>
      </c>
      <c r="K461" s="52" t="s">
        <v>936</v>
      </c>
      <c r="L461" s="77" t="s">
        <v>57</v>
      </c>
      <c r="M461" s="37" t="s">
        <v>937</v>
      </c>
      <c r="N461">
        <v>687</v>
      </c>
      <c r="O461" t="str">
        <f t="shared" si="63"/>
        <v>EBTAQ25-06.002</v>
      </c>
      <c r="P461" t="str">
        <f t="shared" si="64"/>
        <v>AQILA RAISA AILANI MA'ARIF</v>
      </c>
      <c r="Q461" t="str">
        <f t="shared" si="65"/>
        <v>Perempuan</v>
      </c>
      <c r="R461" t="str">
        <f t="shared" si="66"/>
        <v>Semarang</v>
      </c>
      <c r="S461" s="21">
        <f t="shared" si="67"/>
        <v>41853</v>
      </c>
      <c r="T461" t="str">
        <f t="shared" si="68"/>
        <v>Khusnul Ma'arif</v>
      </c>
      <c r="U461" t="str">
        <f t="shared" si="69"/>
        <v>Nur Khoiroh Wijayanti</v>
      </c>
      <c r="V461" t="str">
        <f>VLOOKUP(O461,Lembar1!$A$4:$H$457,8,FALSE)</f>
        <v>BIO_Images/EBTAQ25-06.002.jpg</v>
      </c>
      <c r="W461" t="str">
        <f>IFERROR(VLOOKUP(O461,Lembar1!$A$4:$I$457,9,FALSE),C461)</f>
        <v>Mranggen - Darul qur'an</v>
      </c>
    </row>
    <row r="462" spans="1:23" ht="15.75" hidden="1" thickBot="1" x14ac:dyDescent="0.3">
      <c r="A462" s="50">
        <v>45972.035543981481</v>
      </c>
      <c r="B462" s="53" t="s">
        <v>905</v>
      </c>
      <c r="C462" s="53" t="s">
        <v>63</v>
      </c>
      <c r="D462" s="53" t="s">
        <v>65</v>
      </c>
      <c r="E462" s="53" t="s">
        <v>10</v>
      </c>
      <c r="F462" s="57">
        <v>41787</v>
      </c>
      <c r="G462" s="53" t="s">
        <v>67</v>
      </c>
      <c r="H462" s="53" t="s">
        <v>68</v>
      </c>
      <c r="I462" s="53" t="s">
        <v>66</v>
      </c>
      <c r="J462" s="60" t="s">
        <v>938</v>
      </c>
      <c r="K462" s="53" t="s">
        <v>939</v>
      </c>
      <c r="L462" s="78" t="s">
        <v>64</v>
      </c>
      <c r="M462" s="32" t="s">
        <v>940</v>
      </c>
      <c r="N462">
        <v>688</v>
      </c>
      <c r="O462" t="str">
        <f t="shared" si="63"/>
        <v>EBTAQ25-06.003</v>
      </c>
      <c r="P462" t="str">
        <f t="shared" si="64"/>
        <v>Ahmad Fakhryl Mubarok</v>
      </c>
      <c r="Q462" t="str">
        <f t="shared" si="65"/>
        <v>Laki-laki</v>
      </c>
      <c r="R462" t="str">
        <f t="shared" si="66"/>
        <v>Demak</v>
      </c>
      <c r="S462" s="21">
        <f t="shared" si="67"/>
        <v>41787</v>
      </c>
      <c r="T462" t="str">
        <f t="shared" si="68"/>
        <v>Anton Husni Mubarok</v>
      </c>
      <c r="U462" t="str">
        <f t="shared" si="69"/>
        <v>Akmalia</v>
      </c>
      <c r="V462" t="str">
        <f>VLOOKUP(O462,Lembar1!$A$4:$H$457,8,FALSE)</f>
        <v>BIO_Images/EBTAQ25-06.003.jpg</v>
      </c>
      <c r="W462" t="str">
        <f>IFERROR(VLOOKUP(O462,Lembar1!$A$4:$I$457,9,FALSE),C462)</f>
        <v>Mranggen - Darul qur'an</v>
      </c>
    </row>
    <row r="463" spans="1:23" ht="15.75" hidden="1" thickBot="1" x14ac:dyDescent="0.3">
      <c r="A463" s="49">
        <v>45972.040833333333</v>
      </c>
      <c r="B463" s="52" t="s">
        <v>905</v>
      </c>
      <c r="C463" s="52" t="s">
        <v>63</v>
      </c>
      <c r="D463" s="52" t="s">
        <v>71</v>
      </c>
      <c r="E463" s="52" t="s">
        <v>59</v>
      </c>
      <c r="F463" s="56">
        <v>42271</v>
      </c>
      <c r="G463" s="52" t="s">
        <v>72</v>
      </c>
      <c r="H463" s="52" t="s">
        <v>73</v>
      </c>
      <c r="I463" s="52" t="s">
        <v>66</v>
      </c>
      <c r="J463" s="59" t="s">
        <v>941</v>
      </c>
      <c r="K463" s="52" t="s">
        <v>942</v>
      </c>
      <c r="L463" s="77" t="s">
        <v>70</v>
      </c>
      <c r="M463" s="37" t="s">
        <v>943</v>
      </c>
      <c r="N463">
        <v>689</v>
      </c>
      <c r="O463" t="str">
        <f t="shared" si="63"/>
        <v>EBTAQ25-06.004</v>
      </c>
      <c r="P463" t="str">
        <f t="shared" si="64"/>
        <v>Ayyash</v>
      </c>
      <c r="Q463" t="str">
        <f t="shared" si="65"/>
        <v>Laki-laki</v>
      </c>
      <c r="R463" t="str">
        <f t="shared" si="66"/>
        <v>Semarang</v>
      </c>
      <c r="S463" s="21">
        <f t="shared" si="67"/>
        <v>42271</v>
      </c>
      <c r="T463" t="str">
        <f t="shared" si="68"/>
        <v>Dian Hadi Saputra</v>
      </c>
      <c r="U463" t="str">
        <f t="shared" si="69"/>
        <v>May Kurniawati</v>
      </c>
      <c r="V463" t="str">
        <f>VLOOKUP(O463,Lembar1!$A$4:$H$457,8,FALSE)</f>
        <v>BIO_Images/EBTAQ25-06.004.jpg</v>
      </c>
      <c r="W463" t="str">
        <f>IFERROR(VLOOKUP(O463,Lembar1!$A$4:$I$457,9,FALSE),C463)</f>
        <v>Mranggen - Darul qur'an</v>
      </c>
    </row>
    <row r="464" spans="1:23" ht="15.75" hidden="1" thickBot="1" x14ac:dyDescent="0.3">
      <c r="A464" s="50">
        <v>45972.04923611111</v>
      </c>
      <c r="B464" s="53" t="s">
        <v>905</v>
      </c>
      <c r="C464" s="53" t="s">
        <v>63</v>
      </c>
      <c r="D464" s="53" t="s">
        <v>76</v>
      </c>
      <c r="E464" s="53" t="s">
        <v>59</v>
      </c>
      <c r="F464" s="57">
        <v>42339</v>
      </c>
      <c r="G464" s="53" t="s">
        <v>77</v>
      </c>
      <c r="H464" s="53" t="s">
        <v>78</v>
      </c>
      <c r="I464" s="53" t="s">
        <v>66</v>
      </c>
      <c r="J464" s="60" t="s">
        <v>944</v>
      </c>
      <c r="K464" s="53" t="s">
        <v>945</v>
      </c>
      <c r="L464" s="78" t="s">
        <v>75</v>
      </c>
      <c r="M464" s="32" t="s">
        <v>946</v>
      </c>
      <c r="N464">
        <v>690</v>
      </c>
      <c r="O464" t="str">
        <f t="shared" si="63"/>
        <v>EBTAQ25-06.005</v>
      </c>
      <c r="P464" t="str">
        <f t="shared" si="64"/>
        <v>Muhammad Gibran Hifdzi Sarkan</v>
      </c>
      <c r="Q464" t="str">
        <f t="shared" si="65"/>
        <v>Laki-laki</v>
      </c>
      <c r="R464" t="str">
        <f t="shared" si="66"/>
        <v>Semarang</v>
      </c>
      <c r="S464" s="21">
        <f t="shared" si="67"/>
        <v>42339</v>
      </c>
      <c r="T464" t="str">
        <f t="shared" si="68"/>
        <v>Ahmad Nasik</v>
      </c>
      <c r="U464" t="str">
        <f t="shared" si="69"/>
        <v>Munawaroh</v>
      </c>
      <c r="V464" t="str">
        <f>VLOOKUP(O464,Lembar1!$A$4:$H$457,8,FALSE)</f>
        <v>BIO_Images/EBTAQ25-06.005.jpg</v>
      </c>
      <c r="W464" t="str">
        <f>IFERROR(VLOOKUP(O464,Lembar1!$A$4:$I$457,9,FALSE),C464)</f>
        <v>Mranggen - Darul qur'an</v>
      </c>
    </row>
    <row r="465" spans="1:23" ht="15.75" hidden="1" thickBot="1" x14ac:dyDescent="0.3">
      <c r="A465" s="49">
        <v>45972.626597222225</v>
      </c>
      <c r="B465" s="52" t="s">
        <v>905</v>
      </c>
      <c r="C465" s="52" t="s">
        <v>63</v>
      </c>
      <c r="D465" s="52" t="s">
        <v>81</v>
      </c>
      <c r="E465" s="52" t="s">
        <v>10</v>
      </c>
      <c r="F465" s="56">
        <v>40717</v>
      </c>
      <c r="G465" s="52" t="s">
        <v>82</v>
      </c>
      <c r="H465" s="52" t="s">
        <v>83</v>
      </c>
      <c r="I465" s="52" t="s">
        <v>2</v>
      </c>
      <c r="J465" s="59" t="s">
        <v>947</v>
      </c>
      <c r="K465" s="52" t="s">
        <v>948</v>
      </c>
      <c r="L465" s="77" t="s">
        <v>80</v>
      </c>
      <c r="M465" s="37" t="s">
        <v>949</v>
      </c>
      <c r="N465">
        <v>691</v>
      </c>
      <c r="O465" t="str">
        <f t="shared" si="63"/>
        <v>EBTAQ25-06.006</v>
      </c>
      <c r="P465" t="str">
        <f t="shared" si="64"/>
        <v>Missela Rifalena</v>
      </c>
      <c r="Q465" t="str">
        <f t="shared" si="65"/>
        <v>Perempuan</v>
      </c>
      <c r="R465" t="str">
        <f t="shared" si="66"/>
        <v>Demak</v>
      </c>
      <c r="S465" s="21">
        <f t="shared" si="67"/>
        <v>40717</v>
      </c>
      <c r="T465" t="str">
        <f t="shared" si="68"/>
        <v>Ahmad Mafaza</v>
      </c>
      <c r="U465" t="str">
        <f t="shared" si="69"/>
        <v>Rina Andriyani</v>
      </c>
      <c r="V465" t="str">
        <f>VLOOKUP(O465,Lembar1!$A$4:$H$457,8,FALSE)</f>
        <v>BIO_Images/EBTAQ25-06.006.jpg</v>
      </c>
      <c r="W465" t="str">
        <f>IFERROR(VLOOKUP(O465,Lembar1!$A$4:$I$457,9,FALSE),C465)</f>
        <v>Mranggen - Darul qur'an</v>
      </c>
    </row>
    <row r="466" spans="1:23" ht="15.75" hidden="1" thickBot="1" x14ac:dyDescent="0.3">
      <c r="A466" s="50">
        <v>45972.647581018522</v>
      </c>
      <c r="B466" s="53" t="s">
        <v>905</v>
      </c>
      <c r="C466" s="53" t="s">
        <v>63</v>
      </c>
      <c r="D466" s="53" t="s">
        <v>86</v>
      </c>
      <c r="E466" s="53" t="s">
        <v>87</v>
      </c>
      <c r="F466" s="57">
        <v>41091</v>
      </c>
      <c r="G466" s="53" t="s">
        <v>88</v>
      </c>
      <c r="H466" s="53" t="s">
        <v>89</v>
      </c>
      <c r="I466" s="53" t="s">
        <v>66</v>
      </c>
      <c r="J466" s="60" t="s">
        <v>950</v>
      </c>
      <c r="K466" s="53" t="s">
        <v>951</v>
      </c>
      <c r="L466" s="78" t="s">
        <v>85</v>
      </c>
      <c r="M466" s="32" t="s">
        <v>952</v>
      </c>
      <c r="N466">
        <v>692</v>
      </c>
      <c r="O466" t="str">
        <f t="shared" si="63"/>
        <v>EBTAQ25-06.007</v>
      </c>
      <c r="P466" t="str">
        <f t="shared" si="64"/>
        <v>Anugrah Malik Ihlaq Saputra</v>
      </c>
      <c r="Q466" t="str">
        <f t="shared" si="65"/>
        <v>Laki-laki</v>
      </c>
      <c r="R466" t="str">
        <f t="shared" si="66"/>
        <v>Boyolali</v>
      </c>
      <c r="S466" s="21">
        <f t="shared" si="67"/>
        <v>41091</v>
      </c>
      <c r="T466" t="str">
        <f t="shared" si="68"/>
        <v>Agung Nugroho</v>
      </c>
      <c r="U466" t="str">
        <f t="shared" si="69"/>
        <v>Fitroh</v>
      </c>
      <c r="V466" t="str">
        <f>VLOOKUP(O466,Lembar1!$A$4:$H$457,8,FALSE)</f>
        <v>BIO_Images/EBTAQ25-06.007.jpg</v>
      </c>
      <c r="W466" t="str">
        <f>IFERROR(VLOOKUP(O466,Lembar1!$A$4:$I$457,9,FALSE),C466)</f>
        <v>Mranggen - Darul qur'an</v>
      </c>
    </row>
    <row r="467" spans="1:23" ht="15.75" hidden="1" thickBot="1" x14ac:dyDescent="0.3">
      <c r="A467" s="49">
        <v>45967.63175925926</v>
      </c>
      <c r="B467" s="52" t="s">
        <v>905</v>
      </c>
      <c r="C467" s="52" t="s">
        <v>7</v>
      </c>
      <c r="D467" s="52" t="s">
        <v>1</v>
      </c>
      <c r="E467" s="52" t="s">
        <v>3</v>
      </c>
      <c r="F467" s="56">
        <v>40885</v>
      </c>
      <c r="G467" s="52" t="s">
        <v>4</v>
      </c>
      <c r="H467" s="52" t="s">
        <v>5</v>
      </c>
      <c r="I467" s="52" t="s">
        <v>2</v>
      </c>
      <c r="J467" s="59" t="s">
        <v>906</v>
      </c>
      <c r="K467" s="52" t="s">
        <v>907</v>
      </c>
      <c r="L467" s="77" t="s">
        <v>0</v>
      </c>
      <c r="M467" s="38"/>
      <c r="N467">
        <v>693</v>
      </c>
      <c r="O467" t="str">
        <f t="shared" si="63"/>
        <v>EBTAQ25-06.001</v>
      </c>
      <c r="P467" t="str">
        <f t="shared" si="64"/>
        <v>SITI NUR SALSABILA</v>
      </c>
      <c r="Q467" t="str">
        <f t="shared" si="65"/>
        <v>Perempuan</v>
      </c>
      <c r="R467" t="str">
        <f t="shared" si="66"/>
        <v>Kendal</v>
      </c>
      <c r="S467" s="21">
        <f t="shared" si="67"/>
        <v>40885</v>
      </c>
      <c r="T467" t="str">
        <f t="shared" si="68"/>
        <v>SHOLIKHIN</v>
      </c>
      <c r="U467" t="str">
        <f t="shared" si="69"/>
        <v>NGASTI'AH</v>
      </c>
      <c r="V467" t="str">
        <f>VLOOKUP(O467,Lembar1!$A$4:$H$457,8,FALSE)</f>
        <v>BIO_Images/EBTAQ25-06.001.jpg</v>
      </c>
      <c r="W467" t="str">
        <f>IFERROR(VLOOKUP(O467,Lembar1!$A$4:$I$457,9,FALSE),C467)</f>
        <v>Mranggen - Futuhiyyah</v>
      </c>
    </row>
    <row r="468" spans="1:23" ht="15.75" hidden="1" thickBot="1" x14ac:dyDescent="0.3">
      <c r="A468" s="62">
        <v>46001.361597222225</v>
      </c>
      <c r="B468" s="63" t="s">
        <v>905</v>
      </c>
      <c r="C468" s="63" t="s">
        <v>1993</v>
      </c>
      <c r="D468" s="63" t="s">
        <v>1228</v>
      </c>
      <c r="E468" s="63" t="s">
        <v>10</v>
      </c>
      <c r="F468" s="64">
        <v>45937</v>
      </c>
      <c r="G468" s="63" t="s">
        <v>1987</v>
      </c>
      <c r="H468" s="63" t="s">
        <v>1988</v>
      </c>
      <c r="I468" s="63" t="s">
        <v>66</v>
      </c>
      <c r="J468" s="65" t="s">
        <v>1994</v>
      </c>
      <c r="K468" s="63" t="s">
        <v>1995</v>
      </c>
      <c r="L468" s="81" t="s">
        <v>1996</v>
      </c>
      <c r="M468" s="66" t="s">
        <v>1997</v>
      </c>
      <c r="N468">
        <v>694</v>
      </c>
      <c r="O468" t="str">
        <f t="shared" si="63"/>
        <v>EBTAQ25-06.009</v>
      </c>
      <c r="P468" t="str">
        <f t="shared" si="64"/>
        <v>Ismail</v>
      </c>
      <c r="Q468" t="str">
        <f t="shared" si="65"/>
        <v>Laki-laki</v>
      </c>
      <c r="R468" t="str">
        <f t="shared" si="66"/>
        <v>Demak</v>
      </c>
      <c r="S468" s="21">
        <f t="shared" si="67"/>
        <v>45937</v>
      </c>
      <c r="T468" t="str">
        <f t="shared" si="68"/>
        <v>Ibrohim</v>
      </c>
      <c r="U468" t="str">
        <f t="shared" si="69"/>
        <v>Sarah</v>
      </c>
      <c r="V468" t="str">
        <f>VLOOKUP(O468,Lembar1!$A$4:$H$457,8,FALSE)</f>
        <v>BIO_Images/EBTAQ25-06.009.jpg</v>
      </c>
      <c r="W468" t="str">
        <f>IFERROR(VLOOKUP(O468,Lembar1!$A$4:$I$457,9,FALSE),C468)</f>
        <v>Mranggen - TPQ Khusnul Khotimah</v>
      </c>
    </row>
    <row r="469" spans="1:23" hidden="1" x14ac:dyDescent="0.25">
      <c r="O469" t="s">
        <v>3016</v>
      </c>
      <c r="P469" t="s">
        <v>3323</v>
      </c>
      <c r="Q469" t="s">
        <v>2</v>
      </c>
      <c r="R469" t="s">
        <v>10</v>
      </c>
      <c r="S469" s="21">
        <v>42868</v>
      </c>
      <c r="T469" t="s">
        <v>3324</v>
      </c>
      <c r="U469" t="s">
        <v>3325</v>
      </c>
      <c r="V469" t="s">
        <v>3326</v>
      </c>
      <c r="W469" s="91" t="s">
        <v>490</v>
      </c>
    </row>
  </sheetData>
  <autoFilter ref="A1:Z469" xr:uid="{58CB9321-33E5-40A2-984C-F3E3D353745C}">
    <filterColumn colId="21">
      <filters>
        <filter val="#N/A"/>
      </filters>
    </filterColumn>
    <sortState xmlns:xlrd2="http://schemas.microsoft.com/office/spreadsheetml/2017/richdata2" ref="A44:Z459">
      <sortCondition ref="P1:P469"/>
    </sortState>
  </autoFilter>
  <conditionalFormatting sqref="L1:L1048576">
    <cfRule type="duplicateValues" dxfId="1" priority="1"/>
  </conditionalFormatting>
  <conditionalFormatting sqref="L2:L1048576">
    <cfRule type="duplicateValues" dxfId="0" priority="2"/>
  </conditionalFormatting>
  <hyperlinks>
    <hyperlink ref="J467" r:id="rId1" xr:uid="{A8DA5A40-0D1E-4FA0-8041-D7327FE4FBBB}"/>
    <hyperlink ref="J208" r:id="rId2" xr:uid="{375EDCA2-7C92-4B24-B644-1CC157396394}"/>
    <hyperlink ref="M208" r:id="rId3" xr:uid="{167A9542-4EE0-4CB1-868F-C97AAFE6BF7A}"/>
    <hyperlink ref="J209" r:id="rId4" xr:uid="{B960E3E3-8FFC-4F6E-833C-2DB9E93ABD8F}"/>
    <hyperlink ref="M209" r:id="rId5" xr:uid="{FBE1D55D-1460-44D8-BA7C-FB21D420F954}"/>
    <hyperlink ref="J137" r:id="rId6" xr:uid="{D5D1B715-E4C5-4C45-8795-3CF32DAC4B7A}"/>
    <hyperlink ref="M137" r:id="rId7" xr:uid="{54F12C03-6BEB-4468-88F8-FAE37C377112}"/>
    <hyperlink ref="J138" r:id="rId8" xr:uid="{204FD90C-ED85-4502-8EA3-D430D92D3D75}"/>
    <hyperlink ref="M138" r:id="rId9" xr:uid="{C030BFFC-7D1D-4674-9780-47F5F94D0DFB}"/>
    <hyperlink ref="J139" r:id="rId10" xr:uid="{7ADDD52D-C85A-434D-86A0-FD81398A94DA}"/>
    <hyperlink ref="M139" r:id="rId11" xr:uid="{7255E55B-53A1-4DAC-997B-A9963A9D43A9}"/>
    <hyperlink ref="J140" r:id="rId12" xr:uid="{48BDAB1F-E838-459D-ADE0-44B30C571523}"/>
    <hyperlink ref="M140" r:id="rId13" xr:uid="{42AD719C-611A-4F50-BB6D-84496BF00FC1}"/>
    <hyperlink ref="J141" r:id="rId14" xr:uid="{BDDC006E-42B4-4191-B946-A104D57D20C3}"/>
    <hyperlink ref="M141" r:id="rId15" xr:uid="{F196A3EE-82E6-4551-B4B9-385AFB311B0E}"/>
    <hyperlink ref="J142" r:id="rId16" xr:uid="{918806EE-7B80-492F-8359-39F21A376558}"/>
    <hyperlink ref="M142" r:id="rId17" xr:uid="{6C26850C-0D39-412C-81D8-2807D4F87A68}"/>
    <hyperlink ref="J143" r:id="rId18" xr:uid="{4FDD61E5-E36B-44A7-8851-FF16220193F3}"/>
    <hyperlink ref="M143" r:id="rId19" xr:uid="{1EF9470E-CF0E-4549-BAB4-BABAD143B586}"/>
    <hyperlink ref="J461" r:id="rId20" xr:uid="{14CD8BA8-9AEA-4E45-9502-C5F587CC38F5}"/>
    <hyperlink ref="M461" r:id="rId21" xr:uid="{2F899F24-3BDE-4B01-B5FB-2ACB86590159}"/>
    <hyperlink ref="J462" r:id="rId22" xr:uid="{052A7D88-96D2-4F92-BE99-B130C0E19C7B}"/>
    <hyperlink ref="M462" r:id="rId23" xr:uid="{671E74F6-92C5-41AB-B158-1476A518BD44}"/>
    <hyperlink ref="J463" r:id="rId24" xr:uid="{EA5C1D91-F3DD-4395-826B-507B06ACF5D0}"/>
    <hyperlink ref="M463" r:id="rId25" xr:uid="{4C270F5F-2A8F-4476-89E8-1B0A16A91609}"/>
    <hyperlink ref="J464" r:id="rId26" xr:uid="{BA0D8793-424F-4ADA-A83A-DD1B71B4FC47}"/>
    <hyperlink ref="M464" r:id="rId27" xr:uid="{B6B8F9D7-E844-48CB-A64A-6934670AFCAA}"/>
    <hyperlink ref="J465" r:id="rId28" xr:uid="{210AB95C-3809-4B30-97F2-BBC59E24E9BA}"/>
    <hyperlink ref="M465" r:id="rId29" xr:uid="{D0B8A527-63A8-4DE6-975F-C71F02484655}"/>
    <hyperlink ref="J466" r:id="rId30" xr:uid="{4359F345-2ECE-4B26-ADB2-747F6F81BD66}"/>
    <hyperlink ref="M466" r:id="rId31" xr:uid="{37E61589-724F-4CCB-A49F-065E5B02F730}"/>
    <hyperlink ref="J74" r:id="rId32" xr:uid="{5C9A5F5D-E66A-4625-A7DF-1DCB4EAB181D}"/>
    <hyperlink ref="M74" r:id="rId33" xr:uid="{5D6BF702-C5E6-47D1-87EE-DB12137B6A8D}"/>
    <hyperlink ref="J75" r:id="rId34" xr:uid="{871D9E2B-F063-46A8-8DE3-C2094BB6CB98}"/>
    <hyperlink ref="M75" r:id="rId35" xr:uid="{A7C4E870-6575-4F57-975B-7E400C555C9D}"/>
    <hyperlink ref="J76" r:id="rId36" xr:uid="{BF73C0EB-B4E3-46AC-8037-D0F3445D77C4}"/>
    <hyperlink ref="M76" r:id="rId37" xr:uid="{7836FC1D-9652-4506-B5B8-38FECF9DD5D2}"/>
    <hyperlink ref="J98" r:id="rId38" xr:uid="{7F684AC7-3175-4432-8F3A-62689FC49FDA}"/>
    <hyperlink ref="M98" r:id="rId39" xr:uid="{F2C5AF8A-55D8-42E7-912E-8BBC923B49A3}"/>
    <hyperlink ref="J99" r:id="rId40" xr:uid="{CD1600E1-0B5D-4CCC-A10C-6D4BAB08F157}"/>
    <hyperlink ref="M99" r:id="rId41" xr:uid="{F339CE60-4ECF-47E2-86BA-65F59DB74BEA}"/>
    <hyperlink ref="J100" r:id="rId42" xr:uid="{F11F0C7D-B170-4AE1-9432-BD878260139F}"/>
    <hyperlink ref="M100" r:id="rId43" xr:uid="{0AD4D3EA-982B-4C85-8D0C-C55EFF43CF3A}"/>
    <hyperlink ref="J101" r:id="rId44" xr:uid="{6FED533D-0DE9-4F3F-9BF3-D2E88AFBC228}"/>
    <hyperlink ref="M101" r:id="rId45" xr:uid="{79CADB20-1965-495F-97A9-5076CC40256E}"/>
    <hyperlink ref="J102" r:id="rId46" xr:uid="{9351291E-A6B1-4A6E-9CC3-2E155A17C3FC}"/>
    <hyperlink ref="M102" r:id="rId47" xr:uid="{D12A81A5-547D-4E8F-83EB-42DC9B2EF8B7}"/>
    <hyperlink ref="J103" r:id="rId48" xr:uid="{39C09893-F4EB-449A-90CA-093F38621192}"/>
    <hyperlink ref="M103" r:id="rId49" xr:uid="{44D6E7FE-7648-4FB3-ADA4-C1ECBBCCEDBA}"/>
    <hyperlink ref="J104" r:id="rId50" xr:uid="{84FE209C-5997-47A6-A620-DC35B05D90BC}"/>
    <hyperlink ref="M104" r:id="rId51" xr:uid="{C04D0B8B-CB56-4E48-83FD-D8359193F2EE}"/>
    <hyperlink ref="J105" r:id="rId52" xr:uid="{3AB8A5EE-1EDD-4335-8E47-5C148CA7B82E}"/>
    <hyperlink ref="M105" r:id="rId53" xr:uid="{12347C13-DE45-4F8C-A373-EE403731F909}"/>
    <hyperlink ref="J106" r:id="rId54" xr:uid="{70A8F41A-D0E0-47DC-9B98-0A9675468EE6}"/>
    <hyperlink ref="M106" r:id="rId55" xr:uid="{7A7C087D-312A-4834-AD82-F2C8E24696F7}"/>
    <hyperlink ref="J107" r:id="rId56" xr:uid="{E83D01CD-8DA6-4C66-8E9A-B34BC46F2669}"/>
    <hyperlink ref="M107" r:id="rId57" xr:uid="{D27F2F95-39CA-452D-8B07-F6E7948B3A6F}"/>
    <hyperlink ref="J428" r:id="rId58" xr:uid="{A8CDA2DC-8800-43C2-9A01-9BE781EF132D}"/>
    <hyperlink ref="M428" r:id="rId59" xr:uid="{9650AD28-4864-421C-BB6C-A896F521C383}"/>
    <hyperlink ref="J429" r:id="rId60" xr:uid="{3502A590-EEFC-4529-9FA1-366927D0E6A7}"/>
    <hyperlink ref="M429" r:id="rId61" xr:uid="{83FF4C19-7EEB-45B7-B872-B386649DB162}"/>
    <hyperlink ref="J430" r:id="rId62" xr:uid="{9450C0F6-F749-434A-B093-AA63C9665CD5}"/>
    <hyperlink ref="M430" r:id="rId63" xr:uid="{7F71DD2E-4384-4E7D-9EEC-C195107DA813}"/>
    <hyperlink ref="J431" r:id="rId64" xr:uid="{5F8C7E72-97DE-4C12-A2C3-2B5E5B8E05A0}"/>
    <hyperlink ref="M431" r:id="rId65" xr:uid="{96C752AA-DAA3-443B-A40B-A0A5720E8CA2}"/>
    <hyperlink ref="J432" r:id="rId66" xr:uid="{3D843F55-DC34-4D66-8690-432D1A039D34}"/>
    <hyperlink ref="M432" r:id="rId67" xr:uid="{610D994E-9566-4169-A0C4-182892D1B657}"/>
    <hyperlink ref="J433" r:id="rId68" xr:uid="{7C5EFD59-FD06-4F93-90CC-BEA626DD0484}"/>
    <hyperlink ref="M433" r:id="rId69" xr:uid="{B523DA40-E99B-4FBC-BCAE-BE45CA63281A}"/>
    <hyperlink ref="J434" r:id="rId70" xr:uid="{830B0880-B27C-49F4-AB05-592F5F238E7C}"/>
    <hyperlink ref="M434" r:id="rId71" xr:uid="{43DB7185-4EA6-4DA0-929F-C041878F4119}"/>
    <hyperlink ref="J331" r:id="rId72" xr:uid="{4579A0C7-9F22-4A43-9B6D-C3AB61B31E23}"/>
    <hyperlink ref="J34" r:id="rId73" xr:uid="{3B5C881C-09DB-41D2-874C-60B70978918D}"/>
    <hyperlink ref="M34" r:id="rId74" xr:uid="{4971ABD4-FFA8-4899-81F3-3B2DC668033E}"/>
    <hyperlink ref="J35" r:id="rId75" xr:uid="{E1DFB29F-8049-4811-8EEA-054568CE3B1D}"/>
    <hyperlink ref="M35" r:id="rId76" xr:uid="{EB5421DE-D66B-473B-A831-04425352658B}"/>
    <hyperlink ref="J437" r:id="rId77" xr:uid="{14365471-4432-4D74-9DE2-5307E8690D4E}"/>
    <hyperlink ref="J416" r:id="rId78" xr:uid="{902A533F-465E-4C46-BCEC-9BD59D0F1B0E}"/>
    <hyperlink ref="J409" r:id="rId79" xr:uid="{0A5213DF-88E8-454C-B3C8-4B875112D019}"/>
    <hyperlink ref="J353" r:id="rId80" xr:uid="{B4AF70C1-5AA1-4464-A192-DEE737248F3C}"/>
    <hyperlink ref="J451" r:id="rId81" xr:uid="{D83500F3-1838-40CF-8DC3-2474E2EA614C}"/>
    <hyperlink ref="J379" r:id="rId82" xr:uid="{2357B73C-5D22-40CB-BDE6-331A706E8DF1}"/>
    <hyperlink ref="J302" r:id="rId83" xr:uid="{81EE9A0E-68F8-4BF3-B084-E7FCC06BACB8}"/>
    <hyperlink ref="M302" r:id="rId84" xr:uid="{BFB9CB18-B132-4842-93CA-EA70F61E34CE}"/>
    <hyperlink ref="J392" r:id="rId85" xr:uid="{BF7E5D3B-991F-4B07-9C1D-8731DC1F6D75}"/>
    <hyperlink ref="J291" r:id="rId86" xr:uid="{1C686595-4502-4D83-8871-3442EA6F7844}"/>
    <hyperlink ref="M291" r:id="rId87" xr:uid="{3C3FEA6E-50F8-42FD-A0AE-0D0261DC0A49}"/>
    <hyperlink ref="J387" r:id="rId88" xr:uid="{6140C900-93EF-4CB9-823B-F0BB9840A33E}"/>
    <hyperlink ref="J382" r:id="rId89" xr:uid="{84F5C075-D9AC-45FA-A88A-6BEB761BE6D7}"/>
    <hyperlink ref="J389" r:id="rId90" xr:uid="{BA7B3E95-945B-4BBE-90D9-01D289CD6491}"/>
    <hyperlink ref="J292" r:id="rId91" xr:uid="{01A045DE-A638-4736-A808-6A2A5047A9DA}"/>
    <hyperlink ref="M292" r:id="rId92" xr:uid="{A20E6705-A5D7-4755-86BA-F1F5A8268D12}"/>
    <hyperlink ref="J293" r:id="rId93" xr:uid="{3B526B1C-1F03-42FA-B3DA-41EB2690B1DB}"/>
    <hyperlink ref="M293" r:id="rId94" xr:uid="{3DDF9746-55EB-437F-8AC9-82DE8E4F5F6C}"/>
    <hyperlink ref="J294" r:id="rId95" xr:uid="{3C1F286D-5CC4-4F6A-93C3-E45365498E19}"/>
    <hyperlink ref="M294" r:id="rId96" xr:uid="{140FCC92-4A5E-4ACC-AB2B-243E7976A239}"/>
    <hyperlink ref="J295" r:id="rId97" xr:uid="{56CA11A2-70ED-4834-9EE8-ECD406D6F0FE}"/>
    <hyperlink ref="M295" r:id="rId98" xr:uid="{4A682CEE-E01B-4B7B-B09D-B77B225E601C}"/>
    <hyperlink ref="J296" r:id="rId99" xr:uid="{0B0B3AE1-7B4C-4BF4-B6B1-0B0DA7894C55}"/>
    <hyperlink ref="M296" r:id="rId100" xr:uid="{47F8A44B-4EA7-4E9A-B65E-3AF02851B374}"/>
    <hyperlink ref="J297" r:id="rId101" xr:uid="{0355E019-8312-4E1F-A3C3-ACD609E5C6F0}"/>
    <hyperlink ref="M297" r:id="rId102" xr:uid="{5FCCB2AD-EBF9-458B-B945-C262A00CD779}"/>
    <hyperlink ref="J269" r:id="rId103" xr:uid="{5CAA0BA2-FBFB-4658-B32E-8A32D29B22A0}"/>
    <hyperlink ref="M269" r:id="rId104" xr:uid="{1A79DCDC-8FA4-46B6-9CB2-8FA18DCD86A5}"/>
    <hyperlink ref="J427" r:id="rId105" xr:uid="{CB04FE41-E861-46B1-BA76-92F0A53C2FAA}"/>
    <hyperlink ref="J332" r:id="rId106" xr:uid="{ADC92FB0-CA2F-4F97-A3EB-1AC02E7360F1}"/>
    <hyperlink ref="J356" r:id="rId107" xr:uid="{81B902C1-F590-46F8-BC2D-978321B5CFA6}"/>
    <hyperlink ref="J398" r:id="rId108" xr:uid="{1805B104-349B-4B66-9A7E-ECEA1E59D512}"/>
    <hyperlink ref="J435" r:id="rId109" xr:uid="{DB4D4066-8827-44CC-B7D7-E1068095BA56}"/>
    <hyperlink ref="J405" r:id="rId110" xr:uid="{B2563ECF-1618-4A8C-8230-6E8C01404903}"/>
    <hyperlink ref="J406" r:id="rId111" xr:uid="{4E136A35-28CB-4481-B1F7-EDADB84FAC59}"/>
    <hyperlink ref="J210" r:id="rId112" xr:uid="{C7832CAA-8D33-4067-A0A3-2135C52E3913}"/>
    <hyperlink ref="M210" r:id="rId113" xr:uid="{C3370F0B-2BEA-4543-A439-ED5411DF1B42}"/>
    <hyperlink ref="J442" r:id="rId114" xr:uid="{866832F2-579A-4E1F-B426-172D6E06F25C}"/>
    <hyperlink ref="J24" r:id="rId115" xr:uid="{B7A2942E-F180-4052-BCE7-E09283D72D35}"/>
    <hyperlink ref="M24" r:id="rId116" xr:uid="{4F5C92E9-5C33-45DC-B4BC-DD71DD23304D}"/>
    <hyperlink ref="J25" r:id="rId117" xr:uid="{4B83D735-F081-4C5D-BA78-686508C19B4A}"/>
    <hyperlink ref="M25" r:id="rId118" xr:uid="{37E9AFB2-3666-49A7-A2E2-0F9BA252F8CF}"/>
    <hyperlink ref="J26" r:id="rId119" xr:uid="{A1246500-7C3E-4FE4-B879-B39D900FABB7}"/>
    <hyperlink ref="M26" r:id="rId120" xr:uid="{9206A8A8-B63E-4CF7-97C0-F7592AB686EC}"/>
    <hyperlink ref="J211" r:id="rId121" xr:uid="{D38C63E8-56AB-43D8-9DFF-CAC0F33F62F0}"/>
    <hyperlink ref="M211" r:id="rId122" xr:uid="{7EAAE53A-C446-43F6-8CB9-21395A62E866}"/>
    <hyperlink ref="J2" r:id="rId123" xr:uid="{778E2E35-8853-4136-8D61-3208827239F5}"/>
    <hyperlink ref="M2" r:id="rId124" xr:uid="{66C84233-2328-406F-AB73-A4ABDD01DCB0}"/>
    <hyperlink ref="J3" r:id="rId125" xr:uid="{B6099571-F216-4290-B870-D4943B543D8E}"/>
    <hyperlink ref="M3" r:id="rId126" xr:uid="{5C27E033-C17C-41EE-A081-3DCCFB37B22E}"/>
    <hyperlink ref="J212" r:id="rId127" xr:uid="{598053FC-13A0-4C6A-8BED-880A121F24C0}"/>
    <hyperlink ref="M212" r:id="rId128" xr:uid="{B867EABB-002E-4C3D-BF6B-E9A9604F5FFB}"/>
    <hyperlink ref="J393" r:id="rId129" xr:uid="{7A03A2B5-F0DB-4ACC-9BC0-5307E72B12FE}"/>
    <hyperlink ref="J213" r:id="rId130" xr:uid="{A45F50A6-2FE8-486E-9440-2B62490FC915}"/>
    <hyperlink ref="M213" r:id="rId131" xr:uid="{E7D0660B-33D9-41E2-BE9F-26340981A0C7}"/>
    <hyperlink ref="J384" r:id="rId132" xr:uid="{25091E48-12FC-40F4-A71E-AF6AB38B0680}"/>
    <hyperlink ref="J350" r:id="rId133" xr:uid="{036D7D0E-9515-48FC-8606-FD2398FA401D}"/>
    <hyperlink ref="J399" r:id="rId134" xr:uid="{0187E3A4-709A-4F15-A1A6-FB697E4CC0BB}"/>
    <hyperlink ref="J367" r:id="rId135" xr:uid="{324BA5C1-EF3B-4410-BD20-E9D4B817B85A}"/>
    <hyperlink ref="J327" r:id="rId136" xr:uid="{D0B3FA3E-268F-49C4-96AA-0DFE81AA3BA7}"/>
    <hyperlink ref="J450" r:id="rId137" xr:uid="{6FCBB266-7432-4D32-9C89-78BD4A8B10E7}"/>
    <hyperlink ref="J360" r:id="rId138" xr:uid="{1A027434-5D57-454F-BA85-FEA1350BED22}"/>
    <hyperlink ref="J404" r:id="rId139" xr:uid="{D0B7FA07-79CD-4767-BCD8-C1BE4E05F671}"/>
    <hyperlink ref="J27" r:id="rId140" xr:uid="{4EA49C1E-D381-485F-97AE-A5B88FC8F980}"/>
    <hyperlink ref="M27" r:id="rId141" xr:uid="{F8008E5A-033C-4CAA-9546-2BE8DC38BEBB}"/>
    <hyperlink ref="J28" r:id="rId142" xr:uid="{63C8ECB2-3377-4276-8D10-5721754CFA65}"/>
    <hyperlink ref="M28" r:id="rId143" xr:uid="{97065D0B-B360-4510-81E4-518766904FEC}"/>
    <hyperlink ref="J320" r:id="rId144" xr:uid="{5A2B3DB9-F723-4A75-BFA9-B6256AC54BAE}"/>
    <hyperlink ref="J289" r:id="rId145" xr:uid="{A75E9D2A-2423-42FB-B360-6C2856972A2D}"/>
    <hyperlink ref="M289" r:id="rId146" xr:uid="{4F0F348D-91D9-4B70-B2DF-3614E88E50C0}"/>
    <hyperlink ref="J214" r:id="rId147" xr:uid="{C2ECF697-B4CF-4063-A8AC-88AB80327CA8}"/>
    <hyperlink ref="M214" r:id="rId148" xr:uid="{6EB11BDF-8272-432C-AB26-EA9B25667C75}"/>
    <hyperlink ref="J460" r:id="rId149" xr:uid="{72BBECC1-A3FB-4AFB-8D64-6872B62BD732}"/>
    <hyperlink ref="M460" r:id="rId150" xr:uid="{5125107B-659C-4824-86A2-C36A5D22CC63}"/>
    <hyperlink ref="J134" r:id="rId151" xr:uid="{6B5056EC-4568-4D5B-BD7C-3556137E880B}"/>
    <hyperlink ref="J402" r:id="rId152" xr:uid="{B4F92384-E96F-4A25-BA9A-56AB770C9F46}"/>
    <hyperlink ref="J339" r:id="rId153" xr:uid="{0585B3F2-4EBA-4B02-873D-2B5EAC02C301}"/>
    <hyperlink ref="J456" r:id="rId154" xr:uid="{86EA628F-E064-4844-98EA-955861FCC0E2}"/>
    <hyperlink ref="J215" r:id="rId155" xr:uid="{0687F3E6-C6F1-4C5E-AB9A-CE6E87AC2F9E}"/>
    <hyperlink ref="M215" r:id="rId156" xr:uid="{5F4078B2-61E9-4368-9928-B1ED2F0C3680}"/>
    <hyperlink ref="J334" r:id="rId157" xr:uid="{F26D155F-1D73-434B-89DD-D1B138B31BDC}"/>
    <hyperlink ref="J44" r:id="rId158" xr:uid="{90B3CCD1-A019-401F-8C90-20EF9E09AAEE}"/>
    <hyperlink ref="J197" r:id="rId159" xr:uid="{2B864197-6928-435C-AEEE-EB2EBAC926C0}"/>
    <hyperlink ref="M197" r:id="rId160" xr:uid="{5A8FF88E-094E-4672-877F-AE02C62C86C5}"/>
    <hyperlink ref="J316" r:id="rId161" xr:uid="{40A7B361-4142-4A61-BEF6-6C27FEB560B1}"/>
    <hyperlink ref="M316" r:id="rId162" xr:uid="{5E702217-89C1-48AF-B773-E71DE925E076}"/>
    <hyperlink ref="J306" r:id="rId163" xr:uid="{90B48F41-7431-4DA2-928D-AE31D081DD8F}"/>
    <hyperlink ref="M306" r:id="rId164" xr:uid="{42F393B1-0B22-4EBF-BD4D-E55D3D6ECCD4}"/>
    <hyperlink ref="J362" r:id="rId165" xr:uid="{D4F75FDC-0F9B-4B98-8792-63F199CBF16E}"/>
    <hyperlink ref="J216" r:id="rId166" xr:uid="{FFA7A448-60A6-453D-9313-9E16D414F028}"/>
    <hyperlink ref="M216" r:id="rId167" xr:uid="{9DC0587F-DE79-45C4-B706-9FC06573F231}"/>
    <hyperlink ref="J307" r:id="rId168" xr:uid="{4B32E8D2-1F66-40C1-B92C-E2B0A62EB56E}"/>
    <hyperlink ref="M307" r:id="rId169" xr:uid="{FBBF4768-CD90-4A5B-BD60-1FF1F0408757}"/>
    <hyperlink ref="J308" r:id="rId170" xr:uid="{9894E2E4-2794-49A1-A0FE-D9343894732D}"/>
    <hyperlink ref="M308" r:id="rId171" xr:uid="{43C510BB-D46E-4548-891E-7CE5E873EA2A}"/>
    <hyperlink ref="J309" r:id="rId172" xr:uid="{138F370D-8D45-45A3-8751-08FABD09DAEF}"/>
    <hyperlink ref="M309" r:id="rId173" xr:uid="{A7DB1C04-1AC2-4A06-A4EC-6B70AF5D5ED7}"/>
    <hyperlink ref="J319" r:id="rId174" xr:uid="{26E6F8E1-DFB9-4015-BEF2-E61FE912AF09}"/>
    <hyperlink ref="J310" r:id="rId175" xr:uid="{B44C6A44-928B-4CD3-B9C5-DDB1790A9BCC}"/>
    <hyperlink ref="M310" r:id="rId176" xr:uid="{7CAD43A9-3C95-40A7-80F8-55D508B64F96}"/>
    <hyperlink ref="J311" r:id="rId177" xr:uid="{A7769104-C95F-4A47-B1D1-E514380C1B65}"/>
    <hyperlink ref="M311" r:id="rId178" xr:uid="{D73EA20C-D440-4120-AD4F-2B2544615AF1}"/>
    <hyperlink ref="J326" r:id="rId179" xr:uid="{BCAABE9A-1CA8-482B-90A3-5CE4EB5D9339}"/>
    <hyperlink ref="J312" r:id="rId180" xr:uid="{7926A4ED-4A5C-4325-8911-3992826F5DB9}"/>
    <hyperlink ref="M312" r:id="rId181" xr:uid="{35702E79-8E6E-4FE6-83D6-6D5EBA2EF98C}"/>
    <hyperlink ref="J217" r:id="rId182" xr:uid="{9EB82267-1690-46CA-B989-65B5938BC552}"/>
    <hyperlink ref="M217" r:id="rId183" xr:uid="{3D0A283E-F923-41F6-84C2-7E12B5FF7652}"/>
    <hyperlink ref="J372" r:id="rId184" xr:uid="{44DAF2EF-C959-46E8-A959-608684E9D696}"/>
    <hyperlink ref="J341" r:id="rId185" xr:uid="{10C7CB46-EA2E-406E-A015-2AADF13D8D56}"/>
    <hyperlink ref="J357" r:id="rId186" xr:uid="{6BDE18A4-51E5-4A53-B32F-FA0462CB76CB}"/>
    <hyperlink ref="J218" r:id="rId187" xr:uid="{01D3ADAC-3467-4D22-93BA-ED4C98C60363}"/>
    <hyperlink ref="M218" r:id="rId188" xr:uid="{B2E334B6-280F-4787-AFE7-8EB2A3969D0E}"/>
    <hyperlink ref="J219" r:id="rId189" xr:uid="{7A930AD0-E64A-4142-BF17-123D94D9A735}"/>
    <hyperlink ref="M219" r:id="rId190" xr:uid="{182B05EB-A716-4161-8912-686F00DA75D1}"/>
    <hyperlink ref="J220" r:id="rId191" xr:uid="{6AB2E38C-CB2D-41A5-8BBB-EEF910278764}"/>
    <hyperlink ref="M220" r:id="rId192" xr:uid="{EE6C6549-3C11-4B53-83A3-604F17947BED}"/>
    <hyperlink ref="J221" r:id="rId193" xr:uid="{0C66944B-1B4E-4241-8C6D-5E588A425F3A}"/>
    <hyperlink ref="M221" r:id="rId194" xr:uid="{D3C62F9F-B1D8-4061-AFA0-B3A0EC13FD12}"/>
    <hyperlink ref="J222" r:id="rId195" xr:uid="{CA508635-DB34-4AAC-85A6-C9B260ED481C}"/>
    <hyperlink ref="M222" r:id="rId196" xr:uid="{16AF722A-87D7-456B-8E8A-2EA03F1B31B2}"/>
    <hyperlink ref="J223" r:id="rId197" xr:uid="{A2C7B3C6-FFD8-452C-9370-6DC42F7107EF}"/>
    <hyperlink ref="M223" r:id="rId198" xr:uid="{CB5180B9-01A9-4BED-9439-C2509DF5BF8F}"/>
    <hyperlink ref="J313" r:id="rId199" xr:uid="{80801750-F00F-48D9-9BA6-615E666391DB}"/>
    <hyperlink ref="M313" r:id="rId200" xr:uid="{A5F4DB38-8507-4FCA-B789-97A0BB524598}"/>
    <hyperlink ref="J232" r:id="rId201" xr:uid="{FDDEE5BA-58D7-467E-85D4-CB39E89A0192}"/>
    <hyperlink ref="M232" r:id="rId202" xr:uid="{02D45D4B-025D-4119-8CA5-5A337E6CE906}"/>
    <hyperlink ref="J110" r:id="rId203" xr:uid="{DA3CCDE4-F214-4381-8F39-F9F97B49772E}"/>
    <hyperlink ref="M110" r:id="rId204" xr:uid="{355CD52E-6544-4034-AEEE-4E0C20905298}"/>
    <hyperlink ref="J394" r:id="rId205" xr:uid="{C87E173D-CB7D-47EA-8FA3-084E66AB1125}"/>
    <hyperlink ref="J330" r:id="rId206" xr:uid="{D82B8C51-99F0-4D51-A580-A25E85BF306D}"/>
    <hyperlink ref="J373" r:id="rId207" xr:uid="{862DDDF7-E0BE-4D4C-A33D-E0BE661EDEAA}"/>
    <hyperlink ref="J224" r:id="rId208" xr:uid="{727CD8B5-A023-4F6E-9AA3-33395BAC91E1}"/>
    <hyperlink ref="M224" r:id="rId209" xr:uid="{600B7F23-65E7-485C-88DF-CD1238CE2B85}"/>
    <hyperlink ref="J29" r:id="rId210" xr:uid="{7D85117F-E98B-4D17-97EA-01CB84C5E720}"/>
    <hyperlink ref="M29" r:id="rId211" xr:uid="{DAE7CC2B-AA4D-4BE9-9E91-76873A7A3024}"/>
    <hyperlink ref="J264" r:id="rId212" xr:uid="{193B8181-0CAC-45C3-B081-E92DE43E4C09}"/>
    <hyperlink ref="M264" r:id="rId213" xr:uid="{2A42C3E3-78B3-4119-9038-66B7C0A36CE2}"/>
    <hyperlink ref="J225" r:id="rId214" xr:uid="{22BF5CC7-D16C-4931-BBA8-435EAF128D36}"/>
    <hyperlink ref="M225" r:id="rId215" xr:uid="{50C4D77E-FBC9-4D15-A0E6-34E1AA87AC49}"/>
    <hyperlink ref="J226" r:id="rId216" xr:uid="{443E9A8D-77FA-435C-9020-AC4788F21D88}"/>
    <hyperlink ref="M226" r:id="rId217" xr:uid="{80199155-7806-4E85-AD31-74F34E7DE520}"/>
    <hyperlink ref="J288" r:id="rId218" xr:uid="{7B3EEE3D-8D34-42C3-B7CB-30F93C0E0A35}"/>
    <hyperlink ref="M288" r:id="rId219" xr:uid="{704F3F7B-B6E0-4F71-89F6-75A1C6A3BB1A}"/>
    <hyperlink ref="J413" r:id="rId220" xr:uid="{CD74D694-8DFC-4524-B749-01332B4183C5}"/>
    <hyperlink ref="J318" r:id="rId221" xr:uid="{3EA95809-2A07-4FA2-A1C5-53D5A780C68C}"/>
    <hyperlink ref="J419" r:id="rId222" xr:uid="{2E309E39-4D16-4A4B-A824-710A1E1D2EEF}"/>
    <hyperlink ref="J443" r:id="rId223" xr:uid="{8161ECB1-0708-4D20-845A-184F01B3C56D}"/>
    <hyperlink ref="J30" r:id="rId224" xr:uid="{EF08C0A2-B427-490C-A83C-1AACFA9DBBFD}"/>
    <hyperlink ref="M30" r:id="rId225" xr:uid="{038BD349-B6CD-4F25-9773-B1F2EA51AACE}"/>
    <hyperlink ref="J271" r:id="rId226" xr:uid="{80B875D6-AB06-4EE6-8642-D8A1F757FE74}"/>
    <hyperlink ref="M271" r:id="rId227" xr:uid="{868285DB-DD93-41E5-AC3F-20FBFB1BBB73}"/>
    <hyperlink ref="J202" r:id="rId228" xr:uid="{9A5F7DAB-1BD2-41A4-B72C-891E4FD985F5}"/>
    <hyperlink ref="M202" r:id="rId229" xr:uid="{F755E6FA-4BDB-4CE2-A161-A5D88DC0A694}"/>
    <hyperlink ref="J203" r:id="rId230" xr:uid="{1DACEA78-8B5D-42F3-B74C-2EB485223734}"/>
    <hyperlink ref="M203" r:id="rId231" xr:uid="{7C200043-7F54-4CE3-84CD-99B8F97A47E5}"/>
    <hyperlink ref="J386" r:id="rId232" xr:uid="{9EFFF51F-B0BA-42F7-8075-C40D33B47CB4}"/>
    <hyperlink ref="J298" r:id="rId233" xr:uid="{7854FF77-AFC3-4BF3-912C-19DAA747786B}"/>
    <hyperlink ref="M298" r:id="rId234" xr:uid="{765A031C-E018-4074-986A-F687ED27DE92}"/>
    <hyperlink ref="J204" r:id="rId235" xr:uid="{C86D6FF1-0739-4162-85EC-BCCDFB3D56ED}"/>
    <hyperlink ref="M204" r:id="rId236" xr:uid="{69848F9B-ECD7-43F1-91F2-BF3F0BB95C4B}"/>
    <hyperlink ref="J415" r:id="rId237" xr:uid="{110B80D2-1F45-4057-9C61-9A4F7C768749}"/>
    <hyperlink ref="J287" r:id="rId238" xr:uid="{1A0AAD8F-CD30-4095-B27C-A255B8612A0F}"/>
    <hyperlink ref="M287" r:id="rId239" xr:uid="{C6A77DBA-2D23-478D-A925-E4DEB3293246}"/>
    <hyperlink ref="J303" r:id="rId240" xr:uid="{5C73DBB1-34F3-4392-8AAA-AB0EE9AFFF71}"/>
    <hyperlink ref="M303" r:id="rId241" xr:uid="{952F2F13-9A4A-4005-BA29-A2B4A934E976}"/>
    <hyperlink ref="J304" r:id="rId242" xr:uid="{28DD9A6F-4D60-40C4-87A8-9D27A05FCBB2}"/>
    <hyperlink ref="M304" r:id="rId243" xr:uid="{A633C01B-D8DC-4F03-A36B-271AB5816D0B}"/>
    <hyperlink ref="J31" r:id="rId244" xr:uid="{8D9C73C7-BB63-406D-A43F-0CE66D45C58C}"/>
    <hyperlink ref="M31" r:id="rId245" xr:uid="{A50BA604-F536-4F1C-A0B2-AA343E09A809}"/>
    <hyperlink ref="J305" r:id="rId246" xr:uid="{07564603-33A5-43EE-8C6E-626B6C7771C9}"/>
    <hyperlink ref="M305" r:id="rId247" xr:uid="{CFB6BFB6-0B9E-4925-8B7E-C58E8EB38AA9}"/>
    <hyperlink ref="J314" r:id="rId248" xr:uid="{F6FC43BD-50B7-4EFC-BCBB-3AB2CC8719C9}"/>
    <hyperlink ref="M314" r:id="rId249" xr:uid="{541E8264-9847-4205-B3D9-80AB6B30AC1B}"/>
    <hyperlink ref="J315" r:id="rId250" xr:uid="{6CE74873-8181-4491-9812-924DC1EDF814}"/>
    <hyperlink ref="M315" r:id="rId251" xr:uid="{815414A1-B999-4EC7-8BC2-5CC8FB561A28}"/>
    <hyperlink ref="J32" r:id="rId252" xr:uid="{BB8D0402-4075-42D5-91B1-BC6C4ADFC6FB}"/>
    <hyperlink ref="M32" r:id="rId253" xr:uid="{BEBFC31B-E021-4D9B-9A44-5FA8BE1EB45B}"/>
    <hyperlink ref="J108" r:id="rId254" xr:uid="{66A1D54F-0806-4334-B512-48871C933743}"/>
    <hyperlink ref="M108" r:id="rId255" xr:uid="{82EBAA4B-534F-4C2A-9EFE-3705BE88EFE8}"/>
    <hyperlink ref="J300" r:id="rId256" xr:uid="{F7B73A09-F7EA-4621-8810-CEAF75174959}"/>
    <hyperlink ref="M300" r:id="rId257" xr:uid="{86ABFC38-86B1-4E8E-9189-95C16D9AC7F7}"/>
    <hyperlink ref="J299" r:id="rId258" xr:uid="{829E512B-671B-48CB-B7F8-F55E24C6C87E}"/>
    <hyperlink ref="M299" r:id="rId259" xr:uid="{78466D79-BB6A-418F-B85C-EB0543FB1B4B}"/>
    <hyperlink ref="J321" r:id="rId260" xr:uid="{A4E0F115-EE22-458E-B8A6-9223528EAAF5}"/>
    <hyperlink ref="J131" r:id="rId261" xr:uid="{990E650F-EE92-40C8-AB24-E10C6DA19E93}"/>
    <hyperlink ref="M131" r:id="rId262" xr:uid="{C9D7FDFD-D730-4E2A-9F49-9005F9DDA871}"/>
    <hyperlink ref="J132" r:id="rId263" xr:uid="{4E2E328C-D4D5-49FE-82CB-8DA1892A4693}"/>
    <hyperlink ref="M132" r:id="rId264" xr:uid="{D00E1840-4E0C-4448-BEC9-D3ADCC0E3DEB}"/>
    <hyperlink ref="J439" r:id="rId265" xr:uid="{9273B496-7E69-41F9-89A0-52D0D252BD59}"/>
    <hyperlink ref="J133" r:id="rId266" xr:uid="{B6C8DA3D-C481-4F47-B0B4-D667DAA2C9F7}"/>
    <hyperlink ref="M133" r:id="rId267" xr:uid="{0189618D-6667-4D2A-A4A0-8FFE8B3DA89B}"/>
    <hyperlink ref="J412" r:id="rId268" xr:uid="{E225AB3B-44EB-41B4-B3BC-3550E50D99E1}"/>
    <hyperlink ref="J378" r:id="rId269" xr:uid="{00EF6665-DEE5-48E6-9CBB-DF09F3EE0C90}"/>
    <hyperlink ref="J135" r:id="rId270" xr:uid="{9D2B7A0F-B456-4704-AB9F-9466E9E37F81}"/>
    <hyperlink ref="M135" r:id="rId271" xr:uid="{0FC99A76-C6E0-40AD-84B7-C6F3376B8C1A}"/>
    <hyperlink ref="J286" r:id="rId272" xr:uid="{6754F660-2354-4EB5-88E0-AC19394841FF}"/>
    <hyperlink ref="M286" r:id="rId273" xr:uid="{4C2B67ED-6242-42A2-B5F6-CE53026E6F98}"/>
    <hyperlink ref="J359" r:id="rId274" xr:uid="{00EC3B4A-1063-4BB5-B899-D2B0DA08C531}"/>
    <hyperlink ref="J391" r:id="rId275" xr:uid="{19D3C052-D0A6-4DEE-8D0D-6617C865DF2B}"/>
    <hyperlink ref="J358" r:id="rId276" xr:uid="{CEB54149-B011-4F41-8C35-B27A087FBD0F}"/>
    <hyperlink ref="J290" r:id="rId277" xr:uid="{4AE99B19-CFB0-4301-A54B-98B494D2800F}"/>
    <hyperlink ref="M290" r:id="rId278" xr:uid="{E564FF85-28EE-4D03-8AE3-5AA82D04388D}"/>
    <hyperlink ref="J33" r:id="rId279" xr:uid="{A2BA801D-EC1D-4664-9DE0-E381444114A8}"/>
    <hyperlink ref="M33" r:id="rId280" xr:uid="{E6C0AA35-CF08-467F-B7D5-BFB969D7E98E}"/>
    <hyperlink ref="J36" r:id="rId281" xr:uid="{7BA6E705-1E58-4100-82D8-C03CD7DAB931}"/>
    <hyperlink ref="M36" r:id="rId282" xr:uid="{60DC78D2-086A-4545-A6A3-C6B8E3BACF0C}"/>
    <hyperlink ref="J365" r:id="rId283" xr:uid="{98CDF7CD-3545-4190-8D81-0369BA940E08}"/>
    <hyperlink ref="J37" r:id="rId284" xr:uid="{4DD98903-5BAF-4E00-AA6C-A461C52967AE}"/>
    <hyperlink ref="M37" r:id="rId285" xr:uid="{B16D3914-C5B5-4B8B-AACF-701CBF4D7D89}"/>
    <hyperlink ref="J301" r:id="rId286" xr:uid="{7877FE81-89F9-4354-A4AB-83617AD65518}"/>
    <hyperlink ref="M301" r:id="rId287" xr:uid="{5BC9C263-1D80-45BE-B656-E5DCF0D73071}"/>
    <hyperlink ref="J38" r:id="rId288" xr:uid="{9BDE48BB-D414-4CC1-9322-6C525FBA643B}"/>
    <hyperlink ref="M38" r:id="rId289" xr:uid="{9BC09C96-6C9C-4EF1-B8D1-CE2F538BD769}"/>
    <hyperlink ref="J39" r:id="rId290" xr:uid="{44C94CA8-F940-4694-A280-8562581166BC}"/>
    <hyperlink ref="M39" r:id="rId291" xr:uid="{CE93A9C3-C7A9-4D70-9AFE-056B367EE804}"/>
    <hyperlink ref="J40" r:id="rId292" xr:uid="{B942CA01-64A5-45DF-B32C-D049C2C0F776}"/>
    <hyperlink ref="M40" r:id="rId293" xr:uid="{195D741C-6672-462E-9F08-56ADAFF805D6}"/>
    <hyperlink ref="J41" r:id="rId294" xr:uid="{048AED84-6F00-4924-96CC-1C4DDB097A18}"/>
    <hyperlink ref="M41" r:id="rId295" xr:uid="{7BD9D994-AD7C-46BA-8F93-58CED04ECA67}"/>
    <hyperlink ref="J42" r:id="rId296" xr:uid="{E05A8733-9A3C-440F-9652-A7C9CAF7830A}"/>
    <hyperlink ref="M42" r:id="rId297" xr:uid="{BBA59769-990D-49AE-BE46-66C4FEA3B389}"/>
    <hyperlink ref="J454" r:id="rId298" xr:uid="{3F3A2525-B958-4C85-81AC-9E79B20C9A2C}"/>
    <hyperlink ref="J43" r:id="rId299" xr:uid="{ED930324-8821-40D4-B939-BBD2649E3498}"/>
    <hyperlink ref="M43" r:id="rId300" xr:uid="{149D0E4A-9F85-4D55-BD5A-59628532AA5E}"/>
    <hyperlink ref="J361" r:id="rId301" xr:uid="{0A7DC535-C994-4780-8E82-BE13204FF44D}"/>
    <hyperlink ref="J45" r:id="rId302" xr:uid="{B3EF7FCD-7BCF-4656-9CBA-3CFE63A7EA7E}"/>
    <hyperlink ref="M45" r:id="rId303" xr:uid="{9FCEE66B-1B96-434A-BD2F-F3804EB35525}"/>
    <hyperlink ref="J449" r:id="rId304" xr:uid="{9746AEE1-52DB-4523-B81E-4D9FF6E2C96B}"/>
    <hyperlink ref="J46" r:id="rId305" xr:uid="{D38E4EC6-9DE1-46FD-84EE-1EDC00B942B7}"/>
    <hyperlink ref="M46" r:id="rId306" xr:uid="{4F97996D-88A5-4B01-897F-CD15BCE02A07}"/>
    <hyperlink ref="J366" r:id="rId307" xr:uid="{BD94D1B3-9484-4692-8490-2B254935A66C}"/>
    <hyperlink ref="J47" r:id="rId308" xr:uid="{DA564924-183D-496B-B215-39B6B267D88E}"/>
    <hyperlink ref="M47" r:id="rId309" xr:uid="{62D9D48B-8FC1-4252-8B19-075E60B2C793}"/>
    <hyperlink ref="J385" r:id="rId310" xr:uid="{C784CEC9-F124-49C0-88E9-7D8AD2685C49}"/>
    <hyperlink ref="J196" r:id="rId311" xr:uid="{510E8BC0-A42B-4786-BC75-A23F01477784}"/>
    <hyperlink ref="M196" r:id="rId312" xr:uid="{0BCBBC88-6E35-40AE-94FA-FED03E97E24B}"/>
    <hyperlink ref="J381" r:id="rId313" xr:uid="{1354D987-409B-4BAE-B684-904CD6E1A033}"/>
    <hyperlink ref="J368" r:id="rId314" xr:uid="{4BD65BC5-1379-438F-821A-CBB7233944AC}"/>
    <hyperlink ref="J66" r:id="rId315" xr:uid="{5FA375BA-2130-41B2-84E6-0039D2DACAA0}"/>
    <hyperlink ref="M66" r:id="rId316" xr:uid="{9D0A1F37-1E88-48E6-9DEE-ED38F605FEB1}"/>
    <hyperlink ref="J67" r:id="rId317" xr:uid="{D7EFC031-FD60-42F5-A7C9-7E421FF58A72}"/>
    <hyperlink ref="M67" r:id="rId318" xr:uid="{32D7C7CF-B586-44C9-BB42-FF8D0534DB1F}"/>
    <hyperlink ref="J48" r:id="rId319" xr:uid="{6DA22B93-9D2C-4A26-B422-BD2F29F654D9}"/>
    <hyperlink ref="M48" r:id="rId320" xr:uid="{348AA62B-3AD6-4D17-9BDD-834060404978}"/>
    <hyperlink ref="J68" r:id="rId321" xr:uid="{41860566-2CD2-4EA0-AD9B-9C9A9D9453C9}"/>
    <hyperlink ref="M68" r:id="rId322" xr:uid="{1FA33502-C9C5-4941-BDF1-C621C41033FE}"/>
    <hyperlink ref="J127" r:id="rId323" xr:uid="{C765C331-0BC9-47CB-9804-79BC2A7F48BC}"/>
    <hyperlink ref="M127" r:id="rId324" xr:uid="{22CCC4A9-A449-4168-88B0-1B7CB1D763F8}"/>
    <hyperlink ref="J69" r:id="rId325" xr:uid="{1F9A9F36-D9C6-40B9-827F-78BF2AFFF442}"/>
    <hyperlink ref="M69" r:id="rId326" xr:uid="{F0D5522A-4A8A-48A5-85B5-593624789B30}"/>
    <hyperlink ref="J459" r:id="rId327" xr:uid="{4475D341-3273-4A28-A573-116428C14BDC}"/>
    <hyperlink ref="M459" r:id="rId328" xr:uid="{2509EDE6-45EF-412E-9F87-8B10FD4C4449}"/>
    <hyperlink ref="J70" r:id="rId329" xr:uid="{316CEE3A-A18B-47A2-9E0D-57272DF6EC1D}"/>
    <hyperlink ref="M70" r:id="rId330" xr:uid="{5D01A17A-1844-4ACD-81EA-15BCCA0DF9F5}"/>
    <hyperlink ref="J77" r:id="rId331" xr:uid="{DB97486D-EBB7-4EFA-A72A-3F438FF381DE}"/>
    <hyperlink ref="J446" r:id="rId332" xr:uid="{EA84105D-12FB-4E13-81DC-F5DB80556914}"/>
    <hyperlink ref="J371" r:id="rId333" xr:uid="{27892D07-27FD-49A3-9147-B3029BF59397}"/>
    <hyperlink ref="J441" r:id="rId334" xr:uid="{57724E32-1B25-46D2-BC64-F23FF61767FA}"/>
    <hyperlink ref="J71" r:id="rId335" xr:uid="{968DC632-E49D-4EB1-B445-1B57735EC08A}"/>
    <hyperlink ref="M71" r:id="rId336" xr:uid="{A8683F0E-63E1-431A-9190-E4A90C37534B}"/>
    <hyperlink ref="J344" r:id="rId337" xr:uid="{D621B654-8435-451F-B890-04A8F45E444E}"/>
    <hyperlink ref="J72" r:id="rId338" xr:uid="{2349B57C-26F7-4863-910E-91F464652238}"/>
    <hyperlink ref="M72" r:id="rId339" xr:uid="{1E644F8E-D4A1-4BCA-9DB0-17FF99D1C479}"/>
    <hyperlink ref="J78" r:id="rId340" xr:uid="{96ECDFB5-D58D-4BFC-A625-EDC25BF1D489}"/>
    <hyperlink ref="M78" r:id="rId341" xr:uid="{958FB5A5-3711-4A3B-9000-DA4056856D13}"/>
    <hyperlink ref="J79" r:id="rId342" xr:uid="{474B5C64-6847-4A28-8C72-0AC5900DE173}"/>
    <hyperlink ref="M79" r:id="rId343" xr:uid="{04FC6F82-6655-4121-B8DC-EB3891F44131}"/>
    <hyperlink ref="J73" r:id="rId344" xr:uid="{53585090-96CD-459A-8337-C48DB3E49B18}"/>
    <hyperlink ref="M73" r:id="rId345" xr:uid="{484417F8-D19C-4B4A-8634-E354128309BD}"/>
    <hyperlink ref="J377" r:id="rId346" xr:uid="{79CB5650-A384-43AE-99F3-3895D7326F05}"/>
    <hyperlink ref="J284" r:id="rId347" xr:uid="{BFF67AD1-BC51-4BB1-8374-D0102D36FD35}"/>
    <hyperlink ref="M284" r:id="rId348" xr:uid="{9E49DDD5-EED5-4F50-9A07-6A1A66D75F5D}"/>
    <hyperlink ref="J355" r:id="rId349" xr:uid="{956FE889-E07D-48CD-A088-1CE79296C5D6}"/>
    <hyperlink ref="J343" r:id="rId350" xr:uid="{A7748F7F-E0E6-4FE9-8068-8B95AD870768}"/>
    <hyperlink ref="J375" r:id="rId351" xr:uid="{7D2C1793-D59C-4E44-B6B4-A32EEE724F7B}"/>
    <hyperlink ref="J347" r:id="rId352" xr:uid="{35726DF5-9FF3-4FF6-AE42-79874F8439B5}"/>
    <hyperlink ref="J338" r:id="rId353" xr:uid="{D7D63163-49A4-43C7-96DB-C49CC7ACC992}"/>
    <hyperlink ref="J401" r:id="rId354" xr:uid="{06F9ABDD-C4CF-40A6-8C4C-3423AB86F9A8}"/>
    <hyperlink ref="J80" r:id="rId355" xr:uid="{6B54F560-3613-4F3C-AD47-4F8D1F1E7CEC}"/>
    <hyperlink ref="M80" r:id="rId356" xr:uid="{D1828B26-18ED-4E8A-8EB6-EDC982CE5A26}"/>
    <hyperlink ref="J340" r:id="rId357" xr:uid="{E574C009-ADB3-4637-90D9-B0192D329218}"/>
    <hyperlink ref="J400" r:id="rId358" xr:uid="{E107E014-88E9-49E5-9DD9-E706463C8875}"/>
    <hyperlink ref="J4" r:id="rId359" xr:uid="{B39D8090-ACAA-485A-9F31-453E63BD2EC4}"/>
    <hyperlink ref="M4" r:id="rId360" xr:uid="{211A1021-2B6F-4037-AA35-FF29B65FC5C1}"/>
    <hyperlink ref="J440" r:id="rId361" xr:uid="{9445BD1B-DFBD-46B1-A635-85CB8C8A2AE8}"/>
    <hyperlink ref="J436" r:id="rId362" xr:uid="{DA585B5F-C0E9-476E-97E6-8DF33C2E0227}"/>
    <hyperlink ref="J395" r:id="rId363" xr:uid="{1CCC549D-C2B1-48DA-9A3E-5039A06EB5AE}"/>
    <hyperlink ref="J374" r:id="rId364" xr:uid="{7B99915A-FDB7-43E3-A7EE-D5BCC12756CB}"/>
    <hyperlink ref="J233" r:id="rId365" xr:uid="{3572EE69-2C5A-4EA0-ADE1-0E5156579F4C}"/>
    <hyperlink ref="M233" r:id="rId366" xr:uid="{C33489D2-C09B-4D0B-BE06-D80A40E230B8}"/>
    <hyperlink ref="J234" r:id="rId367" xr:uid="{97F5F0E6-7680-4F8A-B336-480E16322520}"/>
    <hyperlink ref="M234" r:id="rId368" xr:uid="{B3438B1C-9405-465E-BAF5-E6A63FBC52C7}"/>
    <hyperlink ref="J317" r:id="rId369" xr:uid="{CB0503E5-36A8-4019-8723-86AC1C0F8BDD}"/>
    <hyperlink ref="J235" r:id="rId370" xr:uid="{AD57E8DB-0AF8-4154-931D-19890B9E996E}"/>
    <hyperlink ref="M235" r:id="rId371" xr:uid="{5E20CE69-8D74-4491-AD9C-451A46745F5F}"/>
    <hyperlink ref="J335" r:id="rId372" xr:uid="{D85B5650-017B-478B-8F8B-A8D2B5611039}"/>
    <hyperlink ref="J236" r:id="rId373" xr:uid="{90E45E20-90A2-4C40-8B7A-394693C4A413}"/>
    <hyperlink ref="M236" r:id="rId374" xr:uid="{6197D2C9-562D-4405-B84F-0A81C5984C51}"/>
    <hyperlink ref="J237" r:id="rId375" xr:uid="{4BE2BEBE-81D5-498F-9606-EAC641DAA0F6}"/>
    <hyperlink ref="M237" r:id="rId376" xr:uid="{A3C331A8-574F-4385-A24D-D91F4BC32B25}"/>
    <hyperlink ref="J81" r:id="rId377" xr:uid="{C8DB1837-F53C-4699-8037-78F095C9BD48}"/>
    <hyperlink ref="M81" r:id="rId378" xr:uid="{DB4D639E-D2C4-4C1F-AB7F-5BB8CC20AA44}"/>
    <hyperlink ref="J238" r:id="rId379" xr:uid="{8CBB0516-D31F-4D77-AD19-22B709E1A9F9}"/>
    <hyperlink ref="M238" r:id="rId380" xr:uid="{59D0A893-5C7B-4B9C-BC73-55430BB1A47C}"/>
    <hyperlink ref="J239" r:id="rId381" xr:uid="{FCEB4F73-B909-46C2-B0CE-60975330B93C}"/>
    <hyperlink ref="M239" r:id="rId382" xr:uid="{FFC42478-54B8-4A0C-9B6D-4CBD394EF281}"/>
    <hyperlink ref="J82" r:id="rId383" xr:uid="{2CAD8E13-D682-4675-AC12-B81E38FC4684}"/>
    <hyperlink ref="M82" r:id="rId384" xr:uid="{C2507B31-22BE-451C-9EF0-B40466AC2558}"/>
    <hyperlink ref="J351" r:id="rId385" xr:uid="{AC59240A-5888-4C6D-A98A-8E6596EB29BC}"/>
    <hyperlink ref="J240" r:id="rId386" xr:uid="{9F9F1F0D-2301-461B-9DED-CEF9311420A8}"/>
    <hyperlink ref="M240" r:id="rId387" xr:uid="{914D2A92-0ABD-4825-B777-687FAEC715DF}"/>
    <hyperlink ref="J383" r:id="rId388" xr:uid="{012330B6-E2E9-4A64-895E-8B1D8BEACC92}"/>
    <hyperlink ref="J241" r:id="rId389" xr:uid="{8FA7963C-C916-4AA0-BD1F-4260C1D18F9C}"/>
    <hyperlink ref="M241" r:id="rId390" xr:uid="{9A13A75D-1B95-4E59-A3D6-75F637770D4C}"/>
    <hyperlink ref="J333" r:id="rId391" xr:uid="{0C52E9E8-AFAA-44B9-830F-BCBF2B95C1CF}"/>
    <hyperlink ref="J455" r:id="rId392" xr:uid="{3CB940DE-D411-4735-85B4-D9385771CE1C}"/>
    <hyperlink ref="J242" r:id="rId393" xr:uid="{BBFB7EDC-C014-4B42-8D72-49C78C0A6A7C}"/>
    <hyperlink ref="M242" r:id="rId394" xr:uid="{5849BB5F-CD3C-41C7-B503-8A79025B3845}"/>
    <hyperlink ref="J403" r:id="rId395" xr:uid="{C87259A5-A336-4925-B630-3D2865DEE719}"/>
    <hyperlink ref="J363" r:id="rId396" xr:uid="{97622625-0AFB-4DCE-8FB3-ECDC56A6AA92}"/>
    <hyperlink ref="J369" r:id="rId397" xr:uid="{3D03D15E-FB2C-47E5-8532-65E9136A9E6C}"/>
    <hyperlink ref="J458" r:id="rId398" xr:uid="{A80A9D83-A583-4C6E-A060-CB42292A9BEB}"/>
    <hyperlink ref="J128" r:id="rId399" xr:uid="{32480342-D482-4BF7-AB2E-0A420C748A8C}"/>
    <hyperlink ref="M128" r:id="rId400" xr:uid="{F110FED3-CA09-498D-BBDB-E2E0F27685B1}"/>
    <hyperlink ref="J447" r:id="rId401" xr:uid="{1DD47C44-5395-4FB5-A4FF-ABA4DD90F659}"/>
    <hyperlink ref="J445" r:id="rId402" xr:uid="{59D5ACC3-97B4-41BD-8FC7-35ADBB20CD12}"/>
    <hyperlink ref="J129" r:id="rId403" xr:uid="{3765D779-BEF1-4F9F-B569-FC84993D1547}"/>
    <hyperlink ref="M129" r:id="rId404" xr:uid="{61A75D88-89A9-4E19-8A95-336D3B74E17F}"/>
    <hyperlink ref="J243" r:id="rId405" xr:uid="{F7018B45-990D-49DF-B937-CAA98F030E2A}"/>
    <hyperlink ref="M243" r:id="rId406" xr:uid="{825580F6-A912-4113-8E1F-6A888D596CAD}"/>
    <hyperlink ref="J342" r:id="rId407" xr:uid="{559EB8EC-4B92-489E-A01C-3C5ED282790C}"/>
    <hyperlink ref="J376" r:id="rId408" xr:uid="{B2810BA3-CBF8-413C-8825-ABE262CC1C07}"/>
    <hyperlink ref="J97" r:id="rId409" xr:uid="{B8C476DD-B0AA-4ABC-908E-AA55E7B1AD43}"/>
    <hyperlink ref="M97" r:id="rId410" xr:uid="{0C3BD833-829A-4D2F-A136-207F33B80D6B}"/>
    <hyperlink ref="J244" r:id="rId411" xr:uid="{8B286499-FFDA-45FD-AA92-BA2AB9758D5A}"/>
    <hyperlink ref="M244" r:id="rId412" xr:uid="{07A0889D-8D71-4952-B75A-47FCDFE1942A}"/>
    <hyperlink ref="J245" r:id="rId413" xr:uid="{61AE40BF-377D-4011-B076-B84178603514}"/>
    <hyperlink ref="M245" r:id="rId414" xr:uid="{AE7E5252-44F3-4529-9CEC-1F6CD2A3E23B}"/>
    <hyperlink ref="J407" r:id="rId415" xr:uid="{A41D546F-7CC8-4F8E-8FC3-4965C82B6E65}"/>
    <hyperlink ref="J246" r:id="rId416" xr:uid="{42CB1F80-7C14-4B0E-A1B1-91019F8AB0AF}"/>
    <hyperlink ref="M246" r:id="rId417" xr:uid="{295F76C5-AA6D-4DC3-88DA-DC4AD63E8BC4}"/>
    <hyperlink ref="J272" r:id="rId418" xr:uid="{C8904E98-DA24-4ADF-A1DB-F6A58BC1E71D}"/>
    <hyperlink ref="M272" r:id="rId419" xr:uid="{7F448E5F-FCBE-4572-9845-4EDEE6763997}"/>
    <hyperlink ref="J270" r:id="rId420" xr:uid="{C1FCFEA8-8416-4E5A-9F1B-4A3DDCE79B76}"/>
    <hyperlink ref="M270" r:id="rId421" xr:uid="{0EBA98AA-550E-46D5-9087-4795537EDA38}"/>
    <hyperlink ref="J448" r:id="rId422" xr:uid="{C64F6564-F7CB-4E00-BE6C-7472986FE1BD}"/>
    <hyperlink ref="J198" r:id="rId423" xr:uid="{64F8771C-7BC7-4BB6-AF07-F60757BB8DB4}"/>
    <hyperlink ref="M198" r:id="rId424" xr:uid="{92C8EA6C-C025-4D4D-82BF-BD0D3AEA3766}"/>
    <hyperlink ref="J348" r:id="rId425" xr:uid="{B1A722D9-15B1-413B-8F77-95325E930E1D}"/>
    <hyperlink ref="J336" r:id="rId426" xr:uid="{D883C270-778F-4684-8790-8314D1597ADB}"/>
    <hyperlink ref="J418" r:id="rId427" xr:uid="{34BBF0AE-E2D3-44C1-BE29-D1BE8C5F4352}"/>
    <hyperlink ref="J408" r:id="rId428" xr:uid="{8D83A347-77CA-44E8-A932-843A91FD78B7}"/>
    <hyperlink ref="J345" r:id="rId429" xr:uid="{0D6B4D8A-741A-43F7-950A-E30DC5C7C94C}"/>
    <hyperlink ref="J420" r:id="rId430" xr:uid="{4C82618F-D8C5-48D4-9A40-384E40EF9211}"/>
    <hyperlink ref="J346" r:id="rId431" xr:uid="{1CD216F5-0CB9-48C4-9B0A-D12A74A44C83}"/>
    <hyperlink ref="J247" r:id="rId432" xr:uid="{D930E40C-E3FE-4346-929F-4E6F3377CDD2}"/>
    <hyperlink ref="M247" r:id="rId433" xr:uid="{2BD44DEC-B9F8-4476-90ED-84F4886920C3}"/>
    <hyperlink ref="J248" r:id="rId434" xr:uid="{782CFBA5-F85C-4C3F-8403-97051C94EA5A}"/>
    <hyperlink ref="M248" r:id="rId435" xr:uid="{EDBD8EA6-3CC4-4153-BB12-76071863E4F8}"/>
    <hyperlink ref="J136" r:id="rId436" xr:uid="{349A6EEE-58C1-461A-919A-3986035F0377}"/>
    <hyperlink ref="M136" r:id="rId437" xr:uid="{B8B3E3EC-3922-4E75-A64D-DAA3A9917714}"/>
    <hyperlink ref="J273" r:id="rId438" xr:uid="{95A880BD-FCDD-4511-B245-7098D99C3700}"/>
    <hyperlink ref="M273" r:id="rId439" xr:uid="{04BF6ED6-39BD-4348-B1D6-FD8120F423F3}"/>
    <hyperlink ref="J423" r:id="rId440" xr:uid="{FEBE3559-F702-4220-96B7-8CCE440DF0F1}"/>
    <hyperlink ref="J130" r:id="rId441" xr:uid="{BB2CC9ED-B0FB-4A29-933D-9381683DE896}"/>
    <hyperlink ref="M130" r:id="rId442" xr:uid="{65D9AC15-C70F-4183-AF4A-C5696D9C61A4}"/>
    <hyperlink ref="J274" r:id="rId443" xr:uid="{A6F61F3F-49C7-43D7-B21F-83E4CF4CAF3F}"/>
    <hyperlink ref="M274" r:id="rId444" xr:uid="{40F1538E-3346-472D-857A-61A254551743}"/>
    <hyperlink ref="J325" r:id="rId445" xr:uid="{C84A1086-AE05-4854-92B4-90F6D38DC97F}"/>
    <hyperlink ref="J275" r:id="rId446" xr:uid="{6FECE795-9FCF-4654-A11D-15416634CF06}"/>
    <hyperlink ref="M275" r:id="rId447" xr:uid="{B7B6D9A5-7063-4980-898A-A16061B60980}"/>
    <hyperlink ref="J276" r:id="rId448" xr:uid="{0DCB3701-E9C0-441E-9A3F-59D4343F99E4}"/>
    <hyperlink ref="M276" r:id="rId449" xr:uid="{D59FCC75-38DE-4F20-92EA-E1ABACA3D67B}"/>
    <hyperlink ref="J249" r:id="rId450" xr:uid="{BF61F0E0-AE97-4E63-95BA-8A47F804CF95}"/>
    <hyperlink ref="M249" r:id="rId451" xr:uid="{97EB6A03-803B-4B10-8DE9-33F75288D18B}"/>
    <hyperlink ref="J199" r:id="rId452" xr:uid="{8F2159C1-1ED9-46D5-A650-B88DF14CBABC}"/>
    <hyperlink ref="M199" r:id="rId453" xr:uid="{60CB980E-9135-4B05-B38F-CDD6575F64A5}"/>
    <hyperlink ref="J468" r:id="rId454" xr:uid="{8E63B671-E49F-43A0-BECA-9590D161CCE2}"/>
    <hyperlink ref="M468" r:id="rId455" xr:uid="{7D997E63-CC25-4CFE-97BC-B3990F6A7410}"/>
    <hyperlink ref="J200" r:id="rId456" xr:uid="{4B8A9BAF-0037-45EF-B57F-28190B69CD68}"/>
    <hyperlink ref="M200" r:id="rId457" xr:uid="{5E426440-4ED3-43A9-AB0C-35A9C3938E6D}"/>
    <hyperlink ref="J250" r:id="rId458" xr:uid="{30325DAA-B735-49BC-A599-7D98695A02AE}"/>
    <hyperlink ref="M250" r:id="rId459" xr:uid="{4162D549-35E3-4C37-8B94-0869361A6077}"/>
    <hyperlink ref="J201" r:id="rId460" xr:uid="{430215F3-C799-4F73-9D5C-BCD4251B7EE5}"/>
    <hyperlink ref="M201" r:id="rId461" xr:uid="{77B05608-9C2C-420F-82A9-F0059860E4C6}"/>
    <hyperlink ref="J227" r:id="rId462" xr:uid="{96E540F1-1E8D-4653-B60E-9C06E5704F67}"/>
    <hyperlink ref="M227" r:id="rId463" xr:uid="{0CE514FD-2A1C-46EA-83FE-2DE68F99D844}"/>
    <hyperlink ref="J111" r:id="rId464" xr:uid="{4B36E9C8-4659-4B12-9053-C2F890E3B57A}"/>
    <hyperlink ref="M111" r:id="rId465" xr:uid="{B3CEF123-07E5-44DD-98F9-87AA4E0E316A}"/>
    <hyperlink ref="J112" r:id="rId466" xr:uid="{4F4AA97C-5A10-4417-BF37-92F54838E44D}"/>
    <hyperlink ref="M112" r:id="rId467" xr:uid="{6EE6AE13-FE3D-44CD-9849-92A1BEDE2D31}"/>
    <hyperlink ref="J322" r:id="rId468" xr:uid="{90AAD52D-CD17-42E1-BAF2-764A9CDCBCBF}"/>
    <hyperlink ref="J113" r:id="rId469" xr:uid="{F7AF14A2-684B-4713-A559-CDD7B4AC0998}"/>
    <hyperlink ref="M113" r:id="rId470" xr:uid="{B4463D45-B5D7-4069-9FB7-23B3F945A4FE}"/>
    <hyperlink ref="J277" r:id="rId471" xr:uid="{76DFF3A1-BA3B-476F-8E99-1A7C9B1E6461}"/>
    <hyperlink ref="M277" r:id="rId472" xr:uid="{C61796D7-1488-4EF9-9B6F-86170165C0FB}"/>
    <hyperlink ref="J388" r:id="rId473" xr:uid="{D1EFD7B1-6C6D-43B4-B1C3-A83533A5BBB1}"/>
    <hyperlink ref="J323" r:id="rId474" xr:uid="{4B3964B4-9175-4CEE-9840-1D280ACE259C}"/>
    <hyperlink ref="J114" r:id="rId475" xr:uid="{A39CAE7F-0BE3-41C9-89C8-B115473D1BFD}"/>
    <hyperlink ref="M114" r:id="rId476" xr:uid="{BF58928F-C4E4-4E8D-A99D-E999CF4C4AFA}"/>
    <hyperlink ref="J115" r:id="rId477" xr:uid="{6387BDD3-3245-46FC-9904-BFFACB33BC7C}"/>
    <hyperlink ref="M115" r:id="rId478" xr:uid="{7B3A7C06-124E-4F45-ADDA-F38DC5D769B3}"/>
    <hyperlink ref="J278" r:id="rId479" xr:uid="{61119C2B-F7A6-4ACC-A459-7E5F41801CE7}"/>
    <hyperlink ref="M278" r:id="rId480" xr:uid="{6B9CAE93-5647-43E9-98D9-A7B7DA4A9E8E}"/>
    <hyperlink ref="J329" r:id="rId481" xr:uid="{7568D7B5-12B7-4A8A-AF5B-7C86092BE087}"/>
    <hyperlink ref="J279" r:id="rId482" xr:uid="{A271F1EE-0FB1-4AD9-B0EB-3AA0414FDD2F}"/>
    <hyperlink ref="M279" r:id="rId483" xr:uid="{A9C448A0-296D-4F02-9C3B-E8693044F87B}"/>
    <hyperlink ref="J280" r:id="rId484" xr:uid="{41F9BEAB-CBD6-4BEE-A708-F35D3F26E249}"/>
    <hyperlink ref="M280" r:id="rId485" xr:uid="{D502291C-FB26-4A2C-A7FC-3267A5E707BD}"/>
    <hyperlink ref="J126" r:id="rId486" xr:uid="{D597873B-FB16-4CD1-94AC-2AE9835BA266}"/>
    <hyperlink ref="M126" r:id="rId487" xr:uid="{71E3BF2F-8824-4441-AB3C-E1DE9A694F28}"/>
    <hyperlink ref="J281" r:id="rId488" xr:uid="{E6343F6D-5E88-457C-9F94-C1B6528ED072}"/>
    <hyperlink ref="M281" r:id="rId489" xr:uid="{6538130C-D8D1-4C6D-84A0-79B751DEE40E}"/>
    <hyperlink ref="J328" r:id="rId490" xr:uid="{E561DA8D-9BE0-4C54-8561-41A8DB2CBBD9}"/>
    <hyperlink ref="J352" r:id="rId491" xr:uid="{0D61D178-5472-4D48-A4DD-BA424392522D}"/>
    <hyperlink ref="J282" r:id="rId492" xr:uid="{5764C9BF-B450-494B-95C9-432EC2AEFF26}"/>
    <hyperlink ref="M282" r:id="rId493" xr:uid="{C7760BAA-5F5D-49A1-B4D9-3786DA58D39A}"/>
    <hyperlink ref="J424" r:id="rId494" xr:uid="{1F9B69EE-B4FE-4533-B079-60EDABDD53C0}"/>
    <hyperlink ref="J116" r:id="rId495" xr:uid="{C9BEBDC3-54FB-4048-9687-0B1F82F85C21}"/>
    <hyperlink ref="M116" r:id="rId496" xr:uid="{9B38CCFC-1CB1-43BD-B273-390D88C55604}"/>
    <hyperlink ref="J421" r:id="rId497" xr:uid="{647D01DB-117A-4188-A117-EBE713300F40}"/>
    <hyperlink ref="J117" r:id="rId498" xr:uid="{CD6013FC-DE92-467B-8770-988F921E4A98}"/>
    <hyperlink ref="M117" r:id="rId499" xr:uid="{BA48CBA4-BD60-470F-AC30-D6697D2D70F8}"/>
    <hyperlink ref="J118" r:id="rId500" xr:uid="{8C39156A-4589-44D2-963B-353D2A8A1C98}"/>
    <hyperlink ref="M118" r:id="rId501" xr:uid="{A3B0C333-2848-4EFA-815E-02DFE8C6A3E5}"/>
    <hyperlink ref="J422" r:id="rId502" xr:uid="{0C591794-8C3C-41C2-B643-224099D58B31}"/>
    <hyperlink ref="J119" r:id="rId503" xr:uid="{7B889ADF-38AC-4087-9F5F-A76394DC3CEE}"/>
    <hyperlink ref="M119" r:id="rId504" xr:uid="{56A0FD47-0A3C-45B4-A336-1EF58DC2BC63}"/>
    <hyperlink ref="J283" r:id="rId505" xr:uid="{41EB67C8-D730-4DC4-9455-41FAAA83F8EE}"/>
    <hyperlink ref="M283" r:id="rId506" xr:uid="{869AE95C-842A-477C-A4FF-4CF85CAECF92}"/>
    <hyperlink ref="J120" r:id="rId507" xr:uid="{D00833D6-76F6-4E21-BED3-5ABA603F4B19}"/>
    <hyperlink ref="M120" r:id="rId508" xr:uid="{95D0E922-9AB6-4D2D-A27E-3E7044587861}"/>
    <hyperlink ref="J121" r:id="rId509" xr:uid="{2472239C-5250-4A09-977C-BC0D969899BB}"/>
    <hyperlink ref="M121" r:id="rId510" xr:uid="{5C0580C5-8B85-4F9B-A9C6-540A50CA6E97}"/>
    <hyperlink ref="J410" r:id="rId511" xr:uid="{351A6D5A-D8AB-48AD-AB67-BA40C2A63CD1}"/>
    <hyperlink ref="J380" r:id="rId512" xr:uid="{7E0B602E-0C38-4A5A-9EA6-B75D11DF5633}"/>
    <hyperlink ref="J438" r:id="rId513" xr:uid="{D1A757F8-CD79-4763-99BF-C95788A29C9C}"/>
    <hyperlink ref="J417" r:id="rId514" xr:uid="{265367E3-F52B-425C-BA36-30234D8CF99E}"/>
    <hyperlink ref="J324" r:id="rId515" xr:uid="{D33E54C1-BA95-4DA7-940C-0DD9BA3C38A4}"/>
    <hyperlink ref="J364" r:id="rId516" xr:uid="{850382FE-5FB3-4BEF-91E0-44AF43E20B3E}"/>
    <hyperlink ref="J354" r:id="rId517" xr:uid="{4633EC05-49BB-48F6-B4A3-FE1953F9CFFA}"/>
    <hyperlink ref="J452" r:id="rId518" xr:uid="{123D044D-13B5-4399-A126-B7FB35DCB7BE}"/>
    <hyperlink ref="J349" r:id="rId519" xr:uid="{5D11FF0E-C917-4565-9DD5-513F7A36F88A}"/>
    <hyperlink ref="J425" r:id="rId520" xr:uid="{5B982025-9ED8-4A3B-8517-970B02CE4B19}"/>
    <hyperlink ref="J411" r:id="rId521" xr:uid="{B8178B8F-6669-410C-949D-7F0F4BA328CB}"/>
    <hyperlink ref="J83" r:id="rId522" xr:uid="{ABC0DC14-345C-463F-9F9A-AC02B9B96D57}"/>
    <hyperlink ref="M83" r:id="rId523" xr:uid="{CF9A9122-9330-4A39-A9B5-F8607541B33E}"/>
    <hyperlink ref="J444" r:id="rId524" xr:uid="{B74AA67D-EF81-4081-BFB1-E74D24D04C51}"/>
    <hyperlink ref="J390" r:id="rId525" xr:uid="{F9659FC5-A6EB-4A91-BAA9-2D2A831EF688}"/>
    <hyperlink ref="J49" r:id="rId526" xr:uid="{43684620-0FEB-4E01-AD59-6FB84354BEFE}"/>
    <hyperlink ref="M49" r:id="rId527" xr:uid="{5FB9605F-31B0-4498-9520-7886C21C432D}"/>
    <hyperlink ref="J84" r:id="rId528" xr:uid="{BBBE7A2D-33F2-4F64-B8BD-C07D4E083E56}"/>
    <hyperlink ref="M84" r:id="rId529" xr:uid="{F825447B-83AD-481A-A40F-C5571E062D65}"/>
    <hyperlink ref="J50" r:id="rId530" xr:uid="{671A1EE7-0E7A-4FDD-AF38-F53115833761}"/>
    <hyperlink ref="M50" r:id="rId531" xr:uid="{89E1E745-F561-4579-931E-30AD55BB2C69}"/>
    <hyperlink ref="J144" r:id="rId532" xr:uid="{0547289B-A9AC-4943-887F-D826628B9412}"/>
    <hyperlink ref="M144" r:id="rId533" xr:uid="{8F482A99-3787-4F9B-AA13-2D8743A99D21}"/>
    <hyperlink ref="J145" r:id="rId534" xr:uid="{B484148F-7EAC-4198-9DE4-241769DCA346}"/>
    <hyperlink ref="M145" r:id="rId535" xr:uid="{A4B808AC-6B4D-46A9-9D78-438439D6BBD3}"/>
    <hyperlink ref="J51" r:id="rId536" xr:uid="{05AC3BA7-A209-442D-9541-902719CC0898}"/>
    <hyperlink ref="M51" r:id="rId537" xr:uid="{943C5264-614B-428D-B1EB-CE0630A57337}"/>
    <hyperlink ref="J85" r:id="rId538" xr:uid="{B9B88049-1798-4CA9-A108-3DF0A8A80A26}"/>
    <hyperlink ref="M85" r:id="rId539" xr:uid="{8FCD98CA-A27A-453A-AF4B-7B9DAB9DE735}"/>
    <hyperlink ref="J52" r:id="rId540" xr:uid="{575D82E2-E8A1-48A8-BBAD-B9096DD874B4}"/>
    <hyperlink ref="M52" r:id="rId541" xr:uid="{724D0862-2EB5-4825-ACAB-09542B3D145E}"/>
    <hyperlink ref="J146" r:id="rId542" xr:uid="{AD223C44-D76C-4022-98EA-D3212D98F28D}"/>
    <hyperlink ref="M146" r:id="rId543" xr:uid="{18784F12-7CE7-4BEA-A84A-5D2C069FE51E}"/>
    <hyperlink ref="J147" r:id="rId544" xr:uid="{9D8BAAB0-0FA1-4769-9C3D-77303C42AEA0}"/>
    <hyperlink ref="M147" r:id="rId545" xr:uid="{5B36E41B-A775-434A-84A2-41A766693AB4}"/>
    <hyperlink ref="J53" r:id="rId546" xr:uid="{9D7E3612-2BB2-409B-9202-41C1A39A53FE}"/>
    <hyperlink ref="M53" r:id="rId547" xr:uid="{D13E54E1-4C26-4159-9C5B-DAD4C6B0ECF5}"/>
    <hyperlink ref="J54" r:id="rId548" xr:uid="{0D9D541A-91E0-4DBD-ABC5-BD005516D48C}"/>
    <hyperlink ref="M54" r:id="rId549" xr:uid="{5EAD9435-975E-4EAB-8CAB-52BAF6C03F64}"/>
    <hyperlink ref="J148" r:id="rId550" xr:uid="{7C1FB7B3-A03C-4B87-B26F-E8025B2CEA90}"/>
    <hyperlink ref="M148" r:id="rId551" xr:uid="{6959A256-189E-4F3D-ACC1-BBA6ED1F85EB}"/>
    <hyperlink ref="J149" r:id="rId552" xr:uid="{2933AFED-6DEE-47FB-9C16-CF105238A919}"/>
    <hyperlink ref="M149" r:id="rId553" xr:uid="{0E2C1023-3B88-40FD-9724-22ADEABC5997}"/>
    <hyperlink ref="J150" r:id="rId554" xr:uid="{9C918637-2056-4C62-B951-34A1F39FDFD7}"/>
    <hyperlink ref="M150" r:id="rId555" xr:uid="{28453A0B-16D8-4CFA-A546-64B7BF9EC035}"/>
    <hyperlink ref="J55" r:id="rId556" xr:uid="{52F3E012-2980-40A9-A1D3-822D691399D6}"/>
    <hyperlink ref="M55" r:id="rId557" xr:uid="{6650C268-A4AD-4490-9E80-7E159B0FC656}"/>
    <hyperlink ref="J151" r:id="rId558" xr:uid="{CD69760E-4A09-454B-9E5E-B56DCA5BB2FD}"/>
    <hyperlink ref="M151" r:id="rId559" xr:uid="{563F5E8F-A90F-4DE5-A622-DC48FB850E2D}"/>
    <hyperlink ref="J152" r:id="rId560" xr:uid="{73090FDA-41A0-43E0-AB60-437DC1552AF7}"/>
    <hyperlink ref="M152" r:id="rId561" xr:uid="{6191723D-1263-443E-B5AE-BFA7CBBC05D9}"/>
    <hyperlink ref="J153" r:id="rId562" xr:uid="{0D7CF7FC-C8EC-4A17-9799-A515443A2432}"/>
    <hyperlink ref="M153" r:id="rId563" xr:uid="{6842CB05-1140-4D9D-82B6-1030DC1CDEFB}"/>
    <hyperlink ref="J154" r:id="rId564" xr:uid="{8EDBEF49-F552-4108-985A-5B31C99E78BB}"/>
    <hyperlink ref="M154" r:id="rId565" xr:uid="{73B31AE7-E50C-4367-BE8E-AD9476F33B89}"/>
    <hyperlink ref="J155" r:id="rId566" xr:uid="{0DA23F4D-6EE9-441B-95AC-857AC8B95006}"/>
    <hyperlink ref="M155" r:id="rId567" xr:uid="{01C3A6E2-E08A-44C6-864F-2C0862ECB832}"/>
    <hyperlink ref="J156" r:id="rId568" xr:uid="{E2A970F9-06FE-4657-A596-2C43222C5497}"/>
    <hyperlink ref="M156" r:id="rId569" xr:uid="{02406C3D-BAFF-4466-A074-2F52A752EAC8}"/>
    <hyperlink ref="J157" r:id="rId570" xr:uid="{1814F1D9-3429-4B0F-A4D4-ED2A792A29DC}"/>
    <hyperlink ref="M157" r:id="rId571" xr:uid="{ABE99588-BD2B-44BA-BFB1-460975C9532D}"/>
    <hyperlink ref="J56" r:id="rId572" xr:uid="{4FA50306-4C7D-4C13-8033-60024F5CB883}"/>
    <hyperlink ref="M56" r:id="rId573" xr:uid="{621D3DB2-24AA-47A5-B33E-02E6EF82C9DE}"/>
    <hyperlink ref="J158" r:id="rId574" xr:uid="{2D704378-E4AB-4A6E-B805-9CD6CB647B86}"/>
    <hyperlink ref="M158" r:id="rId575" xr:uid="{B7F0A274-69D8-41F6-AA1E-83F7E8091D43}"/>
    <hyperlink ref="J414" r:id="rId576" xr:uid="{F850B062-608A-4B06-A9D1-A903ACE7CDBA}"/>
    <hyperlink ref="J57" r:id="rId577" xr:uid="{361F712F-4190-440C-984A-C5B9676FED0B}"/>
    <hyperlink ref="M57" r:id="rId578" xr:uid="{742E0498-958B-41C0-A14D-514506BB905E}"/>
    <hyperlink ref="J58" r:id="rId579" xr:uid="{06BACAE3-5540-4A2B-A841-488A16EA0264}"/>
    <hyperlink ref="M58" r:id="rId580" xr:uid="{8F365E98-1E19-439D-ACA7-10895FA1D8A7}"/>
    <hyperlink ref="J426" r:id="rId581" xr:uid="{A4EA9B67-0443-4BF7-9EDD-B9FA98C0D760}"/>
    <hyperlink ref="J86" r:id="rId582" xr:uid="{F88D35BA-2A8B-4E07-ADD3-1A23D5EDB19D}"/>
    <hyperlink ref="M86" r:id="rId583" xr:uid="{F2E32762-64BD-4321-8A3B-781FA82243E6}"/>
    <hyperlink ref="J163" r:id="rId584" xr:uid="{3C53D913-00DA-48CB-8DDC-A53C19CD4275}"/>
    <hyperlink ref="M163" r:id="rId585" xr:uid="{44A8915C-DA68-4577-BFAF-397059337777}"/>
    <hyperlink ref="J160" r:id="rId586" xr:uid="{6DD6B5D9-48ED-42FA-8897-2B0EA5EB84C2}"/>
    <hyperlink ref="M160" r:id="rId587" xr:uid="{CF59D9C1-3A6D-4058-AD96-D13745C4FB78}"/>
    <hyperlink ref="J159" r:id="rId588" xr:uid="{98751F23-DBF3-4630-B2E8-A48850E4A5B8}"/>
    <hyperlink ref="M159" r:id="rId589" xr:uid="{D9217E8C-E7B7-464F-B1EA-66D52F878E55}"/>
    <hyperlink ref="J161" r:id="rId590" xr:uid="{46AAE3D1-98C9-45BE-8846-18C3641B54B5}"/>
    <hyperlink ref="M161" r:id="rId591" xr:uid="{DAAC0E4E-0469-46E5-A246-EFAB718DD2BA}"/>
    <hyperlink ref="J162" r:id="rId592" xr:uid="{DAD6571A-E2C0-4812-AFF8-663B337EDF64}"/>
    <hyperlink ref="M162" r:id="rId593" xr:uid="{6FE5F7B3-63A3-44B2-8D47-42B5DB5B0E26}"/>
    <hyperlink ref="J59" r:id="rId594" xr:uid="{3B5CB0F9-272A-4F07-9772-63FAAE423362}"/>
    <hyperlink ref="M59" r:id="rId595" xr:uid="{A723CC66-CB35-43C1-8C86-61598599E558}"/>
    <hyperlink ref="J165" r:id="rId596" xr:uid="{C9BBC98C-46B3-4BBB-AE54-3CD43E7549BB}"/>
    <hyperlink ref="M165" r:id="rId597" xr:uid="{19D51D30-C8FC-411B-A690-AB3FD1F4DF47}"/>
    <hyperlink ref="J285" r:id="rId598" xr:uid="{DD63CDAF-FB52-4CD5-9A88-565E0CA24ECB}"/>
    <hyperlink ref="M285" r:id="rId599" xr:uid="{8801E94F-619B-40CE-9CDA-74D2D0D62661}"/>
    <hyperlink ref="J164" r:id="rId600" xr:uid="{F81A0F74-B51E-4713-B4F1-38892B8B6CFA}"/>
    <hyperlink ref="M164" r:id="rId601" xr:uid="{BD521F05-18C7-43E4-83B7-41AA2D62BC41}"/>
    <hyperlink ref="J87" r:id="rId602" xr:uid="{EE70E6F1-3F58-465A-A028-D5FF70B0E37C}"/>
    <hyperlink ref="M87" r:id="rId603" xr:uid="{7B70968E-FC40-46AB-867D-A3199DB54F88}"/>
    <hyperlink ref="J60" r:id="rId604" xr:uid="{E0A01DA2-153F-4F29-AC97-F4E609F09469}"/>
    <hyperlink ref="M60" r:id="rId605" xr:uid="{47C6BD74-7A08-48CC-B436-B1D7967F73A4}"/>
    <hyperlink ref="J166" r:id="rId606" xr:uid="{6C324209-17B6-44CF-B294-8E1AF9911FA4}"/>
    <hyperlink ref="M166" r:id="rId607" xr:uid="{77AF1E67-3933-483D-A4C5-96A84A6E15B3}"/>
    <hyperlink ref="J167" r:id="rId608" xr:uid="{3485914F-AF7E-4196-89DD-D428E1A33069}"/>
    <hyperlink ref="M167" r:id="rId609" xr:uid="{4123B5EA-5DDC-440D-BB16-24D3E2DD4DF0}"/>
    <hyperlink ref="J168" r:id="rId610" xr:uid="{F2B27C92-5A52-4655-96F7-4A88FCA01408}"/>
    <hyperlink ref="M168" r:id="rId611" xr:uid="{5A55524B-CDD5-41CD-BE94-2B50DA01642B}"/>
    <hyperlink ref="J61" r:id="rId612" xr:uid="{DCA97AA0-5F29-43E8-8F8D-5DB04CE42C98}"/>
    <hyperlink ref="M61" r:id="rId613" xr:uid="{21939DB3-00E8-4815-A930-2ACD86E6AC4D}"/>
    <hyperlink ref="J169" r:id="rId614" xr:uid="{65A7FEF1-7CE2-4CF5-9C14-8E401B52B080}"/>
    <hyperlink ref="M169" r:id="rId615" xr:uid="{5A4CCF2C-BA08-4C02-A353-2E8676764B0E}"/>
    <hyperlink ref="J88" r:id="rId616" xr:uid="{3D3B9F8B-F2CE-4A16-A69F-109C956911B7}"/>
    <hyperlink ref="M88" r:id="rId617" xr:uid="{4A64BFB7-7A42-4116-8713-E7B3A3D18701}"/>
    <hyperlink ref="J170" r:id="rId618" xr:uid="{C9DADBE8-F527-4D3E-99E0-934EA05B3788}"/>
    <hyperlink ref="M170" r:id="rId619" xr:uid="{2911841A-56C6-4D4E-AD1E-767002CB8583}"/>
    <hyperlink ref="J171" r:id="rId620" xr:uid="{A2D1464D-DD04-4C14-B368-DBB8AB53B28E}"/>
    <hyperlink ref="M171" r:id="rId621" xr:uid="{0666F62D-280E-47F5-BEDC-91A9C9B63B94}"/>
    <hyperlink ref="J251" r:id="rId622" xr:uid="{A2255E3C-8201-44DE-8CEF-5B87A6450D07}"/>
    <hyperlink ref="M251" r:id="rId623" xr:uid="{343FA095-8440-4ABB-8B46-18D817050AB6}"/>
    <hyperlink ref="J172" r:id="rId624" xr:uid="{5CC8D463-7DFE-4255-BF07-0D6D3EB2DF95}"/>
    <hyperlink ref="M172" r:id="rId625" xr:uid="{90FE81C2-5983-48CA-B0AF-24EE1DE32819}"/>
    <hyperlink ref="J173" r:id="rId626" xr:uid="{2E651DE2-79C1-4B7F-B2D7-5D4177FB632D}"/>
    <hyperlink ref="M173" r:id="rId627" xr:uid="{D0295C5A-B0B3-43C2-9CB3-5132EA765EA2}"/>
    <hyperlink ref="J62" r:id="rId628" xr:uid="{BF7873E4-5BB9-4C32-BE79-AE7F543F7ED3}"/>
    <hyperlink ref="M62" r:id="rId629" xr:uid="{B9EA272B-FB2C-4A20-A9EE-161F3CF21864}"/>
    <hyperlink ref="J174" r:id="rId630" xr:uid="{5CC62DF8-F9E9-493D-B8E4-71F1DF4DFCAC}"/>
    <hyperlink ref="M174" r:id="rId631" xr:uid="{31B3B9DE-68DF-447F-B5A8-2F9F04419AFB}"/>
    <hyperlink ref="J175" r:id="rId632" xr:uid="{FE2C8433-65EC-4AF0-9C65-F4DD907EA8F7}"/>
    <hyperlink ref="M175" r:id="rId633" xr:uid="{34BECC1F-109E-4FDD-94E1-692204220E72}"/>
    <hyperlink ref="J176" r:id="rId634" xr:uid="{A864E4F1-D514-40CA-A2F2-71D0F0E97720}"/>
    <hyperlink ref="M176" r:id="rId635" xr:uid="{E5A1DF2C-C469-424E-8E00-90FC8E44C378}"/>
    <hyperlink ref="J63" r:id="rId636" xr:uid="{DC8F515B-4CC0-44C1-BCAD-F7EF63F9064C}"/>
    <hyperlink ref="M63" r:id="rId637" xr:uid="{12A923F5-EFC9-4E03-8CF7-B2C0E53A2C5F}"/>
    <hyperlink ref="J89" r:id="rId638" xr:uid="{B959A86B-C257-4FDE-8A05-4838D9E401E0}"/>
    <hyperlink ref="M89" r:id="rId639" xr:uid="{21978519-4432-417B-BAC4-2BA12268A3AD}"/>
    <hyperlink ref="J64" r:id="rId640" xr:uid="{A5C8B5B6-9012-4CF9-92E6-E34721957ECC}"/>
    <hyperlink ref="M64" r:id="rId641" xr:uid="{DB2B9093-2339-42AB-A74E-FE22286416CF}"/>
    <hyperlink ref="J453" r:id="rId642" xr:uid="{A034D48D-6B93-43A5-8B47-ECFCB646E85E}"/>
    <hyperlink ref="J252" r:id="rId643" xr:uid="{4F47086B-FC88-450B-9538-4A4451781020}"/>
    <hyperlink ref="M252" r:id="rId644" xr:uid="{99E27BBD-C98C-4253-AA9C-61491423FD67}"/>
    <hyperlink ref="J90" r:id="rId645" xr:uid="{197E3742-5AFE-44AB-BE2D-B0AD7E135C36}"/>
    <hyperlink ref="M90" r:id="rId646" xr:uid="{937C5E39-0F0B-4BB6-91D6-95D800A74B2D}"/>
    <hyperlink ref="J91" r:id="rId647" xr:uid="{C66424BC-3616-4B33-8E0A-918F3BF1D62E}"/>
    <hyperlink ref="M91" r:id="rId648" xr:uid="{628DFA9E-CD99-47F0-886C-E7E3F3DFD217}"/>
    <hyperlink ref="J177" r:id="rId649" xr:uid="{074F8121-F829-474E-AAA6-5F83D1A87C76}"/>
    <hyperlink ref="M177" r:id="rId650" xr:uid="{EF785920-7316-4142-848F-7621D027FC99}"/>
    <hyperlink ref="J178" r:id="rId651" xr:uid="{94BBBA5A-9641-4D8B-B572-486B2AE05D07}"/>
    <hyperlink ref="M178" r:id="rId652" xr:uid="{4ED25E85-FB9D-42B5-A563-7A9A623AE99C}"/>
    <hyperlink ref="J179" r:id="rId653" xr:uid="{6D633298-C7C4-4B5A-982D-5126276CCA6B}"/>
    <hyperlink ref="M179" r:id="rId654" xr:uid="{6E36B0CC-A8BD-4705-AA96-BDCA6AF3A3FF}"/>
    <hyperlink ref="J5" r:id="rId655" xr:uid="{93CAB3EB-0231-467C-9846-311F20ECCE62}"/>
    <hyperlink ref="M5" r:id="rId656" xr:uid="{0CFAF06E-B29A-40DC-942E-7305F8E9AF29}"/>
    <hyperlink ref="J180" r:id="rId657" xr:uid="{0FE3945E-B5EA-4441-B56F-1FB295E37D9B}"/>
    <hyperlink ref="M180" r:id="rId658" xr:uid="{FE3AF0BA-9818-4AB8-A1BC-CA2B18DAF13C}"/>
    <hyperlink ref="J266" r:id="rId659" xr:uid="{74AD9586-AE69-47CE-A419-858D25EEA363}"/>
    <hyperlink ref="M266" r:id="rId660" xr:uid="{9B965755-A443-41A1-8113-1D9D95E2C3D2}"/>
    <hyperlink ref="J181" r:id="rId661" xr:uid="{A74C961E-878C-4502-B7D9-DE34EAE5939A}"/>
    <hyperlink ref="M181" r:id="rId662" xr:uid="{CC0B146B-9CE2-43FE-AF95-76E9F3396A10}"/>
    <hyperlink ref="J6" r:id="rId663" xr:uid="{FE801B1C-5D6A-429D-8864-8BB7E7B9AAF1}"/>
    <hyperlink ref="M6" r:id="rId664" xr:uid="{3EBCB787-844F-46B9-B4FD-D6BDEB7D0000}"/>
    <hyperlink ref="J182" r:id="rId665" xr:uid="{753BD441-500A-4269-AF9D-71B6C8DC6922}"/>
    <hyperlink ref="M182" r:id="rId666" xr:uid="{1FA8AF01-5FA8-49DA-8A38-BEEA3C874ECC}"/>
    <hyperlink ref="J183" r:id="rId667" xr:uid="{89AE4586-5E72-43AC-9C6D-6A290A971E06}"/>
    <hyperlink ref="M183" r:id="rId668" xr:uid="{4DD21270-ED05-4C6C-8900-BCA7769D4516}"/>
    <hyperlink ref="J184" r:id="rId669" xr:uid="{E78D3912-50E3-4957-B263-F25C90DBA6B3}"/>
    <hyperlink ref="M184" r:id="rId670" xr:uid="{766EB477-69FE-4EC0-9220-C8912138B973}"/>
    <hyperlink ref="J185" r:id="rId671" xr:uid="{BFBE738A-C878-4EC2-A18C-F36E99286DC5}"/>
    <hyperlink ref="M185" r:id="rId672" xr:uid="{6F837C3F-4AFF-4B09-8B69-D51A68656C47}"/>
    <hyperlink ref="J65" r:id="rId673" xr:uid="{25AA6607-374D-41AC-BE38-4B32AF733A6F}"/>
    <hyperlink ref="M65" r:id="rId674" xr:uid="{0FD2389D-DA30-47F1-A2BF-38758AA308EC}"/>
    <hyperlink ref="J186" r:id="rId675" xr:uid="{BAD5A45C-3E72-452A-8B6A-0A7BC3A2D45E}"/>
    <hyperlink ref="M186" r:id="rId676" xr:uid="{AC37571A-707E-415A-AFB8-0DA207441201}"/>
    <hyperlink ref="J187" r:id="rId677" xr:uid="{0818CAB8-F80A-414D-B52D-91FEBF74C76A}"/>
    <hyperlink ref="M187" r:id="rId678" xr:uid="{F1D637BA-367A-4500-899A-3F9E25F95801}"/>
    <hyperlink ref="J7" r:id="rId679" xr:uid="{63745BA2-24E1-4C3D-A176-DFBFCA3DA2B2}"/>
    <hyperlink ref="M7" r:id="rId680" xr:uid="{BD6F9681-C11C-4695-A21C-B8483BE39B0B}"/>
    <hyperlink ref="J188" r:id="rId681" xr:uid="{456FF841-BB5D-4BD3-B363-976F4D8CBF41}"/>
    <hyperlink ref="M188" r:id="rId682" xr:uid="{70BA3B95-8502-4ECC-8444-AEEAEB633BE4}"/>
    <hyperlink ref="J253" r:id="rId683" xr:uid="{18F3F281-6CEE-4A0A-8DF5-6F7D2AB3982F}"/>
    <hyperlink ref="M253" r:id="rId684" xr:uid="{B3D19378-DC48-4D52-BDBF-D31CEB15E3E7}"/>
    <hyperlink ref="J267" r:id="rId685" xr:uid="{9BED730A-A98A-46F8-9581-7ED3EB7F0737}"/>
    <hyperlink ref="M267" r:id="rId686" xr:uid="{6D708437-B954-426E-89F5-F7B6BBB92E20}"/>
    <hyperlink ref="J189" r:id="rId687" xr:uid="{F93A2AF3-1F12-4072-95EB-A31EE99CBBA0}"/>
    <hyperlink ref="M189" r:id="rId688" xr:uid="{36EF16FE-AD0A-4DBB-B08C-67017DE5972C}"/>
    <hyperlink ref="J268" r:id="rId689" xr:uid="{1BBB14C8-2A54-42B7-B85A-4971C7BC7036}"/>
    <hyperlink ref="M268" r:id="rId690" xr:uid="{1B1EEC17-B439-47DC-ABDE-7D84692CF575}"/>
    <hyperlink ref="J190" r:id="rId691" xr:uid="{A30178EC-9825-430D-A2EA-ACDD21F1432C}"/>
    <hyperlink ref="M190" r:id="rId692" xr:uid="{8B951BAC-F736-4546-B517-8C7AAD52F9C3}"/>
    <hyperlink ref="J8" r:id="rId693" xr:uid="{050CB910-69D6-4627-8A56-DE62F1028ADE}"/>
    <hyperlink ref="M8" r:id="rId694" xr:uid="{CF511FCA-8492-4316-B1E2-AA4FDB567866}"/>
    <hyperlink ref="J191" r:id="rId695" xr:uid="{42209255-0F56-41E1-B51B-F06C72E56736}"/>
    <hyperlink ref="M191" r:id="rId696" xr:uid="{F357EDE6-EED0-4D8D-9C35-DD1D4482DE4C}"/>
    <hyperlink ref="J122" r:id="rId697" xr:uid="{97C33BA0-4D00-440C-864B-0A5623B295C0}"/>
    <hyperlink ref="M122" r:id="rId698" xr:uid="{9767E5B9-F434-45D3-91D5-AA64F292A206}"/>
    <hyperlink ref="J396" r:id="rId699" xr:uid="{8798D6DE-3455-4806-A547-4171338C03E5}"/>
    <hyperlink ref="J192" r:id="rId700" xr:uid="{8EEF6011-0CA3-4558-A2BC-B646D166C166}"/>
    <hyperlink ref="M192" r:id="rId701" xr:uid="{294185CD-29C7-4428-A2B8-14DE012A203C}"/>
    <hyperlink ref="J123" r:id="rId702" xr:uid="{ECE244B4-1676-4B3E-AAF9-77791E7DCB51}"/>
    <hyperlink ref="M123" r:id="rId703" xr:uid="{23266C24-2E04-405D-89D0-BB46924B5564}"/>
    <hyperlink ref="J397" r:id="rId704" xr:uid="{7D5727F7-FEEE-4798-BBA6-5F721EE2AB2E}"/>
    <hyperlink ref="J9" r:id="rId705" xr:uid="{9EDB58A0-2C2C-45D2-BA30-623F75333F6F}"/>
    <hyperlink ref="M9" r:id="rId706" xr:uid="{45724687-E90E-46FE-92C2-50ED9158E1E9}"/>
    <hyperlink ref="J193" r:id="rId707" xr:uid="{2D91972D-7B14-4E30-9D59-4F710462B85C}"/>
    <hyperlink ref="M193" r:id="rId708" xr:uid="{7247D1D7-0283-4D78-A430-867118253639}"/>
    <hyperlink ref="J124" r:id="rId709" xr:uid="{97C7F903-0E18-4724-A3BF-D5EF7FFC16F0}"/>
    <hyperlink ref="M124" r:id="rId710" xr:uid="{0E9FF6FB-E172-49B3-8500-EC1CEC16D189}"/>
    <hyperlink ref="J125" r:id="rId711" xr:uid="{67432DF5-91C2-4C40-9E7A-96F29FDCB0F6}"/>
    <hyperlink ref="M125" r:id="rId712" xr:uid="{8373E7FA-1DDF-4B99-9014-D733B36F57AF}"/>
    <hyperlink ref="J92" r:id="rId713" xr:uid="{236B1736-74FB-4E00-AF26-D8AB67FDAD49}"/>
    <hyperlink ref="M92" r:id="rId714" xr:uid="{D5177CC2-02D6-47CB-A632-E57344EF7337}"/>
    <hyperlink ref="J265" r:id="rId715" xr:uid="{681D91FF-6F69-4204-B498-20C6F0F3D7B7}"/>
    <hyperlink ref="M265" r:id="rId716" xr:uid="{8F655E0E-56E5-4374-8037-B64136304875}"/>
    <hyperlink ref="J10" r:id="rId717" xr:uid="{97D905A6-FB95-4211-BEC7-6AF4092143EE}"/>
    <hyperlink ref="M10" r:id="rId718" xr:uid="{D489E0F5-24BA-4DEC-B9FB-EF54CF368016}"/>
    <hyperlink ref="J11" r:id="rId719" xr:uid="{51A38DD4-DD03-4660-84B0-97E4D65C5439}"/>
    <hyperlink ref="M11" r:id="rId720" xr:uid="{70FA11A1-DB9B-4C52-A0F5-C913F4A09DF5}"/>
    <hyperlink ref="J12" r:id="rId721" xr:uid="{ECC114A5-AB9A-44A5-A01F-68628BF164E8}"/>
    <hyperlink ref="M12" r:id="rId722" xr:uid="{3CB0EA96-5134-42A2-BF1C-C306CA836CE9}"/>
    <hyperlink ref="J13" r:id="rId723" xr:uid="{A56D2E87-1A23-4472-AACD-3EB5C3A2333B}"/>
    <hyperlink ref="M13" r:id="rId724" xr:uid="{5F63EA11-2BBD-424B-A04C-531FB6FD08A4}"/>
    <hyperlink ref="J93" r:id="rId725" xr:uid="{815D26C7-2310-4EE3-A1F8-503703F75F57}"/>
    <hyperlink ref="M93" r:id="rId726" xr:uid="{33EA8946-DE39-4850-A295-0DEBE9EB08E2}"/>
    <hyperlink ref="J95" r:id="rId727" xr:uid="{C01F03F7-29B2-4C7B-B809-79BB2DEC8EAA}"/>
    <hyperlink ref="M95" r:id="rId728" xr:uid="{EB01C746-37CE-440B-9C2B-522A26922AF4}"/>
    <hyperlink ref="J94" r:id="rId729" xr:uid="{FD3ADC1E-6E84-41FC-A5FB-B1B40CCA23A2}"/>
    <hyperlink ref="M94" r:id="rId730" xr:uid="{1E0A411B-A40A-4050-90B3-43B8BDA62B36}"/>
    <hyperlink ref="J194" r:id="rId731" xr:uid="{A37D73BE-60FD-48B1-AB1C-301BFCE226BA}"/>
    <hyperlink ref="M194" r:id="rId732" xr:uid="{5D400EF1-C385-4605-854B-621AFFE0AB15}"/>
    <hyperlink ref="J228" r:id="rId733" xr:uid="{C9E7DEC5-D92A-46B4-8FC3-164E36F66CBF}"/>
    <hyperlink ref="M228" r:id="rId734" xr:uid="{39D92250-9596-4B55-8A69-817C77E48DF1}"/>
    <hyperlink ref="J229" r:id="rId735" xr:uid="{EE2D5C1B-CC6B-41BE-BB8F-3FD94FAB09A7}"/>
    <hyperlink ref="M229" r:id="rId736" xr:uid="{07595A1C-DFD5-481F-9022-1EC191B47AEE}"/>
    <hyperlink ref="J255" r:id="rId737" xr:uid="{0D5DA854-DAB0-48CB-9E7D-0EA5C94618A3}"/>
    <hyperlink ref="M255" r:id="rId738" xr:uid="{302511EF-FD54-433E-9D0D-74DB47AB3866}"/>
    <hyperlink ref="J230" r:id="rId739" xr:uid="{01A2A058-E514-49AF-AF6F-05361463BE4E}"/>
    <hyperlink ref="M230" r:id="rId740" xr:uid="{ED221E14-4507-4212-9BC0-0F44672ADDF0}"/>
    <hyperlink ref="J257" r:id="rId741" xr:uid="{CFD3EAEE-8491-4E8E-B7A7-971F5815834E}"/>
    <hyperlink ref="M257" r:id="rId742" xr:uid="{B9A16EE2-479E-4EBE-A22C-A641D7BA79A8}"/>
    <hyperlink ref="J254" r:id="rId743" xr:uid="{C758DC69-838F-48C8-982D-AB9005809739}"/>
    <hyperlink ref="M254" r:id="rId744" xr:uid="{5A005BDC-0128-4711-A9C1-C430DC509F85}"/>
    <hyperlink ref="J96" r:id="rId745" xr:uid="{0B750168-A21B-4ADB-94D9-060115994C58}"/>
    <hyperlink ref="M96" r:id="rId746" xr:uid="{B53FA8CF-F33F-4C75-8DF4-B4D780AA5749}"/>
    <hyperlink ref="J256" r:id="rId747" xr:uid="{655C476D-0A69-44CD-8AB1-6C05577D938F}"/>
    <hyperlink ref="M256" r:id="rId748" xr:uid="{D6512514-338B-4610-BB8C-A9EF804998E7}"/>
    <hyperlink ref="J258" r:id="rId749" xr:uid="{EB1C0906-BF8A-43BE-8AD8-6F952EF42791}"/>
    <hyperlink ref="M258" r:id="rId750" xr:uid="{271E1D3D-52A9-477D-B6F9-00F9E2D45F05}"/>
    <hyperlink ref="J109" r:id="rId751" xr:uid="{8CE85C90-8713-494A-AF80-B89A6F8D2E5F}"/>
    <hyperlink ref="M109" r:id="rId752" xr:uid="{95832C73-5AB5-4851-A008-F0B021245828}"/>
    <hyperlink ref="J231" r:id="rId753" xr:uid="{D9AF6F04-A3DA-4632-BDBD-A24B8E546F25}"/>
    <hyperlink ref="M231" r:id="rId754" xr:uid="{33BB9191-98C9-40FA-A0A3-5021682F8317}"/>
    <hyperlink ref="J259" r:id="rId755" xr:uid="{D8BDA0A3-CF47-412C-9859-EC3335651760}"/>
    <hyperlink ref="M259" r:id="rId756" xr:uid="{BC8BF75A-9798-494A-A1AE-B50B963C2B64}"/>
    <hyperlink ref="J260" r:id="rId757" xr:uid="{6B71FBE2-99FE-4D92-9D60-FABD98FA44F3}"/>
    <hyperlink ref="M260" r:id="rId758" xr:uid="{F5F5071B-2498-4D28-AAA6-2314BF2CF7D3}"/>
    <hyperlink ref="J261" r:id="rId759" xr:uid="{6AC5DC27-72D8-4D5A-BD3B-4851D8CA01BF}"/>
    <hyperlink ref="M261" r:id="rId760" xr:uid="{3C2F2650-D50D-4759-B725-492826BF905C}"/>
    <hyperlink ref="J337" r:id="rId761" xr:uid="{BC1DE12E-1CA8-4E97-8BD0-C4168B330A5C}"/>
    <hyperlink ref="J262" r:id="rId762" xr:uid="{77D241F0-6BDB-46DC-B8C5-B7B5526E6706}"/>
    <hyperlink ref="M262" r:id="rId763" xr:uid="{4DB53113-E6DD-4481-A829-0169437014E1}"/>
    <hyperlink ref="J263" r:id="rId764" xr:uid="{F7AFEC7F-A767-4DE0-9AFA-BD2947B671AB}"/>
    <hyperlink ref="M263" r:id="rId765" xr:uid="{1BC5803F-DF7F-4729-BB6C-B30EEE042058}"/>
    <hyperlink ref="J370" r:id="rId766" xr:uid="{75E821A4-99F6-4269-9F04-AE63A7D88135}"/>
    <hyperlink ref="J457" r:id="rId767" xr:uid="{3A4079E3-D042-41CB-BF49-444E11644588}"/>
    <hyperlink ref="J14" r:id="rId768" xr:uid="{95F8D890-5DD6-430E-9406-6DA4C889E91B}"/>
    <hyperlink ref="M14" r:id="rId769" xr:uid="{D72462D2-B527-466C-8391-FBE21FA00EA3}"/>
    <hyperlink ref="J15" r:id="rId770" xr:uid="{B03E90B1-AC95-4133-8BAD-D51936494F5B}"/>
    <hyperlink ref="M15" r:id="rId771" xr:uid="{D9AEE991-D353-42CA-BE6B-15653EBD2C8A}"/>
    <hyperlink ref="J16" r:id="rId772" xr:uid="{E377710B-1EA8-4B94-884C-7AF71C40CBD7}"/>
    <hyperlink ref="M16" r:id="rId773" xr:uid="{ABDA5479-3167-4DB6-B0A9-5E4336A6F4D8}"/>
    <hyperlink ref="J17" r:id="rId774" xr:uid="{9663CC73-8835-441A-A128-0EDC80788AB7}"/>
    <hyperlink ref="M17" r:id="rId775" xr:uid="{BFD2C6CA-0F30-4855-849F-588A52421238}"/>
    <hyperlink ref="J18" r:id="rId776" xr:uid="{174712B6-FA4D-4ADD-818B-306144591D06}"/>
    <hyperlink ref="M18" r:id="rId777" xr:uid="{74EEC5A2-8BBF-4401-9B7A-30840FD160D5}"/>
    <hyperlink ref="J19" r:id="rId778" xr:uid="{FC42BBB1-9F06-4A2C-9244-2CD2A4218EB2}"/>
    <hyperlink ref="M19" r:id="rId779" xr:uid="{57E98256-F702-4701-B977-B0ACD0194AFB}"/>
    <hyperlink ref="J20" r:id="rId780" xr:uid="{A4820F83-2B03-4119-9350-34C222379ABD}"/>
    <hyperlink ref="M20" r:id="rId781" xr:uid="{8C018ADF-A1A4-4C72-A7F6-5E39384EACF2}"/>
    <hyperlink ref="J21" r:id="rId782" xr:uid="{5147EAD7-BE34-4BB5-A6BB-8499B6C6F974}"/>
    <hyperlink ref="M21" r:id="rId783" xr:uid="{1A08AD23-2DD0-4817-AAE5-52F33F9E6DD7}"/>
    <hyperlink ref="J205" r:id="rId784" xr:uid="{DBFCF8D8-73AD-4E0B-A0CD-081FBB370CCB}"/>
    <hyperlink ref="M205" r:id="rId785" xr:uid="{F88AA443-F5B5-4BFA-A445-10004F8C7008}"/>
    <hyperlink ref="J22" r:id="rId786" xr:uid="{66A0F581-425A-4280-B76E-1DC0647BCAA5}"/>
    <hyperlink ref="M22" r:id="rId787" xr:uid="{A837FD0B-C15D-48D9-8D4B-47DDC4278A40}"/>
    <hyperlink ref="J206" r:id="rId788" xr:uid="{A1010450-72CD-4598-A3CF-D86BB49A6350}"/>
    <hyperlink ref="M206" r:id="rId789" xr:uid="{0CC13C4F-7A1A-42D5-AACF-0AD80AA1E59F}"/>
    <hyperlink ref="J23" r:id="rId790" xr:uid="{F8CA6CB3-FF4D-4867-94F9-0D1D64999382}"/>
    <hyperlink ref="M23" r:id="rId791" xr:uid="{FAF91226-5FC4-4200-A000-D008C1F66560}"/>
    <hyperlink ref="J207" r:id="rId792" xr:uid="{8D6008B3-48B6-4574-A25E-98DBCBDC0D8F}"/>
    <hyperlink ref="M207" r:id="rId793" xr:uid="{CDA8234E-71C0-42A9-B33C-67759E754A53}"/>
    <hyperlink ref="J195" r:id="rId794" xr:uid="{0C63787A-34A4-4060-AC94-4A55F7BC5602}"/>
    <hyperlink ref="M195" r:id="rId795" xr:uid="{98A40371-2A1A-4903-9280-4C1572106717}"/>
  </hyperlinks>
  <pageMargins left="0.7" right="0.7" top="0.75" bottom="0.75" header="0.3" footer="0.3"/>
  <pageSetup paperSize="10000" orientation="landscape" horizontalDpi="0" verticalDpi="0" r:id="rId7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9</vt:i4>
      </vt:variant>
      <vt:variant>
        <vt:lpstr>Rentang Bernama</vt:lpstr>
      </vt:variant>
      <vt:variant>
        <vt:i4>4</vt:i4>
      </vt:variant>
    </vt:vector>
  </HeadingPairs>
  <TitlesOfParts>
    <vt:vector size="13" baseType="lpstr">
      <vt:lpstr>Lembar1</vt:lpstr>
      <vt:lpstr>Lembar4</vt:lpstr>
      <vt:lpstr>Lembar8</vt:lpstr>
      <vt:lpstr>Lembar3</vt:lpstr>
      <vt:lpstr>Lembar2</vt:lpstr>
      <vt:lpstr>Lembar5</vt:lpstr>
      <vt:lpstr>Lembar6</vt:lpstr>
      <vt:lpstr>Lembar7</vt:lpstr>
      <vt:lpstr>Lembar2 (2)</vt:lpstr>
      <vt:lpstr>FORMGOOGLE</vt:lpstr>
      <vt:lpstr>Lembar1!Print_Area</vt:lpstr>
      <vt:lpstr>Lembar1!Print_Titles</vt:lpstr>
      <vt:lpstr>Lembar4!Print_Titles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madinbuqdemak</dc:creator>
  <cp:lastModifiedBy>madinbuqdemak</cp:lastModifiedBy>
  <cp:lastPrinted>2025-12-12T06:21:18Z</cp:lastPrinted>
  <dcterms:created xsi:type="dcterms:W3CDTF">2025-12-07T07:54:39Z</dcterms:created>
  <dcterms:modified xsi:type="dcterms:W3CDTF">2025-12-12T07:56:01Z</dcterms:modified>
</cp:coreProperties>
</file>